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comments/comment3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ÍCIO" sheetId="1" state="visible" r:id="rId1"/>
    <sheet name="RESUMO" sheetId="2" state="visible" r:id="rId2"/>
    <sheet name="VENDAS" sheetId="3" state="visible" r:id="rId3"/>
    <sheet name="MERCADORIA" sheetId="4" state="visible" r:id="rId4"/>
    <sheet name="VALOR" sheetId="5" state="visible" r:id="rId5"/>
    <sheet name="ENTREGADOR" sheetId="6" state="visible" r:id="rId6"/>
    <sheet name="MAPA" sheetId="7" state="visible" r:id="rId7"/>
  </sheets>
  <definedNames>
    <definedName name="_xlnm._FilterDatabase" localSheetId="2" hidden="1">'VENDAS'!$A$4:$O$1004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R$&quot; #,##0.00;-&quot;R$&quot; #,##0.00;&quot;-&quot;"/>
    <numFmt numFmtId="165" formatCode="0.0%"/>
    <numFmt numFmtId="166" formatCode="#,##0;-#,##0;&quot;-&quot;"/>
    <numFmt numFmtId="167" formatCode="dd/mm/yyyy"/>
    <numFmt numFmtId="168" formatCode="hh:mm"/>
  </numFmts>
  <fonts count="14">
    <font>
      <name val="Calibri"/>
      <family val="2"/>
      <color theme="1"/>
      <sz val="11"/>
      <scheme val="minor"/>
    </font>
    <font>
      <name val="Arial"/>
      <b val="1"/>
      <color rgb="00E8DCC4"/>
      <sz val="16"/>
    </font>
    <font>
      <name val="Arial"/>
      <i val="1"/>
      <color rgb="00E38A4E"/>
      <sz val="10"/>
    </font>
    <font>
      <name val="Arial"/>
      <b val="1"/>
      <color rgb="00E38A4E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0000FF"/>
      <sz val="10"/>
    </font>
    <font>
      <name val="Arial"/>
      <b val="1"/>
      <color rgb="00008000"/>
      <sz val="10"/>
    </font>
    <font>
      <name val="Arial"/>
      <b val="1"/>
      <color rgb="00131416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i val="1"/>
      <sz val="9"/>
    </font>
    <font>
      <name val="Arial"/>
      <b val="1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31416"/>
      </patternFill>
    </fill>
    <fill>
      <patternFill patternType="solid">
        <fgColor rgb="00FFF7D6"/>
      </patternFill>
    </fill>
    <fill>
      <patternFill patternType="solid">
        <fgColor rgb="00E38A4E"/>
      </patternFill>
    </fill>
    <fill>
      <patternFill patternType="solid">
        <fgColor rgb="00E8DC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4" fillId="3" borderId="0" applyAlignment="1" pivotButton="0" quotePrefix="0" xfId="0">
      <alignment vertical="top" wrapText="1"/>
    </xf>
    <xf numFmtId="0" fontId="7" fillId="0" borderId="0" pivotButton="0" quotePrefix="0" xfId="0"/>
    <xf numFmtId="0" fontId="8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166" fontId="5" fillId="5" borderId="1" pivotButton="0" quotePrefix="0" xfId="0"/>
    <xf numFmtId="0" fontId="4" fillId="0" borderId="1" pivotButton="0" quotePrefix="0" xfId="0"/>
    <xf numFmtId="166" fontId="4" fillId="0" borderId="1" pivotButton="0" quotePrefix="0" xfId="0"/>
    <xf numFmtId="164" fontId="4" fillId="0" borderId="1" pivotButton="0" quotePrefix="0" xfId="0"/>
    <xf numFmtId="164" fontId="5" fillId="5" borderId="1" pivotButton="0" quotePrefix="0" xfId="0"/>
    <xf numFmtId="0" fontId="5" fillId="5" borderId="1" pivotButton="0" quotePrefix="0" xfId="0"/>
    <xf numFmtId="0" fontId="11" fillId="0" borderId="1" pivotButton="0" quotePrefix="0" xfId="0"/>
    <xf numFmtId="0" fontId="11" fillId="0" borderId="0" pivotButton="0" quotePrefix="0" xfId="0"/>
    <xf numFmtId="0" fontId="9" fillId="3" borderId="1" pivotButton="0" quotePrefix="0" xfId="0"/>
    <xf numFmtId="167" fontId="9" fillId="3" borderId="1" pivotButton="0" quotePrefix="0" xfId="0"/>
    <xf numFmtId="0" fontId="10" fillId="0" borderId="1" pivotButton="0" quotePrefix="0" xfId="0"/>
    <xf numFmtId="166" fontId="9" fillId="3" borderId="1" pivotButton="0" quotePrefix="0" xfId="0"/>
    <xf numFmtId="164" fontId="10" fillId="0" borderId="1" pivotButton="0" quotePrefix="0" xfId="0"/>
    <xf numFmtId="164" fontId="5" fillId="0" borderId="1" pivotButton="0" quotePrefix="0" xfId="0"/>
    <xf numFmtId="166" fontId="10" fillId="0" borderId="1" pivotButton="0" quotePrefix="0" xfId="0"/>
    <xf numFmtId="0" fontId="4" fillId="5" borderId="1" pivotButton="0" quotePrefix="0" xfId="0"/>
    <xf numFmtId="164" fontId="9" fillId="3" borderId="1" pivotButton="0" quotePrefix="0" xfId="0"/>
    <xf numFmtId="165" fontId="4" fillId="0" borderId="1" pivotButton="0" quotePrefix="0" xfId="0"/>
    <xf numFmtId="167" fontId="10" fillId="0" borderId="1" pivotButton="0" quotePrefix="0" xfId="0"/>
    <xf numFmtId="168" fontId="9" fillId="3" borderId="1" pivotButton="0" quotePrefix="0" xfId="0"/>
    <xf numFmtId="165" fontId="5" fillId="5" borderId="1" pivotButton="0" quotePrefix="0" xfId="0"/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ont>
        <b val="1"/>
        <color rgb="00C00000"/>
      </font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Pedidos por forma de pagamento</a:t>
            </a:r>
          </a:p>
        </rich>
      </tx>
    </title>
    <plotArea>
      <pieChart>
        <varyColors val="1"/>
        <ser>
          <idx val="0"/>
          <order val="0"/>
          <tx>
            <strRef>
              <f>'RESUMO'!E4</f>
            </strRef>
          </tx>
          <spPr>
            <a:ln>
              <a:prstDash val="solid"/>
            </a:ln>
          </spPr>
          <cat>
            <numRef>
              <f>'RESUMO'!$D$5:$D$7</f>
            </numRef>
          </cat>
          <val>
            <numRef>
              <f>'RESUMO'!$E$5:$E$7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Unidades por modelo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'RESUMO'!B13</f>
            </strRef>
          </tx>
          <spPr>
            <a:ln>
              <a:prstDash val="solid"/>
            </a:ln>
          </spPr>
          <cat>
            <numRef>
              <f>'RESUMO'!$A$14:$A$17</f>
            </numRef>
          </cat>
          <val>
            <numRef>
              <f>'RESUMO'!$B$14:$B$17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Pedidos por região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'MAPA'!D4</f>
            </strRef>
          </tx>
          <spPr>
            <a:ln>
              <a:prstDash val="solid"/>
            </a:ln>
          </spPr>
          <cat>
            <numRef>
              <f>'MAPA'!$A$5:$A$14</f>
            </numRef>
          </cat>
          <val>
            <numRef>
              <f>'MAPA'!$D$5:$D$14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Pedidos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NOMAD</author>
  </authors>
  <commentList>
    <comment ref="O4" authorId="0" shapeId="0">
      <text>
        <t>1 = primeira linha do pedido (conta o pedido e a taxa uma vez só).</t>
      </text>
    </comment>
  </commentList>
</comments>
</file>

<file path=xl/comments/comment2.xml><?xml version="1.0" encoding="utf-8"?>
<comments xmlns="http://schemas.openxmlformats.org/spreadsheetml/2006/main">
  <authors>
    <author>NOMAD</author>
  </authors>
  <commentList>
    <comment ref="B5" authorId="0" shapeId="0">
      <text>
        <t>Preços do catálogo NOMAD puffs (docs/catalogo.pdf), 01/10/2026.</t>
      </text>
    </comment>
    <comment ref="C5" authorId="0" shapeId="0">
      <text>
        <t>Preencha o custo de compra para calcular lucro e margem.</t>
      </text>
    </comment>
  </commentList>
</comments>
</file>

<file path=xl/comments/comment3.xml><?xml version="1.0" encoding="utf-8"?>
<comments xmlns="http://schemas.openxmlformats.org/spreadsheetml/2006/main">
  <authors>
    <author>NOMAD</author>
  </authors>
  <commentList>
    <comment ref="C5" authorId="0" shapeId="0">
      <text>
        <t>Taxas do catálogo NOMAD puffs (docs/catalogo.pdf), 01/10/2026.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20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tabColor rgb="00131416"/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 ht="28" customHeight="1">
      <c r="A1" s="1" t="inlineStr">
        <is>
          <t>NOMAD puffs — Controle de vendas</t>
        </is>
      </c>
      <c r="B1" s="2" t="n"/>
      <c r="C1" s="2" t="n"/>
      <c r="D1" s="2" t="n"/>
    </row>
    <row r="2">
      <c r="A2" s="3" t="inlineStr">
        <is>
          <t>VAPOR SEM FRONTEIRAS · Palmas – TO</t>
        </is>
      </c>
      <c r="B2" s="2" t="n"/>
      <c r="C2" s="2" t="n"/>
      <c r="D2" s="2" t="n"/>
    </row>
    <row r="4">
      <c r="A4" s="4" t="inlineStr">
        <is>
          <t>COMO USAR</t>
        </is>
      </c>
      <c r="B4" s="5" t="inlineStr"/>
    </row>
    <row r="5">
      <c r="A5" s="6" t="inlineStr">
        <is>
          <t>1. VENDAS</t>
        </is>
      </c>
      <c r="B5" s="5" t="inlineStr">
        <is>
          <t>Lance cada item vendido em uma linha. Itens do mesmo pedido repetem o Nº do pedido, a data, o pagamento, a região e o entregador. A taxa de entrega só é cobrada na 1ª linha do pedido.</t>
        </is>
      </c>
    </row>
    <row r="6">
      <c r="A6" s="6" t="inlineStr">
        <is>
          <t>2. ENTREGADOR</t>
        </is>
      </c>
      <c r="B6" s="5" t="inlineStr">
        <is>
          <t>Cadastre os motoboys. No registro, digite só o Nº do pedido: data, motoboy, região, modelos e valores aparecem sozinhos. Atualize o status da entrega.</t>
        </is>
      </c>
    </row>
    <row r="7">
      <c r="A7" s="6" t="inlineStr">
        <is>
          <t>3. MERCADORIA</t>
        </is>
      </c>
      <c r="B7" s="5" t="inlineStr">
        <is>
          <t>Digite as entradas de estoque (compras) por sabor. Vendido e estoque atual são automáticos.</t>
        </is>
      </c>
    </row>
    <row r="8">
      <c r="A8" s="6" t="inlineStr">
        <is>
          <t>4. VALOR</t>
        </is>
      </c>
      <c r="B8" s="5" t="inlineStr">
        <is>
          <t>Preço de venda de cada modelo (vem do catálogo). Preencha o custo para ver a margem.</t>
        </is>
      </c>
    </row>
    <row r="9">
      <c r="A9" s="6" t="inlineStr">
        <is>
          <t>5. MAPA</t>
        </is>
      </c>
      <c r="B9" s="5" t="inlineStr">
        <is>
          <t>Taxas de entrega por quadra/bairro de Palmas e o desempenho de cada região.</t>
        </is>
      </c>
    </row>
    <row r="10">
      <c r="A10" s="6" t="inlineStr">
        <is>
          <t>6. RESUMO</t>
        </is>
      </c>
      <c r="B10" s="5" t="inlineStr">
        <is>
          <t>Painel com os totais: faturamento, pedidos, ticket médio, PIX x cartão, modelos e regiões.</t>
        </is>
      </c>
    </row>
    <row r="11">
      <c r="A11" s="4" t="inlineStr"/>
      <c r="B11" s="5" t="inlineStr"/>
    </row>
    <row r="12">
      <c r="A12" s="4" t="inlineStr">
        <is>
          <t>CORES</t>
        </is>
      </c>
      <c r="B12" s="5" t="inlineStr"/>
    </row>
    <row r="13">
      <c r="A13" s="7" t="inlineStr">
        <is>
          <t>Texto azul / fundo amarelo</t>
        </is>
      </c>
      <c r="B13" s="8" t="inlineStr">
        <is>
          <t>Célula para você digitar ou escolher na lista.</t>
        </is>
      </c>
    </row>
    <row r="14">
      <c r="A14" s="9" t="inlineStr">
        <is>
          <t>Texto verde</t>
        </is>
      </c>
      <c r="B14" s="5" t="inlineStr">
        <is>
          <t>Valor puxado de outra aba (não digite).</t>
        </is>
      </c>
    </row>
    <row r="15">
      <c r="A15" s="6" t="inlineStr">
        <is>
          <t>Texto preto</t>
        </is>
      </c>
      <c r="B15" s="5" t="inlineStr">
        <is>
          <t>Fórmula / cálculo automático (não digite).</t>
        </is>
      </c>
    </row>
    <row r="16">
      <c r="A16" s="4" t="inlineStr"/>
      <c r="B16" s="5" t="inlineStr"/>
    </row>
    <row r="17">
      <c r="A17" s="6" t="inlineStr">
        <is>
          <t>EXEMPLO</t>
        </is>
      </c>
      <c r="B17" s="5" t="inlineStr">
        <is>
          <t>A aba VENDAS traz um pedido de exemplo (Nº 1, marcado EXEMPLO). Apague as linhas 5 e 6 de VENDAS e a 1ª linha do registro de entregas (coluna H) em ENTREGADOR antes de começar a usar.</t>
        </is>
      </c>
    </row>
    <row r="18">
      <c r="A18" s="6" t="inlineStr">
        <is>
          <t>FONTE DOS PREÇOS</t>
        </is>
      </c>
      <c r="B18" s="5" t="inlineStr">
        <is>
          <t>Catálogo NOMAD puffs (docs/catalogo.pdf), informado pelos sócios em 01/10/2026.</t>
        </is>
      </c>
    </row>
    <row r="19">
      <c r="A19" s="6" t="inlineStr">
        <is>
          <t>GOOGLE SHEETS</t>
        </is>
      </c>
      <c r="B19" s="5" t="inlineStr">
        <is>
          <t>Arquivo &gt; Importar &gt; Fazer upload &gt; Substituir planilha. Fórmulas e listas continuam funcionando.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38A4E"/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" customWidth="1" min="3" max="3"/>
    <col width="22" customWidth="1" min="4" max="4"/>
    <col width="14" customWidth="1" min="5" max="5"/>
    <col width="18" customWidth="1" min="6" max="6"/>
  </cols>
  <sheetData>
    <row r="1" ht="28" customHeight="1">
      <c r="A1" s="1" t="inlineStr">
        <is>
          <t>RESUMO</t>
        </is>
      </c>
      <c r="B1" s="2" t="n"/>
      <c r="C1" s="2" t="n"/>
      <c r="D1" s="2" t="n"/>
      <c r="E1" s="2" t="n"/>
      <c r="F1" s="2" t="n"/>
    </row>
    <row r="2">
      <c r="A2" s="3" t="inlineStr">
        <is>
          <t>Atualiza sozinho conforme VENDAS é preenchida</t>
        </is>
      </c>
      <c r="B2" s="2" t="n"/>
      <c r="C2" s="2" t="n"/>
      <c r="D2" s="2" t="n"/>
      <c r="E2" s="2" t="n"/>
      <c r="F2" s="2" t="n"/>
    </row>
    <row r="4" ht="30" customHeight="1">
      <c r="A4" s="10" t="inlineStr">
        <is>
          <t>Indicador</t>
        </is>
      </c>
      <c r="B4" s="10" t="inlineStr">
        <is>
          <t>Valor</t>
        </is>
      </c>
      <c r="D4" s="10" t="inlineStr">
        <is>
          <t>Forma de pagamento</t>
        </is>
      </c>
      <c r="E4" s="10" t="inlineStr">
        <is>
          <t>Pedidos</t>
        </is>
      </c>
      <c r="F4" s="10" t="inlineStr">
        <is>
          <t>Valor (R$)</t>
        </is>
      </c>
    </row>
    <row r="5">
      <c r="A5" s="11" t="inlineStr">
        <is>
          <t>Pedidos</t>
        </is>
      </c>
      <c r="B5" s="12">
        <f>SUM(VENDAS!O5:O1004)</f>
        <v/>
      </c>
      <c r="D5" s="13" t="inlineStr">
        <is>
          <t>PIX</t>
        </is>
      </c>
      <c r="E5" s="14">
        <f>SUMIFS(VENDAS!$O$5:$O$1004,VENDAS!$I$5:$I$1004,D5)</f>
        <v/>
      </c>
      <c r="F5" s="15">
        <f>SUMIFS(VENDAS!$L$5:$L$1004,VENDAS!$I$5:$I$1004,D5)</f>
        <v/>
      </c>
    </row>
    <row r="6">
      <c r="A6" s="11" t="inlineStr">
        <is>
          <t>Unidades vendidas</t>
        </is>
      </c>
      <c r="B6" s="12">
        <f>SUM(VENDAS!F5:F1004)</f>
        <v/>
      </c>
      <c r="D6" s="13" t="inlineStr">
        <is>
          <t>Cartão de débito</t>
        </is>
      </c>
      <c r="E6" s="14">
        <f>SUMIFS(VENDAS!$O$5:$O$1004,VENDAS!$I$5:$I$1004,D6)</f>
        <v/>
      </c>
      <c r="F6" s="15">
        <f>SUMIFS(VENDAS!$L$5:$L$1004,VENDAS!$I$5:$I$1004,D6)</f>
        <v/>
      </c>
    </row>
    <row r="7">
      <c r="A7" s="11" t="inlineStr">
        <is>
          <t>Vendas em produtos</t>
        </is>
      </c>
      <c r="B7" s="16">
        <f>SUM(VENDAS!H5:H1004)</f>
        <v/>
      </c>
      <c r="D7" s="13" t="inlineStr">
        <is>
          <t>Cartão de crédito</t>
        </is>
      </c>
      <c r="E7" s="14">
        <f>SUMIFS(VENDAS!$O$5:$O$1004,VENDAS!$I$5:$I$1004,D7)</f>
        <v/>
      </c>
      <c r="F7" s="15">
        <f>SUMIFS(VENDAS!$L$5:$L$1004,VENDAS!$I$5:$I$1004,D7)</f>
        <v/>
      </c>
    </row>
    <row r="8">
      <c r="A8" s="11" t="inlineStr">
        <is>
          <t>Taxas de entrega</t>
        </is>
      </c>
      <c r="B8" s="16">
        <f>SUM(VENDAS!K5:K1004)</f>
        <v/>
      </c>
      <c r="D8" s="17" t="inlineStr">
        <is>
          <t>Cartão (débito + crédito)</t>
        </is>
      </c>
      <c r="E8" s="12">
        <f>E6+E7</f>
        <v/>
      </c>
      <c r="F8" s="16">
        <f>F6+F7</f>
        <v/>
      </c>
    </row>
    <row r="9">
      <c r="A9" s="11" t="inlineStr">
        <is>
          <t>Faturamento total</t>
        </is>
      </c>
      <c r="B9" s="16">
        <f>B7+B8</f>
        <v/>
      </c>
      <c r="D9" s="17" t="inlineStr">
        <is>
          <t>TOTAL</t>
        </is>
      </c>
      <c r="E9" s="12">
        <f>E5+E8</f>
        <v/>
      </c>
      <c r="F9" s="16">
        <f>F5+F8</f>
        <v/>
      </c>
    </row>
    <row r="10">
      <c r="A10" s="11" t="inlineStr">
        <is>
          <t>Ticket médio por pedido</t>
        </is>
      </c>
      <c r="B10" s="16">
        <f>IF(B5=0,0,B9/B5)</f>
        <v/>
      </c>
      <c r="D10" s="18" t="inlineStr">
        <is>
          <t>Sem forma de pagamento</t>
        </is>
      </c>
      <c r="E10" s="14">
        <f>B5-E9</f>
        <v/>
      </c>
      <c r="F10" s="15">
        <f>B9-F9</f>
        <v/>
      </c>
    </row>
    <row r="13" ht="30" customHeight="1">
      <c r="A13" s="10" t="inlineStr">
        <is>
          <t>Modelo</t>
        </is>
      </c>
      <c r="B13" s="10" t="inlineStr">
        <is>
          <t>Unidades</t>
        </is>
      </c>
      <c r="C13" s="10" t="inlineStr"/>
      <c r="D13" s="10" t="inlineStr">
        <is>
          <t>Vendas (R$)</t>
        </is>
      </c>
    </row>
    <row r="14">
      <c r="A14" s="13" t="inlineStr">
        <is>
          <t>V55</t>
        </is>
      </c>
      <c r="B14" s="14">
        <f>SUMIFS(VENDAS!$F$5:$F$1004,VENDAS!$D$5:$D$1004,A14)</f>
        <v/>
      </c>
      <c r="D14" s="15">
        <f>SUMIFS(VENDAS!$H$5:$H$1004,VENDAS!$D$5:$D$1004,A14)</f>
        <v/>
      </c>
    </row>
    <row r="15">
      <c r="A15" s="13" t="inlineStr">
        <is>
          <t>V155</t>
        </is>
      </c>
      <c r="B15" s="14">
        <f>SUMIFS(VENDAS!$F$5:$F$1004,VENDAS!$D$5:$D$1004,A15)</f>
        <v/>
      </c>
      <c r="D15" s="15">
        <f>SUMIFS(VENDAS!$H$5:$H$1004,VENDAS!$D$5:$D$1004,A15)</f>
        <v/>
      </c>
    </row>
    <row r="16">
      <c r="A16" s="13" t="inlineStr">
        <is>
          <t>V400 Mix Slim</t>
        </is>
      </c>
      <c r="B16" s="14">
        <f>SUMIFS(VENDAS!$F$5:$F$1004,VENDAS!$D$5:$D$1004,A16)</f>
        <v/>
      </c>
      <c r="D16" s="15">
        <f>SUMIFS(VENDAS!$H$5:$H$1004,VENDAS!$D$5:$D$1004,A16)</f>
        <v/>
      </c>
    </row>
    <row r="17">
      <c r="A17" s="13" t="inlineStr">
        <is>
          <t>Elfbar Pro 40K</t>
        </is>
      </c>
      <c r="B17" s="14">
        <f>SUMIFS(VENDAS!$F$5:$F$1004,VENDAS!$D$5:$D$1004,A17)</f>
        <v/>
      </c>
      <c r="D17" s="15">
        <f>SUMIFS(VENDAS!$H$5:$H$1004,VENDAS!$D$5:$D$1004,A17)</f>
        <v/>
      </c>
    </row>
    <row r="18">
      <c r="A18" s="17" t="inlineStr">
        <is>
          <t>TOTAL</t>
        </is>
      </c>
      <c r="B18" s="12">
        <f>SUM(B14:B17)</f>
        <v/>
      </c>
      <c r="D18" s="16">
        <f>SUM(D14:D17)</f>
        <v/>
      </c>
    </row>
    <row r="19">
      <c r="A19" s="19" t="inlineStr">
        <is>
          <t>Conferência: TOTAL de modelos deve bater com 'Vendas em produtos'.</t>
        </is>
      </c>
    </row>
  </sheetData>
  <mergeCells count="2">
    <mergeCell ref="A2:F2"/>
    <mergeCell ref="A1:F1"/>
  </mergeCells>
  <conditionalFormatting sqref="D18">
    <cfRule type="expression" priority="1" dxfId="0">
      <formula>ROUND(D18-$B$7,2)&lt;&gt;0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E38A4E"/>
    <outlinePr summaryBelow="1" summaryRight="1"/>
    <pageSetUpPr/>
  </sheetPr>
  <dimension ref="A1:O100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40" customWidth="1" min="3" max="3"/>
    <col width="16" customWidth="1" min="4" max="4"/>
    <col width="28" customWidth="1" min="5" max="5"/>
    <col width="7" customWidth="1" min="6" max="6"/>
    <col width="14" customWidth="1" min="7" max="7"/>
    <col width="14" customWidth="1" min="8" max="8"/>
    <col width="18" customWidth="1" min="9" max="9"/>
    <col width="32" customWidth="1" min="10" max="10"/>
    <col width="15" customWidth="1" min="11" max="11"/>
    <col width="14" customWidth="1" min="12" max="12"/>
    <col width="16" customWidth="1" min="13" max="13"/>
    <col width="34" customWidth="1" min="14" max="14"/>
    <col width="9" customWidth="1" min="15" max="15"/>
  </cols>
  <sheetData>
    <row r="1" ht="28" customHeight="1">
      <c r="A1" s="1" t="inlineStr">
        <is>
          <t>VENDAS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Uma linha por item vendido · totais somam sozinhos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F3" s="12">
        <f>SUM(F5:F1004)</f>
        <v/>
      </c>
      <c r="H3" s="16">
        <f>SUM(H5:H1004)</f>
        <v/>
      </c>
      <c r="J3" s="12" t="inlineStr">
        <is>
          <t>TOTAIS ▸</t>
        </is>
      </c>
      <c r="K3" s="16">
        <f>SUM(K5:K1004)</f>
        <v/>
      </c>
      <c r="L3" s="16">
        <f>SUM(L5:L1004)</f>
        <v/>
      </c>
      <c r="O3" s="12">
        <f>SUM(O5:O1004)</f>
        <v/>
      </c>
    </row>
    <row r="4" ht="30" customHeight="1">
      <c r="A4" s="10" t="inlineStr">
        <is>
          <t>Nº pedido</t>
        </is>
      </c>
      <c r="B4" s="10" t="inlineStr">
        <is>
          <t>Data</t>
        </is>
      </c>
      <c r="C4" s="10" t="inlineStr">
        <is>
          <t>Produto (modelo - sabor)</t>
        </is>
      </c>
      <c r="D4" s="10" t="inlineStr">
        <is>
          <t>Modelo</t>
        </is>
      </c>
      <c r="E4" s="10" t="inlineStr">
        <is>
          <t>Sabor</t>
        </is>
      </c>
      <c r="F4" s="10" t="inlineStr">
        <is>
          <t>Qtd</t>
        </is>
      </c>
      <c r="G4" s="10" t="inlineStr">
        <is>
          <t>Valor unit. (R$)</t>
        </is>
      </c>
      <c r="H4" s="10" t="inlineStr">
        <is>
          <t>Subtotal (R$)</t>
        </is>
      </c>
      <c r="I4" s="10" t="inlineStr">
        <is>
          <t>Pagamento</t>
        </is>
      </c>
      <c r="J4" s="10" t="inlineStr">
        <is>
          <t>Região de entrega</t>
        </is>
      </c>
      <c r="K4" s="10" t="inlineStr">
        <is>
          <t>Taxa entrega (R$)</t>
        </is>
      </c>
      <c r="L4" s="10" t="inlineStr">
        <is>
          <t>Total (R$)</t>
        </is>
      </c>
      <c r="M4" s="10" t="inlineStr">
        <is>
          <t>Entregador</t>
        </is>
      </c>
      <c r="N4" s="10" t="inlineStr">
        <is>
          <t>Endereço / observação</t>
        </is>
      </c>
      <c r="O4" s="10" t="inlineStr">
        <is>
          <t>Pedido único</t>
        </is>
      </c>
    </row>
    <row r="5">
      <c r="A5" s="20" t="n">
        <v>1</v>
      </c>
      <c r="B5" s="21" t="n">
        <v>46296</v>
      </c>
      <c r="C5" s="20" t="inlineStr">
        <is>
          <t>V155 - Grape Ice</t>
        </is>
      </c>
      <c r="D5" s="22">
        <f>IF(C5="","",INDEX(MERCADORIA!$B$5:$B$22,MATCH(C5,MERCADORIA!$A$5:$A$22,0)))</f>
        <v/>
      </c>
      <c r="E5" s="22">
        <f>IF(C5="","",INDEX(MERCADORIA!$C$5:$C$22,MATCH(C5,MERCADORIA!$A$5:$A$22,0)))</f>
        <v/>
      </c>
      <c r="F5" s="23" t="n">
        <v>2</v>
      </c>
      <c r="G5" s="24">
        <f>IF(D5="","",INDEX(VALOR!$B$5:$B$8,MATCH(D5,VALOR!$A$5:$A$8,0)))</f>
        <v/>
      </c>
      <c r="H5" s="15">
        <f>IF(OR(G5="",F5=""),0,F5*G5)</f>
        <v/>
      </c>
      <c r="I5" s="20" t="inlineStr">
        <is>
          <t>PIX</t>
        </is>
      </c>
      <c r="J5" s="20" t="inlineStr">
        <is>
          <t>Quadras 300 Norte a 600 Norte</t>
        </is>
      </c>
      <c r="K5" s="24">
        <f>IF(OR(O5=0,J5=""),0,INDEX(MAPA!$C$5:$C$14,MATCH(J5,MAPA!$A$5:$A$14,0)))</f>
        <v/>
      </c>
      <c r="L5" s="25">
        <f>H5+K5</f>
        <v/>
      </c>
      <c r="M5" s="20" t="inlineStr">
        <is>
          <t>Motoboy 1</t>
        </is>
      </c>
      <c r="N5" s="20" t="inlineStr">
        <is>
          <t>EXEMPLO — apagar</t>
        </is>
      </c>
      <c r="O5" s="14">
        <f>IF(A5="",0,IF(COUNTIF($A$5:A5,A5)=1,1,0))</f>
        <v/>
      </c>
    </row>
    <row r="6">
      <c r="A6" s="20" t="n">
        <v>1</v>
      </c>
      <c r="B6" s="21" t="n">
        <v>46296</v>
      </c>
      <c r="C6" s="20" t="inlineStr">
        <is>
          <t>Elfbar Pro 40K - Pink Lemonade</t>
        </is>
      </c>
      <c r="D6" s="22">
        <f>IF(C6="","",INDEX(MERCADORIA!$B$5:$B$22,MATCH(C6,MERCADORIA!$A$5:$A$22,0)))</f>
        <v/>
      </c>
      <c r="E6" s="22">
        <f>IF(C6="","",INDEX(MERCADORIA!$C$5:$C$22,MATCH(C6,MERCADORIA!$A$5:$A$22,0)))</f>
        <v/>
      </c>
      <c r="F6" s="23" t="n">
        <v>1</v>
      </c>
      <c r="G6" s="24">
        <f>IF(D6="","",INDEX(VALOR!$B$5:$B$8,MATCH(D6,VALOR!$A$5:$A$8,0)))</f>
        <v/>
      </c>
      <c r="H6" s="15">
        <f>IF(OR(G6="",F6=""),0,F6*G6)</f>
        <v/>
      </c>
      <c r="I6" s="20" t="inlineStr">
        <is>
          <t>PIX</t>
        </is>
      </c>
      <c r="J6" s="20" t="inlineStr">
        <is>
          <t>Quadras 300 Norte a 600 Norte</t>
        </is>
      </c>
      <c r="K6" s="24">
        <f>IF(OR(O6=0,J6=""),0,INDEX(MAPA!$C$5:$C$14,MATCH(J6,MAPA!$A$5:$A$14,0)))</f>
        <v/>
      </c>
      <c r="L6" s="25">
        <f>H6+K6</f>
        <v/>
      </c>
      <c r="M6" s="20" t="inlineStr">
        <is>
          <t>Motoboy 1</t>
        </is>
      </c>
      <c r="N6" s="20" t="inlineStr">
        <is>
          <t>EXEMPLO — apagar</t>
        </is>
      </c>
      <c r="O6" s="14">
        <f>IF(A6="",0,IF(COUNTIF($A$5:A6,A6)=1,1,0))</f>
        <v/>
      </c>
    </row>
    <row r="7">
      <c r="A7" s="20" t="n"/>
      <c r="B7" s="21" t="n"/>
      <c r="C7" s="20" t="n"/>
      <c r="D7" s="22">
        <f>IF(C7="","",INDEX(MERCADORIA!$B$5:$B$22,MATCH(C7,MERCADORIA!$A$5:$A$22,0)))</f>
        <v/>
      </c>
      <c r="E7" s="22">
        <f>IF(C7="","",INDEX(MERCADORIA!$C$5:$C$22,MATCH(C7,MERCADORIA!$A$5:$A$22,0)))</f>
        <v/>
      </c>
      <c r="F7" s="23" t="n"/>
      <c r="G7" s="24">
        <f>IF(D7="","",INDEX(VALOR!$B$5:$B$8,MATCH(D7,VALOR!$A$5:$A$8,0)))</f>
        <v/>
      </c>
      <c r="H7" s="15">
        <f>IF(OR(G7="",F7=""),0,F7*G7)</f>
        <v/>
      </c>
      <c r="I7" s="20" t="n"/>
      <c r="J7" s="20" t="n"/>
      <c r="K7" s="24">
        <f>IF(OR(O7=0,J7=""),0,INDEX(MAPA!$C$5:$C$14,MATCH(J7,MAPA!$A$5:$A$14,0)))</f>
        <v/>
      </c>
      <c r="L7" s="25">
        <f>H7+K7</f>
        <v/>
      </c>
      <c r="M7" s="20" t="n"/>
      <c r="N7" s="20" t="n"/>
      <c r="O7" s="14">
        <f>IF(A7="",0,IF(COUNTIF($A$5:A7,A7)=1,1,0))</f>
        <v/>
      </c>
    </row>
    <row r="8">
      <c r="A8" s="20" t="n"/>
      <c r="B8" s="21" t="n"/>
      <c r="C8" s="20" t="n"/>
      <c r="D8" s="22">
        <f>IF(C8="","",INDEX(MERCADORIA!$B$5:$B$22,MATCH(C8,MERCADORIA!$A$5:$A$22,0)))</f>
        <v/>
      </c>
      <c r="E8" s="22">
        <f>IF(C8="","",INDEX(MERCADORIA!$C$5:$C$22,MATCH(C8,MERCADORIA!$A$5:$A$22,0)))</f>
        <v/>
      </c>
      <c r="F8" s="23" t="n"/>
      <c r="G8" s="24">
        <f>IF(D8="","",INDEX(VALOR!$B$5:$B$8,MATCH(D8,VALOR!$A$5:$A$8,0)))</f>
        <v/>
      </c>
      <c r="H8" s="15">
        <f>IF(OR(G8="",F8=""),0,F8*G8)</f>
        <v/>
      </c>
      <c r="I8" s="20" t="n"/>
      <c r="J8" s="20" t="n"/>
      <c r="K8" s="24">
        <f>IF(OR(O8=0,J8=""),0,INDEX(MAPA!$C$5:$C$14,MATCH(J8,MAPA!$A$5:$A$14,0)))</f>
        <v/>
      </c>
      <c r="L8" s="25">
        <f>H8+K8</f>
        <v/>
      </c>
      <c r="M8" s="20" t="n"/>
      <c r="N8" s="20" t="n"/>
      <c r="O8" s="14">
        <f>IF(A8="",0,IF(COUNTIF($A$5:A8,A8)=1,1,0))</f>
        <v/>
      </c>
    </row>
    <row r="9">
      <c r="A9" s="20" t="n"/>
      <c r="B9" s="21" t="n"/>
      <c r="C9" s="20" t="n"/>
      <c r="D9" s="22">
        <f>IF(C9="","",INDEX(MERCADORIA!$B$5:$B$22,MATCH(C9,MERCADORIA!$A$5:$A$22,0)))</f>
        <v/>
      </c>
      <c r="E9" s="22">
        <f>IF(C9="","",INDEX(MERCADORIA!$C$5:$C$22,MATCH(C9,MERCADORIA!$A$5:$A$22,0)))</f>
        <v/>
      </c>
      <c r="F9" s="23" t="n"/>
      <c r="G9" s="24">
        <f>IF(D9="","",INDEX(VALOR!$B$5:$B$8,MATCH(D9,VALOR!$A$5:$A$8,0)))</f>
        <v/>
      </c>
      <c r="H9" s="15">
        <f>IF(OR(G9="",F9=""),0,F9*G9)</f>
        <v/>
      </c>
      <c r="I9" s="20" t="n"/>
      <c r="J9" s="20" t="n"/>
      <c r="K9" s="24">
        <f>IF(OR(O9=0,J9=""),0,INDEX(MAPA!$C$5:$C$14,MATCH(J9,MAPA!$A$5:$A$14,0)))</f>
        <v/>
      </c>
      <c r="L9" s="25">
        <f>H9+K9</f>
        <v/>
      </c>
      <c r="M9" s="20" t="n"/>
      <c r="N9" s="20" t="n"/>
      <c r="O9" s="14">
        <f>IF(A9="",0,IF(COUNTIF($A$5:A9,A9)=1,1,0))</f>
        <v/>
      </c>
    </row>
    <row r="10">
      <c r="A10" s="20" t="n"/>
      <c r="B10" s="21" t="n"/>
      <c r="C10" s="20" t="n"/>
      <c r="D10" s="22">
        <f>IF(C10="","",INDEX(MERCADORIA!$B$5:$B$22,MATCH(C10,MERCADORIA!$A$5:$A$22,0)))</f>
        <v/>
      </c>
      <c r="E10" s="22">
        <f>IF(C10="","",INDEX(MERCADORIA!$C$5:$C$22,MATCH(C10,MERCADORIA!$A$5:$A$22,0)))</f>
        <v/>
      </c>
      <c r="F10" s="23" t="n"/>
      <c r="G10" s="24">
        <f>IF(D10="","",INDEX(VALOR!$B$5:$B$8,MATCH(D10,VALOR!$A$5:$A$8,0)))</f>
        <v/>
      </c>
      <c r="H10" s="15">
        <f>IF(OR(G10="",F10=""),0,F10*G10)</f>
        <v/>
      </c>
      <c r="I10" s="20" t="n"/>
      <c r="J10" s="20" t="n"/>
      <c r="K10" s="24">
        <f>IF(OR(O10=0,J10=""),0,INDEX(MAPA!$C$5:$C$14,MATCH(J10,MAPA!$A$5:$A$14,0)))</f>
        <v/>
      </c>
      <c r="L10" s="25">
        <f>H10+K10</f>
        <v/>
      </c>
      <c r="M10" s="20" t="n"/>
      <c r="N10" s="20" t="n"/>
      <c r="O10" s="14">
        <f>IF(A10="",0,IF(COUNTIF($A$5:A10,A10)=1,1,0))</f>
        <v/>
      </c>
    </row>
    <row r="11">
      <c r="A11" s="20" t="n"/>
      <c r="B11" s="21" t="n"/>
      <c r="C11" s="20" t="n"/>
      <c r="D11" s="22">
        <f>IF(C11="","",INDEX(MERCADORIA!$B$5:$B$22,MATCH(C11,MERCADORIA!$A$5:$A$22,0)))</f>
        <v/>
      </c>
      <c r="E11" s="22">
        <f>IF(C11="","",INDEX(MERCADORIA!$C$5:$C$22,MATCH(C11,MERCADORIA!$A$5:$A$22,0)))</f>
        <v/>
      </c>
      <c r="F11" s="23" t="n"/>
      <c r="G11" s="24">
        <f>IF(D11="","",INDEX(VALOR!$B$5:$B$8,MATCH(D11,VALOR!$A$5:$A$8,0)))</f>
        <v/>
      </c>
      <c r="H11" s="15">
        <f>IF(OR(G11="",F11=""),0,F11*G11)</f>
        <v/>
      </c>
      <c r="I11" s="20" t="n"/>
      <c r="J11" s="20" t="n"/>
      <c r="K11" s="24">
        <f>IF(OR(O11=0,J11=""),0,INDEX(MAPA!$C$5:$C$14,MATCH(J11,MAPA!$A$5:$A$14,0)))</f>
        <v/>
      </c>
      <c r="L11" s="25">
        <f>H11+K11</f>
        <v/>
      </c>
      <c r="M11" s="20" t="n"/>
      <c r="N11" s="20" t="n"/>
      <c r="O11" s="14">
        <f>IF(A11="",0,IF(COUNTIF($A$5:A11,A11)=1,1,0))</f>
        <v/>
      </c>
    </row>
    <row r="12">
      <c r="A12" s="20" t="n"/>
      <c r="B12" s="21" t="n"/>
      <c r="C12" s="20" t="n"/>
      <c r="D12" s="22">
        <f>IF(C12="","",INDEX(MERCADORIA!$B$5:$B$22,MATCH(C12,MERCADORIA!$A$5:$A$22,0)))</f>
        <v/>
      </c>
      <c r="E12" s="22">
        <f>IF(C12="","",INDEX(MERCADORIA!$C$5:$C$22,MATCH(C12,MERCADORIA!$A$5:$A$22,0)))</f>
        <v/>
      </c>
      <c r="F12" s="23" t="n"/>
      <c r="G12" s="24">
        <f>IF(D12="","",INDEX(VALOR!$B$5:$B$8,MATCH(D12,VALOR!$A$5:$A$8,0)))</f>
        <v/>
      </c>
      <c r="H12" s="15">
        <f>IF(OR(G12="",F12=""),0,F12*G12)</f>
        <v/>
      </c>
      <c r="I12" s="20" t="n"/>
      <c r="J12" s="20" t="n"/>
      <c r="K12" s="24">
        <f>IF(OR(O12=0,J12=""),0,INDEX(MAPA!$C$5:$C$14,MATCH(J12,MAPA!$A$5:$A$14,0)))</f>
        <v/>
      </c>
      <c r="L12" s="25">
        <f>H12+K12</f>
        <v/>
      </c>
      <c r="M12" s="20" t="n"/>
      <c r="N12" s="20" t="n"/>
      <c r="O12" s="14">
        <f>IF(A12="",0,IF(COUNTIF($A$5:A12,A12)=1,1,0))</f>
        <v/>
      </c>
    </row>
    <row r="13">
      <c r="A13" s="20" t="n"/>
      <c r="B13" s="21" t="n"/>
      <c r="C13" s="20" t="n"/>
      <c r="D13" s="22">
        <f>IF(C13="","",INDEX(MERCADORIA!$B$5:$B$22,MATCH(C13,MERCADORIA!$A$5:$A$22,0)))</f>
        <v/>
      </c>
      <c r="E13" s="22">
        <f>IF(C13="","",INDEX(MERCADORIA!$C$5:$C$22,MATCH(C13,MERCADORIA!$A$5:$A$22,0)))</f>
        <v/>
      </c>
      <c r="F13" s="23" t="n"/>
      <c r="G13" s="24">
        <f>IF(D13="","",INDEX(VALOR!$B$5:$B$8,MATCH(D13,VALOR!$A$5:$A$8,0)))</f>
        <v/>
      </c>
      <c r="H13" s="15">
        <f>IF(OR(G13="",F13=""),0,F13*G13)</f>
        <v/>
      </c>
      <c r="I13" s="20" t="n"/>
      <c r="J13" s="20" t="n"/>
      <c r="K13" s="24">
        <f>IF(OR(O13=0,J13=""),0,INDEX(MAPA!$C$5:$C$14,MATCH(J13,MAPA!$A$5:$A$14,0)))</f>
        <v/>
      </c>
      <c r="L13" s="25">
        <f>H13+K13</f>
        <v/>
      </c>
      <c r="M13" s="20" t="n"/>
      <c r="N13" s="20" t="n"/>
      <c r="O13" s="14">
        <f>IF(A13="",0,IF(COUNTIF($A$5:A13,A13)=1,1,0))</f>
        <v/>
      </c>
    </row>
    <row r="14">
      <c r="A14" s="20" t="n"/>
      <c r="B14" s="21" t="n"/>
      <c r="C14" s="20" t="n"/>
      <c r="D14" s="22">
        <f>IF(C14="","",INDEX(MERCADORIA!$B$5:$B$22,MATCH(C14,MERCADORIA!$A$5:$A$22,0)))</f>
        <v/>
      </c>
      <c r="E14" s="22">
        <f>IF(C14="","",INDEX(MERCADORIA!$C$5:$C$22,MATCH(C14,MERCADORIA!$A$5:$A$22,0)))</f>
        <v/>
      </c>
      <c r="F14" s="23" t="n"/>
      <c r="G14" s="24">
        <f>IF(D14="","",INDEX(VALOR!$B$5:$B$8,MATCH(D14,VALOR!$A$5:$A$8,0)))</f>
        <v/>
      </c>
      <c r="H14" s="15">
        <f>IF(OR(G14="",F14=""),0,F14*G14)</f>
        <v/>
      </c>
      <c r="I14" s="20" t="n"/>
      <c r="J14" s="20" t="n"/>
      <c r="K14" s="24">
        <f>IF(OR(O14=0,J14=""),0,INDEX(MAPA!$C$5:$C$14,MATCH(J14,MAPA!$A$5:$A$14,0)))</f>
        <v/>
      </c>
      <c r="L14" s="25">
        <f>H14+K14</f>
        <v/>
      </c>
      <c r="M14" s="20" t="n"/>
      <c r="N14" s="20" t="n"/>
      <c r="O14" s="14">
        <f>IF(A14="",0,IF(COUNTIF($A$5:A14,A14)=1,1,0))</f>
        <v/>
      </c>
    </row>
    <row r="15">
      <c r="A15" s="20" t="n"/>
      <c r="B15" s="21" t="n"/>
      <c r="C15" s="20" t="n"/>
      <c r="D15" s="22">
        <f>IF(C15="","",INDEX(MERCADORIA!$B$5:$B$22,MATCH(C15,MERCADORIA!$A$5:$A$22,0)))</f>
        <v/>
      </c>
      <c r="E15" s="22">
        <f>IF(C15="","",INDEX(MERCADORIA!$C$5:$C$22,MATCH(C15,MERCADORIA!$A$5:$A$22,0)))</f>
        <v/>
      </c>
      <c r="F15" s="23" t="n"/>
      <c r="G15" s="24">
        <f>IF(D15="","",INDEX(VALOR!$B$5:$B$8,MATCH(D15,VALOR!$A$5:$A$8,0)))</f>
        <v/>
      </c>
      <c r="H15" s="15">
        <f>IF(OR(G15="",F15=""),0,F15*G15)</f>
        <v/>
      </c>
      <c r="I15" s="20" t="n"/>
      <c r="J15" s="20" t="n"/>
      <c r="K15" s="24">
        <f>IF(OR(O15=0,J15=""),0,INDEX(MAPA!$C$5:$C$14,MATCH(J15,MAPA!$A$5:$A$14,0)))</f>
        <v/>
      </c>
      <c r="L15" s="25">
        <f>H15+K15</f>
        <v/>
      </c>
      <c r="M15" s="20" t="n"/>
      <c r="N15" s="20" t="n"/>
      <c r="O15" s="14">
        <f>IF(A15="",0,IF(COUNTIF($A$5:A15,A15)=1,1,0))</f>
        <v/>
      </c>
    </row>
    <row r="16">
      <c r="A16" s="20" t="n"/>
      <c r="B16" s="21" t="n"/>
      <c r="C16" s="20" t="n"/>
      <c r="D16" s="22">
        <f>IF(C16="","",INDEX(MERCADORIA!$B$5:$B$22,MATCH(C16,MERCADORIA!$A$5:$A$22,0)))</f>
        <v/>
      </c>
      <c r="E16" s="22">
        <f>IF(C16="","",INDEX(MERCADORIA!$C$5:$C$22,MATCH(C16,MERCADORIA!$A$5:$A$22,0)))</f>
        <v/>
      </c>
      <c r="F16" s="23" t="n"/>
      <c r="G16" s="24">
        <f>IF(D16="","",INDEX(VALOR!$B$5:$B$8,MATCH(D16,VALOR!$A$5:$A$8,0)))</f>
        <v/>
      </c>
      <c r="H16" s="15">
        <f>IF(OR(G16="",F16=""),0,F16*G16)</f>
        <v/>
      </c>
      <c r="I16" s="20" t="n"/>
      <c r="J16" s="20" t="n"/>
      <c r="K16" s="24">
        <f>IF(OR(O16=0,J16=""),0,INDEX(MAPA!$C$5:$C$14,MATCH(J16,MAPA!$A$5:$A$14,0)))</f>
        <v/>
      </c>
      <c r="L16" s="25">
        <f>H16+K16</f>
        <v/>
      </c>
      <c r="M16" s="20" t="n"/>
      <c r="N16" s="20" t="n"/>
      <c r="O16" s="14">
        <f>IF(A16="",0,IF(COUNTIF($A$5:A16,A16)=1,1,0))</f>
        <v/>
      </c>
    </row>
    <row r="17">
      <c r="A17" s="20" t="n"/>
      <c r="B17" s="21" t="n"/>
      <c r="C17" s="20" t="n"/>
      <c r="D17" s="22">
        <f>IF(C17="","",INDEX(MERCADORIA!$B$5:$B$22,MATCH(C17,MERCADORIA!$A$5:$A$22,0)))</f>
        <v/>
      </c>
      <c r="E17" s="22">
        <f>IF(C17="","",INDEX(MERCADORIA!$C$5:$C$22,MATCH(C17,MERCADORIA!$A$5:$A$22,0)))</f>
        <v/>
      </c>
      <c r="F17" s="23" t="n"/>
      <c r="G17" s="24">
        <f>IF(D17="","",INDEX(VALOR!$B$5:$B$8,MATCH(D17,VALOR!$A$5:$A$8,0)))</f>
        <v/>
      </c>
      <c r="H17" s="15">
        <f>IF(OR(G17="",F17=""),0,F17*G17)</f>
        <v/>
      </c>
      <c r="I17" s="20" t="n"/>
      <c r="J17" s="20" t="n"/>
      <c r="K17" s="24">
        <f>IF(OR(O17=0,J17=""),0,INDEX(MAPA!$C$5:$C$14,MATCH(J17,MAPA!$A$5:$A$14,0)))</f>
        <v/>
      </c>
      <c r="L17" s="25">
        <f>H17+K17</f>
        <v/>
      </c>
      <c r="M17" s="20" t="n"/>
      <c r="N17" s="20" t="n"/>
      <c r="O17" s="14">
        <f>IF(A17="",0,IF(COUNTIF($A$5:A17,A17)=1,1,0))</f>
        <v/>
      </c>
    </row>
    <row r="18">
      <c r="A18" s="20" t="n"/>
      <c r="B18" s="21" t="n"/>
      <c r="C18" s="20" t="n"/>
      <c r="D18" s="22">
        <f>IF(C18="","",INDEX(MERCADORIA!$B$5:$B$22,MATCH(C18,MERCADORIA!$A$5:$A$22,0)))</f>
        <v/>
      </c>
      <c r="E18" s="22">
        <f>IF(C18="","",INDEX(MERCADORIA!$C$5:$C$22,MATCH(C18,MERCADORIA!$A$5:$A$22,0)))</f>
        <v/>
      </c>
      <c r="F18" s="23" t="n"/>
      <c r="G18" s="24">
        <f>IF(D18="","",INDEX(VALOR!$B$5:$B$8,MATCH(D18,VALOR!$A$5:$A$8,0)))</f>
        <v/>
      </c>
      <c r="H18" s="15">
        <f>IF(OR(G18="",F18=""),0,F18*G18)</f>
        <v/>
      </c>
      <c r="I18" s="20" t="n"/>
      <c r="J18" s="20" t="n"/>
      <c r="K18" s="24">
        <f>IF(OR(O18=0,J18=""),0,INDEX(MAPA!$C$5:$C$14,MATCH(J18,MAPA!$A$5:$A$14,0)))</f>
        <v/>
      </c>
      <c r="L18" s="25">
        <f>H18+K18</f>
        <v/>
      </c>
      <c r="M18" s="20" t="n"/>
      <c r="N18" s="20" t="n"/>
      <c r="O18" s="14">
        <f>IF(A18="",0,IF(COUNTIF($A$5:A18,A18)=1,1,0))</f>
        <v/>
      </c>
    </row>
    <row r="19">
      <c r="A19" s="20" t="n"/>
      <c r="B19" s="21" t="n"/>
      <c r="C19" s="20" t="n"/>
      <c r="D19" s="22">
        <f>IF(C19="","",INDEX(MERCADORIA!$B$5:$B$22,MATCH(C19,MERCADORIA!$A$5:$A$22,0)))</f>
        <v/>
      </c>
      <c r="E19" s="22">
        <f>IF(C19="","",INDEX(MERCADORIA!$C$5:$C$22,MATCH(C19,MERCADORIA!$A$5:$A$22,0)))</f>
        <v/>
      </c>
      <c r="F19" s="23" t="n"/>
      <c r="G19" s="24">
        <f>IF(D19="","",INDEX(VALOR!$B$5:$B$8,MATCH(D19,VALOR!$A$5:$A$8,0)))</f>
        <v/>
      </c>
      <c r="H19" s="15">
        <f>IF(OR(G19="",F19=""),0,F19*G19)</f>
        <v/>
      </c>
      <c r="I19" s="20" t="n"/>
      <c r="J19" s="20" t="n"/>
      <c r="K19" s="24">
        <f>IF(OR(O19=0,J19=""),0,INDEX(MAPA!$C$5:$C$14,MATCH(J19,MAPA!$A$5:$A$14,0)))</f>
        <v/>
      </c>
      <c r="L19" s="25">
        <f>H19+K19</f>
        <v/>
      </c>
      <c r="M19" s="20" t="n"/>
      <c r="N19" s="20" t="n"/>
      <c r="O19" s="14">
        <f>IF(A19="",0,IF(COUNTIF($A$5:A19,A19)=1,1,0))</f>
        <v/>
      </c>
    </row>
    <row r="20">
      <c r="A20" s="20" t="n"/>
      <c r="B20" s="21" t="n"/>
      <c r="C20" s="20" t="n"/>
      <c r="D20" s="22">
        <f>IF(C20="","",INDEX(MERCADORIA!$B$5:$B$22,MATCH(C20,MERCADORIA!$A$5:$A$22,0)))</f>
        <v/>
      </c>
      <c r="E20" s="22">
        <f>IF(C20="","",INDEX(MERCADORIA!$C$5:$C$22,MATCH(C20,MERCADORIA!$A$5:$A$22,0)))</f>
        <v/>
      </c>
      <c r="F20" s="23" t="n"/>
      <c r="G20" s="24">
        <f>IF(D20="","",INDEX(VALOR!$B$5:$B$8,MATCH(D20,VALOR!$A$5:$A$8,0)))</f>
        <v/>
      </c>
      <c r="H20" s="15">
        <f>IF(OR(G20="",F20=""),0,F20*G20)</f>
        <v/>
      </c>
      <c r="I20" s="20" t="n"/>
      <c r="J20" s="20" t="n"/>
      <c r="K20" s="24">
        <f>IF(OR(O20=0,J20=""),0,INDEX(MAPA!$C$5:$C$14,MATCH(J20,MAPA!$A$5:$A$14,0)))</f>
        <v/>
      </c>
      <c r="L20" s="25">
        <f>H20+K20</f>
        <v/>
      </c>
      <c r="M20" s="20" t="n"/>
      <c r="N20" s="20" t="n"/>
      <c r="O20" s="14">
        <f>IF(A20="",0,IF(COUNTIF($A$5:A20,A20)=1,1,0))</f>
        <v/>
      </c>
    </row>
    <row r="21">
      <c r="A21" s="20" t="n"/>
      <c r="B21" s="21" t="n"/>
      <c r="C21" s="20" t="n"/>
      <c r="D21" s="22">
        <f>IF(C21="","",INDEX(MERCADORIA!$B$5:$B$22,MATCH(C21,MERCADORIA!$A$5:$A$22,0)))</f>
        <v/>
      </c>
      <c r="E21" s="22">
        <f>IF(C21="","",INDEX(MERCADORIA!$C$5:$C$22,MATCH(C21,MERCADORIA!$A$5:$A$22,0)))</f>
        <v/>
      </c>
      <c r="F21" s="23" t="n"/>
      <c r="G21" s="24">
        <f>IF(D21="","",INDEX(VALOR!$B$5:$B$8,MATCH(D21,VALOR!$A$5:$A$8,0)))</f>
        <v/>
      </c>
      <c r="H21" s="15">
        <f>IF(OR(G21="",F21=""),0,F21*G21)</f>
        <v/>
      </c>
      <c r="I21" s="20" t="n"/>
      <c r="J21" s="20" t="n"/>
      <c r="K21" s="24">
        <f>IF(OR(O21=0,J21=""),0,INDEX(MAPA!$C$5:$C$14,MATCH(J21,MAPA!$A$5:$A$14,0)))</f>
        <v/>
      </c>
      <c r="L21" s="25">
        <f>H21+K21</f>
        <v/>
      </c>
      <c r="M21" s="20" t="n"/>
      <c r="N21" s="20" t="n"/>
      <c r="O21" s="14">
        <f>IF(A21="",0,IF(COUNTIF($A$5:A21,A21)=1,1,0))</f>
        <v/>
      </c>
    </row>
    <row r="22">
      <c r="A22" s="20" t="n"/>
      <c r="B22" s="21" t="n"/>
      <c r="C22" s="20" t="n"/>
      <c r="D22" s="22">
        <f>IF(C22="","",INDEX(MERCADORIA!$B$5:$B$22,MATCH(C22,MERCADORIA!$A$5:$A$22,0)))</f>
        <v/>
      </c>
      <c r="E22" s="22">
        <f>IF(C22="","",INDEX(MERCADORIA!$C$5:$C$22,MATCH(C22,MERCADORIA!$A$5:$A$22,0)))</f>
        <v/>
      </c>
      <c r="F22" s="23" t="n"/>
      <c r="G22" s="24">
        <f>IF(D22="","",INDEX(VALOR!$B$5:$B$8,MATCH(D22,VALOR!$A$5:$A$8,0)))</f>
        <v/>
      </c>
      <c r="H22" s="15">
        <f>IF(OR(G22="",F22=""),0,F22*G22)</f>
        <v/>
      </c>
      <c r="I22" s="20" t="n"/>
      <c r="J22" s="20" t="n"/>
      <c r="K22" s="24">
        <f>IF(OR(O22=0,J22=""),0,INDEX(MAPA!$C$5:$C$14,MATCH(J22,MAPA!$A$5:$A$14,0)))</f>
        <v/>
      </c>
      <c r="L22" s="25">
        <f>H22+K22</f>
        <v/>
      </c>
      <c r="M22" s="20" t="n"/>
      <c r="N22" s="20" t="n"/>
      <c r="O22" s="14">
        <f>IF(A22="",0,IF(COUNTIF($A$5:A22,A22)=1,1,0))</f>
        <v/>
      </c>
    </row>
    <row r="23">
      <c r="A23" s="20" t="n"/>
      <c r="B23" s="21" t="n"/>
      <c r="C23" s="20" t="n"/>
      <c r="D23" s="22">
        <f>IF(C23="","",INDEX(MERCADORIA!$B$5:$B$22,MATCH(C23,MERCADORIA!$A$5:$A$22,0)))</f>
        <v/>
      </c>
      <c r="E23" s="22">
        <f>IF(C23="","",INDEX(MERCADORIA!$C$5:$C$22,MATCH(C23,MERCADORIA!$A$5:$A$22,0)))</f>
        <v/>
      </c>
      <c r="F23" s="23" t="n"/>
      <c r="G23" s="24">
        <f>IF(D23="","",INDEX(VALOR!$B$5:$B$8,MATCH(D23,VALOR!$A$5:$A$8,0)))</f>
        <v/>
      </c>
      <c r="H23" s="15">
        <f>IF(OR(G23="",F23=""),0,F23*G23)</f>
        <v/>
      </c>
      <c r="I23" s="20" t="n"/>
      <c r="J23" s="20" t="n"/>
      <c r="K23" s="24">
        <f>IF(OR(O23=0,J23=""),0,INDEX(MAPA!$C$5:$C$14,MATCH(J23,MAPA!$A$5:$A$14,0)))</f>
        <v/>
      </c>
      <c r="L23" s="25">
        <f>H23+K23</f>
        <v/>
      </c>
      <c r="M23" s="20" t="n"/>
      <c r="N23" s="20" t="n"/>
      <c r="O23" s="14">
        <f>IF(A23="",0,IF(COUNTIF($A$5:A23,A23)=1,1,0))</f>
        <v/>
      </c>
    </row>
    <row r="24">
      <c r="A24" s="20" t="n"/>
      <c r="B24" s="21" t="n"/>
      <c r="C24" s="20" t="n"/>
      <c r="D24" s="22">
        <f>IF(C24="","",INDEX(MERCADORIA!$B$5:$B$22,MATCH(C24,MERCADORIA!$A$5:$A$22,0)))</f>
        <v/>
      </c>
      <c r="E24" s="22">
        <f>IF(C24="","",INDEX(MERCADORIA!$C$5:$C$22,MATCH(C24,MERCADORIA!$A$5:$A$22,0)))</f>
        <v/>
      </c>
      <c r="F24" s="23" t="n"/>
      <c r="G24" s="24">
        <f>IF(D24="","",INDEX(VALOR!$B$5:$B$8,MATCH(D24,VALOR!$A$5:$A$8,0)))</f>
        <v/>
      </c>
      <c r="H24" s="15">
        <f>IF(OR(G24="",F24=""),0,F24*G24)</f>
        <v/>
      </c>
      <c r="I24" s="20" t="n"/>
      <c r="J24" s="20" t="n"/>
      <c r="K24" s="24">
        <f>IF(OR(O24=0,J24=""),0,INDEX(MAPA!$C$5:$C$14,MATCH(J24,MAPA!$A$5:$A$14,0)))</f>
        <v/>
      </c>
      <c r="L24" s="25">
        <f>H24+K24</f>
        <v/>
      </c>
      <c r="M24" s="20" t="n"/>
      <c r="N24" s="20" t="n"/>
      <c r="O24" s="14">
        <f>IF(A24="",0,IF(COUNTIF($A$5:A24,A24)=1,1,0))</f>
        <v/>
      </c>
    </row>
    <row r="25">
      <c r="A25" s="20" t="n"/>
      <c r="B25" s="21" t="n"/>
      <c r="C25" s="20" t="n"/>
      <c r="D25" s="22">
        <f>IF(C25="","",INDEX(MERCADORIA!$B$5:$B$22,MATCH(C25,MERCADORIA!$A$5:$A$22,0)))</f>
        <v/>
      </c>
      <c r="E25" s="22">
        <f>IF(C25="","",INDEX(MERCADORIA!$C$5:$C$22,MATCH(C25,MERCADORIA!$A$5:$A$22,0)))</f>
        <v/>
      </c>
      <c r="F25" s="23" t="n"/>
      <c r="G25" s="24">
        <f>IF(D25="","",INDEX(VALOR!$B$5:$B$8,MATCH(D25,VALOR!$A$5:$A$8,0)))</f>
        <v/>
      </c>
      <c r="H25" s="15">
        <f>IF(OR(G25="",F25=""),0,F25*G25)</f>
        <v/>
      </c>
      <c r="I25" s="20" t="n"/>
      <c r="J25" s="20" t="n"/>
      <c r="K25" s="24">
        <f>IF(OR(O25=0,J25=""),0,INDEX(MAPA!$C$5:$C$14,MATCH(J25,MAPA!$A$5:$A$14,0)))</f>
        <v/>
      </c>
      <c r="L25" s="25">
        <f>H25+K25</f>
        <v/>
      </c>
      <c r="M25" s="20" t="n"/>
      <c r="N25" s="20" t="n"/>
      <c r="O25" s="14">
        <f>IF(A25="",0,IF(COUNTIF($A$5:A25,A25)=1,1,0))</f>
        <v/>
      </c>
    </row>
    <row r="26">
      <c r="A26" s="20" t="n"/>
      <c r="B26" s="21" t="n"/>
      <c r="C26" s="20" t="n"/>
      <c r="D26" s="22">
        <f>IF(C26="","",INDEX(MERCADORIA!$B$5:$B$22,MATCH(C26,MERCADORIA!$A$5:$A$22,0)))</f>
        <v/>
      </c>
      <c r="E26" s="22">
        <f>IF(C26="","",INDEX(MERCADORIA!$C$5:$C$22,MATCH(C26,MERCADORIA!$A$5:$A$22,0)))</f>
        <v/>
      </c>
      <c r="F26" s="23" t="n"/>
      <c r="G26" s="24">
        <f>IF(D26="","",INDEX(VALOR!$B$5:$B$8,MATCH(D26,VALOR!$A$5:$A$8,0)))</f>
        <v/>
      </c>
      <c r="H26" s="15">
        <f>IF(OR(G26="",F26=""),0,F26*G26)</f>
        <v/>
      </c>
      <c r="I26" s="20" t="n"/>
      <c r="J26" s="20" t="n"/>
      <c r="K26" s="24">
        <f>IF(OR(O26=0,J26=""),0,INDEX(MAPA!$C$5:$C$14,MATCH(J26,MAPA!$A$5:$A$14,0)))</f>
        <v/>
      </c>
      <c r="L26" s="25">
        <f>H26+K26</f>
        <v/>
      </c>
      <c r="M26" s="20" t="n"/>
      <c r="N26" s="20" t="n"/>
      <c r="O26" s="14">
        <f>IF(A26="",0,IF(COUNTIF($A$5:A26,A26)=1,1,0))</f>
        <v/>
      </c>
    </row>
    <row r="27">
      <c r="A27" s="20" t="n"/>
      <c r="B27" s="21" t="n"/>
      <c r="C27" s="20" t="n"/>
      <c r="D27" s="22">
        <f>IF(C27="","",INDEX(MERCADORIA!$B$5:$B$22,MATCH(C27,MERCADORIA!$A$5:$A$22,0)))</f>
        <v/>
      </c>
      <c r="E27" s="22">
        <f>IF(C27="","",INDEX(MERCADORIA!$C$5:$C$22,MATCH(C27,MERCADORIA!$A$5:$A$22,0)))</f>
        <v/>
      </c>
      <c r="F27" s="23" t="n"/>
      <c r="G27" s="24">
        <f>IF(D27="","",INDEX(VALOR!$B$5:$B$8,MATCH(D27,VALOR!$A$5:$A$8,0)))</f>
        <v/>
      </c>
      <c r="H27" s="15">
        <f>IF(OR(G27="",F27=""),0,F27*G27)</f>
        <v/>
      </c>
      <c r="I27" s="20" t="n"/>
      <c r="J27" s="20" t="n"/>
      <c r="K27" s="24">
        <f>IF(OR(O27=0,J27=""),0,INDEX(MAPA!$C$5:$C$14,MATCH(J27,MAPA!$A$5:$A$14,0)))</f>
        <v/>
      </c>
      <c r="L27" s="25">
        <f>H27+K27</f>
        <v/>
      </c>
      <c r="M27" s="20" t="n"/>
      <c r="N27" s="20" t="n"/>
      <c r="O27" s="14">
        <f>IF(A27="",0,IF(COUNTIF($A$5:A27,A27)=1,1,0))</f>
        <v/>
      </c>
    </row>
    <row r="28">
      <c r="A28" s="20" t="n"/>
      <c r="B28" s="21" t="n"/>
      <c r="C28" s="20" t="n"/>
      <c r="D28" s="22">
        <f>IF(C28="","",INDEX(MERCADORIA!$B$5:$B$22,MATCH(C28,MERCADORIA!$A$5:$A$22,0)))</f>
        <v/>
      </c>
      <c r="E28" s="22">
        <f>IF(C28="","",INDEX(MERCADORIA!$C$5:$C$22,MATCH(C28,MERCADORIA!$A$5:$A$22,0)))</f>
        <v/>
      </c>
      <c r="F28" s="23" t="n"/>
      <c r="G28" s="24">
        <f>IF(D28="","",INDEX(VALOR!$B$5:$B$8,MATCH(D28,VALOR!$A$5:$A$8,0)))</f>
        <v/>
      </c>
      <c r="H28" s="15">
        <f>IF(OR(G28="",F28=""),0,F28*G28)</f>
        <v/>
      </c>
      <c r="I28" s="20" t="n"/>
      <c r="J28" s="20" t="n"/>
      <c r="K28" s="24">
        <f>IF(OR(O28=0,J28=""),0,INDEX(MAPA!$C$5:$C$14,MATCH(J28,MAPA!$A$5:$A$14,0)))</f>
        <v/>
      </c>
      <c r="L28" s="25">
        <f>H28+K28</f>
        <v/>
      </c>
      <c r="M28" s="20" t="n"/>
      <c r="N28" s="20" t="n"/>
      <c r="O28" s="14">
        <f>IF(A28="",0,IF(COUNTIF($A$5:A28,A28)=1,1,0))</f>
        <v/>
      </c>
    </row>
    <row r="29">
      <c r="A29" s="20" t="n"/>
      <c r="B29" s="21" t="n"/>
      <c r="C29" s="20" t="n"/>
      <c r="D29" s="22">
        <f>IF(C29="","",INDEX(MERCADORIA!$B$5:$B$22,MATCH(C29,MERCADORIA!$A$5:$A$22,0)))</f>
        <v/>
      </c>
      <c r="E29" s="22">
        <f>IF(C29="","",INDEX(MERCADORIA!$C$5:$C$22,MATCH(C29,MERCADORIA!$A$5:$A$22,0)))</f>
        <v/>
      </c>
      <c r="F29" s="23" t="n"/>
      <c r="G29" s="24">
        <f>IF(D29="","",INDEX(VALOR!$B$5:$B$8,MATCH(D29,VALOR!$A$5:$A$8,0)))</f>
        <v/>
      </c>
      <c r="H29" s="15">
        <f>IF(OR(G29="",F29=""),0,F29*G29)</f>
        <v/>
      </c>
      <c r="I29" s="20" t="n"/>
      <c r="J29" s="20" t="n"/>
      <c r="K29" s="24">
        <f>IF(OR(O29=0,J29=""),0,INDEX(MAPA!$C$5:$C$14,MATCH(J29,MAPA!$A$5:$A$14,0)))</f>
        <v/>
      </c>
      <c r="L29" s="25">
        <f>H29+K29</f>
        <v/>
      </c>
      <c r="M29" s="20" t="n"/>
      <c r="N29" s="20" t="n"/>
      <c r="O29" s="14">
        <f>IF(A29="",0,IF(COUNTIF($A$5:A29,A29)=1,1,0))</f>
        <v/>
      </c>
    </row>
    <row r="30">
      <c r="A30" s="20" t="n"/>
      <c r="B30" s="21" t="n"/>
      <c r="C30" s="20" t="n"/>
      <c r="D30" s="22">
        <f>IF(C30="","",INDEX(MERCADORIA!$B$5:$B$22,MATCH(C30,MERCADORIA!$A$5:$A$22,0)))</f>
        <v/>
      </c>
      <c r="E30" s="22">
        <f>IF(C30="","",INDEX(MERCADORIA!$C$5:$C$22,MATCH(C30,MERCADORIA!$A$5:$A$22,0)))</f>
        <v/>
      </c>
      <c r="F30" s="23" t="n"/>
      <c r="G30" s="24">
        <f>IF(D30="","",INDEX(VALOR!$B$5:$B$8,MATCH(D30,VALOR!$A$5:$A$8,0)))</f>
        <v/>
      </c>
      <c r="H30" s="15">
        <f>IF(OR(G30="",F30=""),0,F30*G30)</f>
        <v/>
      </c>
      <c r="I30" s="20" t="n"/>
      <c r="J30" s="20" t="n"/>
      <c r="K30" s="24">
        <f>IF(OR(O30=0,J30=""),0,INDEX(MAPA!$C$5:$C$14,MATCH(J30,MAPA!$A$5:$A$14,0)))</f>
        <v/>
      </c>
      <c r="L30" s="25">
        <f>H30+K30</f>
        <v/>
      </c>
      <c r="M30" s="20" t="n"/>
      <c r="N30" s="20" t="n"/>
      <c r="O30" s="14">
        <f>IF(A30="",0,IF(COUNTIF($A$5:A30,A30)=1,1,0))</f>
        <v/>
      </c>
    </row>
    <row r="31">
      <c r="A31" s="20" t="n"/>
      <c r="B31" s="21" t="n"/>
      <c r="C31" s="20" t="n"/>
      <c r="D31" s="22">
        <f>IF(C31="","",INDEX(MERCADORIA!$B$5:$B$22,MATCH(C31,MERCADORIA!$A$5:$A$22,0)))</f>
        <v/>
      </c>
      <c r="E31" s="22">
        <f>IF(C31="","",INDEX(MERCADORIA!$C$5:$C$22,MATCH(C31,MERCADORIA!$A$5:$A$22,0)))</f>
        <v/>
      </c>
      <c r="F31" s="23" t="n"/>
      <c r="G31" s="24">
        <f>IF(D31="","",INDEX(VALOR!$B$5:$B$8,MATCH(D31,VALOR!$A$5:$A$8,0)))</f>
        <v/>
      </c>
      <c r="H31" s="15">
        <f>IF(OR(G31="",F31=""),0,F31*G31)</f>
        <v/>
      </c>
      <c r="I31" s="20" t="n"/>
      <c r="J31" s="20" t="n"/>
      <c r="K31" s="24">
        <f>IF(OR(O31=0,J31=""),0,INDEX(MAPA!$C$5:$C$14,MATCH(J31,MAPA!$A$5:$A$14,0)))</f>
        <v/>
      </c>
      <c r="L31" s="25">
        <f>H31+K31</f>
        <v/>
      </c>
      <c r="M31" s="20" t="n"/>
      <c r="N31" s="20" t="n"/>
      <c r="O31" s="14">
        <f>IF(A31="",0,IF(COUNTIF($A$5:A31,A31)=1,1,0))</f>
        <v/>
      </c>
    </row>
    <row r="32">
      <c r="A32" s="20" t="n"/>
      <c r="B32" s="21" t="n"/>
      <c r="C32" s="20" t="n"/>
      <c r="D32" s="22">
        <f>IF(C32="","",INDEX(MERCADORIA!$B$5:$B$22,MATCH(C32,MERCADORIA!$A$5:$A$22,0)))</f>
        <v/>
      </c>
      <c r="E32" s="22">
        <f>IF(C32="","",INDEX(MERCADORIA!$C$5:$C$22,MATCH(C32,MERCADORIA!$A$5:$A$22,0)))</f>
        <v/>
      </c>
      <c r="F32" s="23" t="n"/>
      <c r="G32" s="24">
        <f>IF(D32="","",INDEX(VALOR!$B$5:$B$8,MATCH(D32,VALOR!$A$5:$A$8,0)))</f>
        <v/>
      </c>
      <c r="H32" s="15">
        <f>IF(OR(G32="",F32=""),0,F32*G32)</f>
        <v/>
      </c>
      <c r="I32" s="20" t="n"/>
      <c r="J32" s="20" t="n"/>
      <c r="K32" s="24">
        <f>IF(OR(O32=0,J32=""),0,INDEX(MAPA!$C$5:$C$14,MATCH(J32,MAPA!$A$5:$A$14,0)))</f>
        <v/>
      </c>
      <c r="L32" s="25">
        <f>H32+K32</f>
        <v/>
      </c>
      <c r="M32" s="20" t="n"/>
      <c r="N32" s="20" t="n"/>
      <c r="O32" s="14">
        <f>IF(A32="",0,IF(COUNTIF($A$5:A32,A32)=1,1,0))</f>
        <v/>
      </c>
    </row>
    <row r="33">
      <c r="A33" s="20" t="n"/>
      <c r="B33" s="21" t="n"/>
      <c r="C33" s="20" t="n"/>
      <c r="D33" s="22">
        <f>IF(C33="","",INDEX(MERCADORIA!$B$5:$B$22,MATCH(C33,MERCADORIA!$A$5:$A$22,0)))</f>
        <v/>
      </c>
      <c r="E33" s="22">
        <f>IF(C33="","",INDEX(MERCADORIA!$C$5:$C$22,MATCH(C33,MERCADORIA!$A$5:$A$22,0)))</f>
        <v/>
      </c>
      <c r="F33" s="23" t="n"/>
      <c r="G33" s="24">
        <f>IF(D33="","",INDEX(VALOR!$B$5:$B$8,MATCH(D33,VALOR!$A$5:$A$8,0)))</f>
        <v/>
      </c>
      <c r="H33" s="15">
        <f>IF(OR(G33="",F33=""),0,F33*G33)</f>
        <v/>
      </c>
      <c r="I33" s="20" t="n"/>
      <c r="J33" s="20" t="n"/>
      <c r="K33" s="24">
        <f>IF(OR(O33=0,J33=""),0,INDEX(MAPA!$C$5:$C$14,MATCH(J33,MAPA!$A$5:$A$14,0)))</f>
        <v/>
      </c>
      <c r="L33" s="25">
        <f>H33+K33</f>
        <v/>
      </c>
      <c r="M33" s="20" t="n"/>
      <c r="N33" s="20" t="n"/>
      <c r="O33" s="14">
        <f>IF(A33="",0,IF(COUNTIF($A$5:A33,A33)=1,1,0))</f>
        <v/>
      </c>
    </row>
    <row r="34">
      <c r="A34" s="20" t="n"/>
      <c r="B34" s="21" t="n"/>
      <c r="C34" s="20" t="n"/>
      <c r="D34" s="22">
        <f>IF(C34="","",INDEX(MERCADORIA!$B$5:$B$22,MATCH(C34,MERCADORIA!$A$5:$A$22,0)))</f>
        <v/>
      </c>
      <c r="E34" s="22">
        <f>IF(C34="","",INDEX(MERCADORIA!$C$5:$C$22,MATCH(C34,MERCADORIA!$A$5:$A$22,0)))</f>
        <v/>
      </c>
      <c r="F34" s="23" t="n"/>
      <c r="G34" s="24">
        <f>IF(D34="","",INDEX(VALOR!$B$5:$B$8,MATCH(D34,VALOR!$A$5:$A$8,0)))</f>
        <v/>
      </c>
      <c r="H34" s="15">
        <f>IF(OR(G34="",F34=""),0,F34*G34)</f>
        <v/>
      </c>
      <c r="I34" s="20" t="n"/>
      <c r="J34" s="20" t="n"/>
      <c r="K34" s="24">
        <f>IF(OR(O34=0,J34=""),0,INDEX(MAPA!$C$5:$C$14,MATCH(J34,MAPA!$A$5:$A$14,0)))</f>
        <v/>
      </c>
      <c r="L34" s="25">
        <f>H34+K34</f>
        <v/>
      </c>
      <c r="M34" s="20" t="n"/>
      <c r="N34" s="20" t="n"/>
      <c r="O34" s="14">
        <f>IF(A34="",0,IF(COUNTIF($A$5:A34,A34)=1,1,0))</f>
        <v/>
      </c>
    </row>
    <row r="35">
      <c r="A35" s="20" t="n"/>
      <c r="B35" s="21" t="n"/>
      <c r="C35" s="20" t="n"/>
      <c r="D35" s="22">
        <f>IF(C35="","",INDEX(MERCADORIA!$B$5:$B$22,MATCH(C35,MERCADORIA!$A$5:$A$22,0)))</f>
        <v/>
      </c>
      <c r="E35" s="22">
        <f>IF(C35="","",INDEX(MERCADORIA!$C$5:$C$22,MATCH(C35,MERCADORIA!$A$5:$A$22,0)))</f>
        <v/>
      </c>
      <c r="F35" s="23" t="n"/>
      <c r="G35" s="24">
        <f>IF(D35="","",INDEX(VALOR!$B$5:$B$8,MATCH(D35,VALOR!$A$5:$A$8,0)))</f>
        <v/>
      </c>
      <c r="H35" s="15">
        <f>IF(OR(G35="",F35=""),0,F35*G35)</f>
        <v/>
      </c>
      <c r="I35" s="20" t="n"/>
      <c r="J35" s="20" t="n"/>
      <c r="K35" s="24">
        <f>IF(OR(O35=0,J35=""),0,INDEX(MAPA!$C$5:$C$14,MATCH(J35,MAPA!$A$5:$A$14,0)))</f>
        <v/>
      </c>
      <c r="L35" s="25">
        <f>H35+K35</f>
        <v/>
      </c>
      <c r="M35" s="20" t="n"/>
      <c r="N35" s="20" t="n"/>
      <c r="O35" s="14">
        <f>IF(A35="",0,IF(COUNTIF($A$5:A35,A35)=1,1,0))</f>
        <v/>
      </c>
    </row>
    <row r="36">
      <c r="A36" s="20" t="n"/>
      <c r="B36" s="21" t="n"/>
      <c r="C36" s="20" t="n"/>
      <c r="D36" s="22">
        <f>IF(C36="","",INDEX(MERCADORIA!$B$5:$B$22,MATCH(C36,MERCADORIA!$A$5:$A$22,0)))</f>
        <v/>
      </c>
      <c r="E36" s="22">
        <f>IF(C36="","",INDEX(MERCADORIA!$C$5:$C$22,MATCH(C36,MERCADORIA!$A$5:$A$22,0)))</f>
        <v/>
      </c>
      <c r="F36" s="23" t="n"/>
      <c r="G36" s="24">
        <f>IF(D36="","",INDEX(VALOR!$B$5:$B$8,MATCH(D36,VALOR!$A$5:$A$8,0)))</f>
        <v/>
      </c>
      <c r="H36" s="15">
        <f>IF(OR(G36="",F36=""),0,F36*G36)</f>
        <v/>
      </c>
      <c r="I36" s="20" t="n"/>
      <c r="J36" s="20" t="n"/>
      <c r="K36" s="24">
        <f>IF(OR(O36=0,J36=""),0,INDEX(MAPA!$C$5:$C$14,MATCH(J36,MAPA!$A$5:$A$14,0)))</f>
        <v/>
      </c>
      <c r="L36" s="25">
        <f>H36+K36</f>
        <v/>
      </c>
      <c r="M36" s="20" t="n"/>
      <c r="N36" s="20" t="n"/>
      <c r="O36" s="14">
        <f>IF(A36="",0,IF(COUNTIF($A$5:A36,A36)=1,1,0))</f>
        <v/>
      </c>
    </row>
    <row r="37">
      <c r="A37" s="20" t="n"/>
      <c r="B37" s="21" t="n"/>
      <c r="C37" s="20" t="n"/>
      <c r="D37" s="22">
        <f>IF(C37="","",INDEX(MERCADORIA!$B$5:$B$22,MATCH(C37,MERCADORIA!$A$5:$A$22,0)))</f>
        <v/>
      </c>
      <c r="E37" s="22">
        <f>IF(C37="","",INDEX(MERCADORIA!$C$5:$C$22,MATCH(C37,MERCADORIA!$A$5:$A$22,0)))</f>
        <v/>
      </c>
      <c r="F37" s="23" t="n"/>
      <c r="G37" s="24">
        <f>IF(D37="","",INDEX(VALOR!$B$5:$B$8,MATCH(D37,VALOR!$A$5:$A$8,0)))</f>
        <v/>
      </c>
      <c r="H37" s="15">
        <f>IF(OR(G37="",F37=""),0,F37*G37)</f>
        <v/>
      </c>
      <c r="I37" s="20" t="n"/>
      <c r="J37" s="20" t="n"/>
      <c r="K37" s="24">
        <f>IF(OR(O37=0,J37=""),0,INDEX(MAPA!$C$5:$C$14,MATCH(J37,MAPA!$A$5:$A$14,0)))</f>
        <v/>
      </c>
      <c r="L37" s="25">
        <f>H37+K37</f>
        <v/>
      </c>
      <c r="M37" s="20" t="n"/>
      <c r="N37" s="20" t="n"/>
      <c r="O37" s="14">
        <f>IF(A37="",0,IF(COUNTIF($A$5:A37,A37)=1,1,0))</f>
        <v/>
      </c>
    </row>
    <row r="38">
      <c r="A38" s="20" t="n"/>
      <c r="B38" s="21" t="n"/>
      <c r="C38" s="20" t="n"/>
      <c r="D38" s="22">
        <f>IF(C38="","",INDEX(MERCADORIA!$B$5:$B$22,MATCH(C38,MERCADORIA!$A$5:$A$22,0)))</f>
        <v/>
      </c>
      <c r="E38" s="22">
        <f>IF(C38="","",INDEX(MERCADORIA!$C$5:$C$22,MATCH(C38,MERCADORIA!$A$5:$A$22,0)))</f>
        <v/>
      </c>
      <c r="F38" s="23" t="n"/>
      <c r="G38" s="24">
        <f>IF(D38="","",INDEX(VALOR!$B$5:$B$8,MATCH(D38,VALOR!$A$5:$A$8,0)))</f>
        <v/>
      </c>
      <c r="H38" s="15">
        <f>IF(OR(G38="",F38=""),0,F38*G38)</f>
        <v/>
      </c>
      <c r="I38" s="20" t="n"/>
      <c r="J38" s="20" t="n"/>
      <c r="K38" s="24">
        <f>IF(OR(O38=0,J38=""),0,INDEX(MAPA!$C$5:$C$14,MATCH(J38,MAPA!$A$5:$A$14,0)))</f>
        <v/>
      </c>
      <c r="L38" s="25">
        <f>H38+K38</f>
        <v/>
      </c>
      <c r="M38" s="20" t="n"/>
      <c r="N38" s="20" t="n"/>
      <c r="O38" s="14">
        <f>IF(A38="",0,IF(COUNTIF($A$5:A38,A38)=1,1,0))</f>
        <v/>
      </c>
    </row>
    <row r="39">
      <c r="A39" s="20" t="n"/>
      <c r="B39" s="21" t="n"/>
      <c r="C39" s="20" t="n"/>
      <c r="D39" s="22">
        <f>IF(C39="","",INDEX(MERCADORIA!$B$5:$B$22,MATCH(C39,MERCADORIA!$A$5:$A$22,0)))</f>
        <v/>
      </c>
      <c r="E39" s="22">
        <f>IF(C39="","",INDEX(MERCADORIA!$C$5:$C$22,MATCH(C39,MERCADORIA!$A$5:$A$22,0)))</f>
        <v/>
      </c>
      <c r="F39" s="23" t="n"/>
      <c r="G39" s="24">
        <f>IF(D39="","",INDEX(VALOR!$B$5:$B$8,MATCH(D39,VALOR!$A$5:$A$8,0)))</f>
        <v/>
      </c>
      <c r="H39" s="15">
        <f>IF(OR(G39="",F39=""),0,F39*G39)</f>
        <v/>
      </c>
      <c r="I39" s="20" t="n"/>
      <c r="J39" s="20" t="n"/>
      <c r="K39" s="24">
        <f>IF(OR(O39=0,J39=""),0,INDEX(MAPA!$C$5:$C$14,MATCH(J39,MAPA!$A$5:$A$14,0)))</f>
        <v/>
      </c>
      <c r="L39" s="25">
        <f>H39+K39</f>
        <v/>
      </c>
      <c r="M39" s="20" t="n"/>
      <c r="N39" s="20" t="n"/>
      <c r="O39" s="14">
        <f>IF(A39="",0,IF(COUNTIF($A$5:A39,A39)=1,1,0))</f>
        <v/>
      </c>
    </row>
    <row r="40">
      <c r="A40" s="20" t="n"/>
      <c r="B40" s="21" t="n"/>
      <c r="C40" s="20" t="n"/>
      <c r="D40" s="22">
        <f>IF(C40="","",INDEX(MERCADORIA!$B$5:$B$22,MATCH(C40,MERCADORIA!$A$5:$A$22,0)))</f>
        <v/>
      </c>
      <c r="E40" s="22">
        <f>IF(C40="","",INDEX(MERCADORIA!$C$5:$C$22,MATCH(C40,MERCADORIA!$A$5:$A$22,0)))</f>
        <v/>
      </c>
      <c r="F40" s="23" t="n"/>
      <c r="G40" s="24">
        <f>IF(D40="","",INDEX(VALOR!$B$5:$B$8,MATCH(D40,VALOR!$A$5:$A$8,0)))</f>
        <v/>
      </c>
      <c r="H40" s="15">
        <f>IF(OR(G40="",F40=""),0,F40*G40)</f>
        <v/>
      </c>
      <c r="I40" s="20" t="n"/>
      <c r="J40" s="20" t="n"/>
      <c r="K40" s="24">
        <f>IF(OR(O40=0,J40=""),0,INDEX(MAPA!$C$5:$C$14,MATCH(J40,MAPA!$A$5:$A$14,0)))</f>
        <v/>
      </c>
      <c r="L40" s="25">
        <f>H40+K40</f>
        <v/>
      </c>
      <c r="M40" s="20" t="n"/>
      <c r="N40" s="20" t="n"/>
      <c r="O40" s="14">
        <f>IF(A40="",0,IF(COUNTIF($A$5:A40,A40)=1,1,0))</f>
        <v/>
      </c>
    </row>
    <row r="41">
      <c r="A41" s="20" t="n"/>
      <c r="B41" s="21" t="n"/>
      <c r="C41" s="20" t="n"/>
      <c r="D41" s="22">
        <f>IF(C41="","",INDEX(MERCADORIA!$B$5:$B$22,MATCH(C41,MERCADORIA!$A$5:$A$22,0)))</f>
        <v/>
      </c>
      <c r="E41" s="22">
        <f>IF(C41="","",INDEX(MERCADORIA!$C$5:$C$22,MATCH(C41,MERCADORIA!$A$5:$A$22,0)))</f>
        <v/>
      </c>
      <c r="F41" s="23" t="n"/>
      <c r="G41" s="24">
        <f>IF(D41="","",INDEX(VALOR!$B$5:$B$8,MATCH(D41,VALOR!$A$5:$A$8,0)))</f>
        <v/>
      </c>
      <c r="H41" s="15">
        <f>IF(OR(G41="",F41=""),0,F41*G41)</f>
        <v/>
      </c>
      <c r="I41" s="20" t="n"/>
      <c r="J41" s="20" t="n"/>
      <c r="K41" s="24">
        <f>IF(OR(O41=0,J41=""),0,INDEX(MAPA!$C$5:$C$14,MATCH(J41,MAPA!$A$5:$A$14,0)))</f>
        <v/>
      </c>
      <c r="L41" s="25">
        <f>H41+K41</f>
        <v/>
      </c>
      <c r="M41" s="20" t="n"/>
      <c r="N41" s="20" t="n"/>
      <c r="O41" s="14">
        <f>IF(A41="",0,IF(COUNTIF($A$5:A41,A41)=1,1,0))</f>
        <v/>
      </c>
    </row>
    <row r="42">
      <c r="A42" s="20" t="n"/>
      <c r="B42" s="21" t="n"/>
      <c r="C42" s="20" t="n"/>
      <c r="D42" s="22">
        <f>IF(C42="","",INDEX(MERCADORIA!$B$5:$B$22,MATCH(C42,MERCADORIA!$A$5:$A$22,0)))</f>
        <v/>
      </c>
      <c r="E42" s="22">
        <f>IF(C42="","",INDEX(MERCADORIA!$C$5:$C$22,MATCH(C42,MERCADORIA!$A$5:$A$22,0)))</f>
        <v/>
      </c>
      <c r="F42" s="23" t="n"/>
      <c r="G42" s="24">
        <f>IF(D42="","",INDEX(VALOR!$B$5:$B$8,MATCH(D42,VALOR!$A$5:$A$8,0)))</f>
        <v/>
      </c>
      <c r="H42" s="15">
        <f>IF(OR(G42="",F42=""),0,F42*G42)</f>
        <v/>
      </c>
      <c r="I42" s="20" t="n"/>
      <c r="J42" s="20" t="n"/>
      <c r="K42" s="24">
        <f>IF(OR(O42=0,J42=""),0,INDEX(MAPA!$C$5:$C$14,MATCH(J42,MAPA!$A$5:$A$14,0)))</f>
        <v/>
      </c>
      <c r="L42" s="25">
        <f>H42+K42</f>
        <v/>
      </c>
      <c r="M42" s="20" t="n"/>
      <c r="N42" s="20" t="n"/>
      <c r="O42" s="14">
        <f>IF(A42="",0,IF(COUNTIF($A$5:A42,A42)=1,1,0))</f>
        <v/>
      </c>
    </row>
    <row r="43">
      <c r="A43" s="20" t="n"/>
      <c r="B43" s="21" t="n"/>
      <c r="C43" s="20" t="n"/>
      <c r="D43" s="22">
        <f>IF(C43="","",INDEX(MERCADORIA!$B$5:$B$22,MATCH(C43,MERCADORIA!$A$5:$A$22,0)))</f>
        <v/>
      </c>
      <c r="E43" s="22">
        <f>IF(C43="","",INDEX(MERCADORIA!$C$5:$C$22,MATCH(C43,MERCADORIA!$A$5:$A$22,0)))</f>
        <v/>
      </c>
      <c r="F43" s="23" t="n"/>
      <c r="G43" s="24">
        <f>IF(D43="","",INDEX(VALOR!$B$5:$B$8,MATCH(D43,VALOR!$A$5:$A$8,0)))</f>
        <v/>
      </c>
      <c r="H43" s="15">
        <f>IF(OR(G43="",F43=""),0,F43*G43)</f>
        <v/>
      </c>
      <c r="I43" s="20" t="n"/>
      <c r="J43" s="20" t="n"/>
      <c r="K43" s="24">
        <f>IF(OR(O43=0,J43=""),0,INDEX(MAPA!$C$5:$C$14,MATCH(J43,MAPA!$A$5:$A$14,0)))</f>
        <v/>
      </c>
      <c r="L43" s="25">
        <f>H43+K43</f>
        <v/>
      </c>
      <c r="M43" s="20" t="n"/>
      <c r="N43" s="20" t="n"/>
      <c r="O43" s="14">
        <f>IF(A43="",0,IF(COUNTIF($A$5:A43,A43)=1,1,0))</f>
        <v/>
      </c>
    </row>
    <row r="44">
      <c r="A44" s="20" t="n"/>
      <c r="B44" s="21" t="n"/>
      <c r="C44" s="20" t="n"/>
      <c r="D44" s="22">
        <f>IF(C44="","",INDEX(MERCADORIA!$B$5:$B$22,MATCH(C44,MERCADORIA!$A$5:$A$22,0)))</f>
        <v/>
      </c>
      <c r="E44" s="22">
        <f>IF(C44="","",INDEX(MERCADORIA!$C$5:$C$22,MATCH(C44,MERCADORIA!$A$5:$A$22,0)))</f>
        <v/>
      </c>
      <c r="F44" s="23" t="n"/>
      <c r="G44" s="24">
        <f>IF(D44="","",INDEX(VALOR!$B$5:$B$8,MATCH(D44,VALOR!$A$5:$A$8,0)))</f>
        <v/>
      </c>
      <c r="H44" s="15">
        <f>IF(OR(G44="",F44=""),0,F44*G44)</f>
        <v/>
      </c>
      <c r="I44" s="20" t="n"/>
      <c r="J44" s="20" t="n"/>
      <c r="K44" s="24">
        <f>IF(OR(O44=0,J44=""),0,INDEX(MAPA!$C$5:$C$14,MATCH(J44,MAPA!$A$5:$A$14,0)))</f>
        <v/>
      </c>
      <c r="L44" s="25">
        <f>H44+K44</f>
        <v/>
      </c>
      <c r="M44" s="20" t="n"/>
      <c r="N44" s="20" t="n"/>
      <c r="O44" s="14">
        <f>IF(A44="",0,IF(COUNTIF($A$5:A44,A44)=1,1,0))</f>
        <v/>
      </c>
    </row>
    <row r="45">
      <c r="A45" s="20" t="n"/>
      <c r="B45" s="21" t="n"/>
      <c r="C45" s="20" t="n"/>
      <c r="D45" s="22">
        <f>IF(C45="","",INDEX(MERCADORIA!$B$5:$B$22,MATCH(C45,MERCADORIA!$A$5:$A$22,0)))</f>
        <v/>
      </c>
      <c r="E45" s="22">
        <f>IF(C45="","",INDEX(MERCADORIA!$C$5:$C$22,MATCH(C45,MERCADORIA!$A$5:$A$22,0)))</f>
        <v/>
      </c>
      <c r="F45" s="23" t="n"/>
      <c r="G45" s="24">
        <f>IF(D45="","",INDEX(VALOR!$B$5:$B$8,MATCH(D45,VALOR!$A$5:$A$8,0)))</f>
        <v/>
      </c>
      <c r="H45" s="15">
        <f>IF(OR(G45="",F45=""),0,F45*G45)</f>
        <v/>
      </c>
      <c r="I45" s="20" t="n"/>
      <c r="J45" s="20" t="n"/>
      <c r="K45" s="24">
        <f>IF(OR(O45=0,J45=""),0,INDEX(MAPA!$C$5:$C$14,MATCH(J45,MAPA!$A$5:$A$14,0)))</f>
        <v/>
      </c>
      <c r="L45" s="25">
        <f>H45+K45</f>
        <v/>
      </c>
      <c r="M45" s="20" t="n"/>
      <c r="N45" s="20" t="n"/>
      <c r="O45" s="14">
        <f>IF(A45="",0,IF(COUNTIF($A$5:A45,A45)=1,1,0))</f>
        <v/>
      </c>
    </row>
    <row r="46">
      <c r="A46" s="20" t="n"/>
      <c r="B46" s="21" t="n"/>
      <c r="C46" s="20" t="n"/>
      <c r="D46" s="22">
        <f>IF(C46="","",INDEX(MERCADORIA!$B$5:$B$22,MATCH(C46,MERCADORIA!$A$5:$A$22,0)))</f>
        <v/>
      </c>
      <c r="E46" s="22">
        <f>IF(C46="","",INDEX(MERCADORIA!$C$5:$C$22,MATCH(C46,MERCADORIA!$A$5:$A$22,0)))</f>
        <v/>
      </c>
      <c r="F46" s="23" t="n"/>
      <c r="G46" s="24">
        <f>IF(D46="","",INDEX(VALOR!$B$5:$B$8,MATCH(D46,VALOR!$A$5:$A$8,0)))</f>
        <v/>
      </c>
      <c r="H46" s="15">
        <f>IF(OR(G46="",F46=""),0,F46*G46)</f>
        <v/>
      </c>
      <c r="I46" s="20" t="n"/>
      <c r="J46" s="20" t="n"/>
      <c r="K46" s="24">
        <f>IF(OR(O46=0,J46=""),0,INDEX(MAPA!$C$5:$C$14,MATCH(J46,MAPA!$A$5:$A$14,0)))</f>
        <v/>
      </c>
      <c r="L46" s="25">
        <f>H46+K46</f>
        <v/>
      </c>
      <c r="M46" s="20" t="n"/>
      <c r="N46" s="20" t="n"/>
      <c r="O46" s="14">
        <f>IF(A46="",0,IF(COUNTIF($A$5:A46,A46)=1,1,0))</f>
        <v/>
      </c>
    </row>
    <row r="47">
      <c r="A47" s="20" t="n"/>
      <c r="B47" s="21" t="n"/>
      <c r="C47" s="20" t="n"/>
      <c r="D47" s="22">
        <f>IF(C47="","",INDEX(MERCADORIA!$B$5:$B$22,MATCH(C47,MERCADORIA!$A$5:$A$22,0)))</f>
        <v/>
      </c>
      <c r="E47" s="22">
        <f>IF(C47="","",INDEX(MERCADORIA!$C$5:$C$22,MATCH(C47,MERCADORIA!$A$5:$A$22,0)))</f>
        <v/>
      </c>
      <c r="F47" s="23" t="n"/>
      <c r="G47" s="24">
        <f>IF(D47="","",INDEX(VALOR!$B$5:$B$8,MATCH(D47,VALOR!$A$5:$A$8,0)))</f>
        <v/>
      </c>
      <c r="H47" s="15">
        <f>IF(OR(G47="",F47=""),0,F47*G47)</f>
        <v/>
      </c>
      <c r="I47" s="20" t="n"/>
      <c r="J47" s="20" t="n"/>
      <c r="K47" s="24">
        <f>IF(OR(O47=0,J47=""),0,INDEX(MAPA!$C$5:$C$14,MATCH(J47,MAPA!$A$5:$A$14,0)))</f>
        <v/>
      </c>
      <c r="L47" s="25">
        <f>H47+K47</f>
        <v/>
      </c>
      <c r="M47" s="20" t="n"/>
      <c r="N47" s="20" t="n"/>
      <c r="O47" s="14">
        <f>IF(A47="",0,IF(COUNTIF($A$5:A47,A47)=1,1,0))</f>
        <v/>
      </c>
    </row>
    <row r="48">
      <c r="A48" s="20" t="n"/>
      <c r="B48" s="21" t="n"/>
      <c r="C48" s="20" t="n"/>
      <c r="D48" s="22">
        <f>IF(C48="","",INDEX(MERCADORIA!$B$5:$B$22,MATCH(C48,MERCADORIA!$A$5:$A$22,0)))</f>
        <v/>
      </c>
      <c r="E48" s="22">
        <f>IF(C48="","",INDEX(MERCADORIA!$C$5:$C$22,MATCH(C48,MERCADORIA!$A$5:$A$22,0)))</f>
        <v/>
      </c>
      <c r="F48" s="23" t="n"/>
      <c r="G48" s="24">
        <f>IF(D48="","",INDEX(VALOR!$B$5:$B$8,MATCH(D48,VALOR!$A$5:$A$8,0)))</f>
        <v/>
      </c>
      <c r="H48" s="15">
        <f>IF(OR(G48="",F48=""),0,F48*G48)</f>
        <v/>
      </c>
      <c r="I48" s="20" t="n"/>
      <c r="J48" s="20" t="n"/>
      <c r="K48" s="24">
        <f>IF(OR(O48=0,J48=""),0,INDEX(MAPA!$C$5:$C$14,MATCH(J48,MAPA!$A$5:$A$14,0)))</f>
        <v/>
      </c>
      <c r="L48" s="25">
        <f>H48+K48</f>
        <v/>
      </c>
      <c r="M48" s="20" t="n"/>
      <c r="N48" s="20" t="n"/>
      <c r="O48" s="14">
        <f>IF(A48="",0,IF(COUNTIF($A$5:A48,A48)=1,1,0))</f>
        <v/>
      </c>
    </row>
    <row r="49">
      <c r="A49" s="20" t="n"/>
      <c r="B49" s="21" t="n"/>
      <c r="C49" s="20" t="n"/>
      <c r="D49" s="22">
        <f>IF(C49="","",INDEX(MERCADORIA!$B$5:$B$22,MATCH(C49,MERCADORIA!$A$5:$A$22,0)))</f>
        <v/>
      </c>
      <c r="E49" s="22">
        <f>IF(C49="","",INDEX(MERCADORIA!$C$5:$C$22,MATCH(C49,MERCADORIA!$A$5:$A$22,0)))</f>
        <v/>
      </c>
      <c r="F49" s="23" t="n"/>
      <c r="G49" s="24">
        <f>IF(D49="","",INDEX(VALOR!$B$5:$B$8,MATCH(D49,VALOR!$A$5:$A$8,0)))</f>
        <v/>
      </c>
      <c r="H49" s="15">
        <f>IF(OR(G49="",F49=""),0,F49*G49)</f>
        <v/>
      </c>
      <c r="I49" s="20" t="n"/>
      <c r="J49" s="20" t="n"/>
      <c r="K49" s="24">
        <f>IF(OR(O49=0,J49=""),0,INDEX(MAPA!$C$5:$C$14,MATCH(J49,MAPA!$A$5:$A$14,0)))</f>
        <v/>
      </c>
      <c r="L49" s="25">
        <f>H49+K49</f>
        <v/>
      </c>
      <c r="M49" s="20" t="n"/>
      <c r="N49" s="20" t="n"/>
      <c r="O49" s="14">
        <f>IF(A49="",0,IF(COUNTIF($A$5:A49,A49)=1,1,0))</f>
        <v/>
      </c>
    </row>
    <row r="50">
      <c r="A50" s="20" t="n"/>
      <c r="B50" s="21" t="n"/>
      <c r="C50" s="20" t="n"/>
      <c r="D50" s="22">
        <f>IF(C50="","",INDEX(MERCADORIA!$B$5:$B$22,MATCH(C50,MERCADORIA!$A$5:$A$22,0)))</f>
        <v/>
      </c>
      <c r="E50" s="22">
        <f>IF(C50="","",INDEX(MERCADORIA!$C$5:$C$22,MATCH(C50,MERCADORIA!$A$5:$A$22,0)))</f>
        <v/>
      </c>
      <c r="F50" s="23" t="n"/>
      <c r="G50" s="24">
        <f>IF(D50="","",INDEX(VALOR!$B$5:$B$8,MATCH(D50,VALOR!$A$5:$A$8,0)))</f>
        <v/>
      </c>
      <c r="H50" s="15">
        <f>IF(OR(G50="",F50=""),0,F50*G50)</f>
        <v/>
      </c>
      <c r="I50" s="20" t="n"/>
      <c r="J50" s="20" t="n"/>
      <c r="K50" s="24">
        <f>IF(OR(O50=0,J50=""),0,INDEX(MAPA!$C$5:$C$14,MATCH(J50,MAPA!$A$5:$A$14,0)))</f>
        <v/>
      </c>
      <c r="L50" s="25">
        <f>H50+K50</f>
        <v/>
      </c>
      <c r="M50" s="20" t="n"/>
      <c r="N50" s="20" t="n"/>
      <c r="O50" s="14">
        <f>IF(A50="",0,IF(COUNTIF($A$5:A50,A50)=1,1,0))</f>
        <v/>
      </c>
    </row>
    <row r="51">
      <c r="A51" s="20" t="n"/>
      <c r="B51" s="21" t="n"/>
      <c r="C51" s="20" t="n"/>
      <c r="D51" s="22">
        <f>IF(C51="","",INDEX(MERCADORIA!$B$5:$B$22,MATCH(C51,MERCADORIA!$A$5:$A$22,0)))</f>
        <v/>
      </c>
      <c r="E51" s="22">
        <f>IF(C51="","",INDEX(MERCADORIA!$C$5:$C$22,MATCH(C51,MERCADORIA!$A$5:$A$22,0)))</f>
        <v/>
      </c>
      <c r="F51" s="23" t="n"/>
      <c r="G51" s="24">
        <f>IF(D51="","",INDEX(VALOR!$B$5:$B$8,MATCH(D51,VALOR!$A$5:$A$8,0)))</f>
        <v/>
      </c>
      <c r="H51" s="15">
        <f>IF(OR(G51="",F51=""),0,F51*G51)</f>
        <v/>
      </c>
      <c r="I51" s="20" t="n"/>
      <c r="J51" s="20" t="n"/>
      <c r="K51" s="24">
        <f>IF(OR(O51=0,J51=""),0,INDEX(MAPA!$C$5:$C$14,MATCH(J51,MAPA!$A$5:$A$14,0)))</f>
        <v/>
      </c>
      <c r="L51" s="25">
        <f>H51+K51</f>
        <v/>
      </c>
      <c r="M51" s="20" t="n"/>
      <c r="N51" s="20" t="n"/>
      <c r="O51" s="14">
        <f>IF(A51="",0,IF(COUNTIF($A$5:A51,A51)=1,1,0))</f>
        <v/>
      </c>
    </row>
    <row r="52">
      <c r="A52" s="20" t="n"/>
      <c r="B52" s="21" t="n"/>
      <c r="C52" s="20" t="n"/>
      <c r="D52" s="22">
        <f>IF(C52="","",INDEX(MERCADORIA!$B$5:$B$22,MATCH(C52,MERCADORIA!$A$5:$A$22,0)))</f>
        <v/>
      </c>
      <c r="E52" s="22">
        <f>IF(C52="","",INDEX(MERCADORIA!$C$5:$C$22,MATCH(C52,MERCADORIA!$A$5:$A$22,0)))</f>
        <v/>
      </c>
      <c r="F52" s="23" t="n"/>
      <c r="G52" s="24">
        <f>IF(D52="","",INDEX(VALOR!$B$5:$B$8,MATCH(D52,VALOR!$A$5:$A$8,0)))</f>
        <v/>
      </c>
      <c r="H52" s="15">
        <f>IF(OR(G52="",F52=""),0,F52*G52)</f>
        <v/>
      </c>
      <c r="I52" s="20" t="n"/>
      <c r="J52" s="20" t="n"/>
      <c r="K52" s="24">
        <f>IF(OR(O52=0,J52=""),0,INDEX(MAPA!$C$5:$C$14,MATCH(J52,MAPA!$A$5:$A$14,0)))</f>
        <v/>
      </c>
      <c r="L52" s="25">
        <f>H52+K52</f>
        <v/>
      </c>
      <c r="M52" s="20" t="n"/>
      <c r="N52" s="20" t="n"/>
      <c r="O52" s="14">
        <f>IF(A52="",0,IF(COUNTIF($A$5:A52,A52)=1,1,0))</f>
        <v/>
      </c>
    </row>
    <row r="53">
      <c r="A53" s="20" t="n"/>
      <c r="B53" s="21" t="n"/>
      <c r="C53" s="20" t="n"/>
      <c r="D53" s="22">
        <f>IF(C53="","",INDEX(MERCADORIA!$B$5:$B$22,MATCH(C53,MERCADORIA!$A$5:$A$22,0)))</f>
        <v/>
      </c>
      <c r="E53" s="22">
        <f>IF(C53="","",INDEX(MERCADORIA!$C$5:$C$22,MATCH(C53,MERCADORIA!$A$5:$A$22,0)))</f>
        <v/>
      </c>
      <c r="F53" s="23" t="n"/>
      <c r="G53" s="24">
        <f>IF(D53="","",INDEX(VALOR!$B$5:$B$8,MATCH(D53,VALOR!$A$5:$A$8,0)))</f>
        <v/>
      </c>
      <c r="H53" s="15">
        <f>IF(OR(G53="",F53=""),0,F53*G53)</f>
        <v/>
      </c>
      <c r="I53" s="20" t="n"/>
      <c r="J53" s="20" t="n"/>
      <c r="K53" s="24">
        <f>IF(OR(O53=0,J53=""),0,INDEX(MAPA!$C$5:$C$14,MATCH(J53,MAPA!$A$5:$A$14,0)))</f>
        <v/>
      </c>
      <c r="L53" s="25">
        <f>H53+K53</f>
        <v/>
      </c>
      <c r="M53" s="20" t="n"/>
      <c r="N53" s="20" t="n"/>
      <c r="O53" s="14">
        <f>IF(A53="",0,IF(COUNTIF($A$5:A53,A53)=1,1,0))</f>
        <v/>
      </c>
    </row>
    <row r="54">
      <c r="A54" s="20" t="n"/>
      <c r="B54" s="21" t="n"/>
      <c r="C54" s="20" t="n"/>
      <c r="D54" s="22">
        <f>IF(C54="","",INDEX(MERCADORIA!$B$5:$B$22,MATCH(C54,MERCADORIA!$A$5:$A$22,0)))</f>
        <v/>
      </c>
      <c r="E54" s="22">
        <f>IF(C54="","",INDEX(MERCADORIA!$C$5:$C$22,MATCH(C54,MERCADORIA!$A$5:$A$22,0)))</f>
        <v/>
      </c>
      <c r="F54" s="23" t="n"/>
      <c r="G54" s="24">
        <f>IF(D54="","",INDEX(VALOR!$B$5:$B$8,MATCH(D54,VALOR!$A$5:$A$8,0)))</f>
        <v/>
      </c>
      <c r="H54" s="15">
        <f>IF(OR(G54="",F54=""),0,F54*G54)</f>
        <v/>
      </c>
      <c r="I54" s="20" t="n"/>
      <c r="J54" s="20" t="n"/>
      <c r="K54" s="24">
        <f>IF(OR(O54=0,J54=""),0,INDEX(MAPA!$C$5:$C$14,MATCH(J54,MAPA!$A$5:$A$14,0)))</f>
        <v/>
      </c>
      <c r="L54" s="25">
        <f>H54+K54</f>
        <v/>
      </c>
      <c r="M54" s="20" t="n"/>
      <c r="N54" s="20" t="n"/>
      <c r="O54" s="14">
        <f>IF(A54="",0,IF(COUNTIF($A$5:A54,A54)=1,1,0))</f>
        <v/>
      </c>
    </row>
    <row r="55">
      <c r="A55" s="20" t="n"/>
      <c r="B55" s="21" t="n"/>
      <c r="C55" s="20" t="n"/>
      <c r="D55" s="22">
        <f>IF(C55="","",INDEX(MERCADORIA!$B$5:$B$22,MATCH(C55,MERCADORIA!$A$5:$A$22,0)))</f>
        <v/>
      </c>
      <c r="E55" s="22">
        <f>IF(C55="","",INDEX(MERCADORIA!$C$5:$C$22,MATCH(C55,MERCADORIA!$A$5:$A$22,0)))</f>
        <v/>
      </c>
      <c r="F55" s="23" t="n"/>
      <c r="G55" s="24">
        <f>IF(D55="","",INDEX(VALOR!$B$5:$B$8,MATCH(D55,VALOR!$A$5:$A$8,0)))</f>
        <v/>
      </c>
      <c r="H55" s="15">
        <f>IF(OR(G55="",F55=""),0,F55*G55)</f>
        <v/>
      </c>
      <c r="I55" s="20" t="n"/>
      <c r="J55" s="20" t="n"/>
      <c r="K55" s="24">
        <f>IF(OR(O55=0,J55=""),0,INDEX(MAPA!$C$5:$C$14,MATCH(J55,MAPA!$A$5:$A$14,0)))</f>
        <v/>
      </c>
      <c r="L55" s="25">
        <f>H55+K55</f>
        <v/>
      </c>
      <c r="M55" s="20" t="n"/>
      <c r="N55" s="20" t="n"/>
      <c r="O55" s="14">
        <f>IF(A55="",0,IF(COUNTIF($A$5:A55,A55)=1,1,0))</f>
        <v/>
      </c>
    </row>
    <row r="56">
      <c r="A56" s="20" t="n"/>
      <c r="B56" s="21" t="n"/>
      <c r="C56" s="20" t="n"/>
      <c r="D56" s="22">
        <f>IF(C56="","",INDEX(MERCADORIA!$B$5:$B$22,MATCH(C56,MERCADORIA!$A$5:$A$22,0)))</f>
        <v/>
      </c>
      <c r="E56" s="22">
        <f>IF(C56="","",INDEX(MERCADORIA!$C$5:$C$22,MATCH(C56,MERCADORIA!$A$5:$A$22,0)))</f>
        <v/>
      </c>
      <c r="F56" s="23" t="n"/>
      <c r="G56" s="24">
        <f>IF(D56="","",INDEX(VALOR!$B$5:$B$8,MATCH(D56,VALOR!$A$5:$A$8,0)))</f>
        <v/>
      </c>
      <c r="H56" s="15">
        <f>IF(OR(G56="",F56=""),0,F56*G56)</f>
        <v/>
      </c>
      <c r="I56" s="20" t="n"/>
      <c r="J56" s="20" t="n"/>
      <c r="K56" s="24">
        <f>IF(OR(O56=0,J56=""),0,INDEX(MAPA!$C$5:$C$14,MATCH(J56,MAPA!$A$5:$A$14,0)))</f>
        <v/>
      </c>
      <c r="L56" s="25">
        <f>H56+K56</f>
        <v/>
      </c>
      <c r="M56" s="20" t="n"/>
      <c r="N56" s="20" t="n"/>
      <c r="O56" s="14">
        <f>IF(A56="",0,IF(COUNTIF($A$5:A56,A56)=1,1,0))</f>
        <v/>
      </c>
    </row>
    <row r="57">
      <c r="A57" s="20" t="n"/>
      <c r="B57" s="21" t="n"/>
      <c r="C57" s="20" t="n"/>
      <c r="D57" s="22">
        <f>IF(C57="","",INDEX(MERCADORIA!$B$5:$B$22,MATCH(C57,MERCADORIA!$A$5:$A$22,0)))</f>
        <v/>
      </c>
      <c r="E57" s="22">
        <f>IF(C57="","",INDEX(MERCADORIA!$C$5:$C$22,MATCH(C57,MERCADORIA!$A$5:$A$22,0)))</f>
        <v/>
      </c>
      <c r="F57" s="23" t="n"/>
      <c r="G57" s="24">
        <f>IF(D57="","",INDEX(VALOR!$B$5:$B$8,MATCH(D57,VALOR!$A$5:$A$8,0)))</f>
        <v/>
      </c>
      <c r="H57" s="15">
        <f>IF(OR(G57="",F57=""),0,F57*G57)</f>
        <v/>
      </c>
      <c r="I57" s="20" t="n"/>
      <c r="J57" s="20" t="n"/>
      <c r="K57" s="24">
        <f>IF(OR(O57=0,J57=""),0,INDEX(MAPA!$C$5:$C$14,MATCH(J57,MAPA!$A$5:$A$14,0)))</f>
        <v/>
      </c>
      <c r="L57" s="25">
        <f>H57+K57</f>
        <v/>
      </c>
      <c r="M57" s="20" t="n"/>
      <c r="N57" s="20" t="n"/>
      <c r="O57" s="14">
        <f>IF(A57="",0,IF(COUNTIF($A$5:A57,A57)=1,1,0))</f>
        <v/>
      </c>
    </row>
    <row r="58">
      <c r="A58" s="20" t="n"/>
      <c r="B58" s="21" t="n"/>
      <c r="C58" s="20" t="n"/>
      <c r="D58" s="22">
        <f>IF(C58="","",INDEX(MERCADORIA!$B$5:$B$22,MATCH(C58,MERCADORIA!$A$5:$A$22,0)))</f>
        <v/>
      </c>
      <c r="E58" s="22">
        <f>IF(C58="","",INDEX(MERCADORIA!$C$5:$C$22,MATCH(C58,MERCADORIA!$A$5:$A$22,0)))</f>
        <v/>
      </c>
      <c r="F58" s="23" t="n"/>
      <c r="G58" s="24">
        <f>IF(D58="","",INDEX(VALOR!$B$5:$B$8,MATCH(D58,VALOR!$A$5:$A$8,0)))</f>
        <v/>
      </c>
      <c r="H58" s="15">
        <f>IF(OR(G58="",F58=""),0,F58*G58)</f>
        <v/>
      </c>
      <c r="I58" s="20" t="n"/>
      <c r="J58" s="20" t="n"/>
      <c r="K58" s="24">
        <f>IF(OR(O58=0,J58=""),0,INDEX(MAPA!$C$5:$C$14,MATCH(J58,MAPA!$A$5:$A$14,0)))</f>
        <v/>
      </c>
      <c r="L58" s="25">
        <f>H58+K58</f>
        <v/>
      </c>
      <c r="M58" s="20" t="n"/>
      <c r="N58" s="20" t="n"/>
      <c r="O58" s="14">
        <f>IF(A58="",0,IF(COUNTIF($A$5:A58,A58)=1,1,0))</f>
        <v/>
      </c>
    </row>
    <row r="59">
      <c r="A59" s="20" t="n"/>
      <c r="B59" s="21" t="n"/>
      <c r="C59" s="20" t="n"/>
      <c r="D59" s="22">
        <f>IF(C59="","",INDEX(MERCADORIA!$B$5:$B$22,MATCH(C59,MERCADORIA!$A$5:$A$22,0)))</f>
        <v/>
      </c>
      <c r="E59" s="22">
        <f>IF(C59="","",INDEX(MERCADORIA!$C$5:$C$22,MATCH(C59,MERCADORIA!$A$5:$A$22,0)))</f>
        <v/>
      </c>
      <c r="F59" s="23" t="n"/>
      <c r="G59" s="24">
        <f>IF(D59="","",INDEX(VALOR!$B$5:$B$8,MATCH(D59,VALOR!$A$5:$A$8,0)))</f>
        <v/>
      </c>
      <c r="H59" s="15">
        <f>IF(OR(G59="",F59=""),0,F59*G59)</f>
        <v/>
      </c>
      <c r="I59" s="20" t="n"/>
      <c r="J59" s="20" t="n"/>
      <c r="K59" s="24">
        <f>IF(OR(O59=0,J59=""),0,INDEX(MAPA!$C$5:$C$14,MATCH(J59,MAPA!$A$5:$A$14,0)))</f>
        <v/>
      </c>
      <c r="L59" s="25">
        <f>H59+K59</f>
        <v/>
      </c>
      <c r="M59" s="20" t="n"/>
      <c r="N59" s="20" t="n"/>
      <c r="O59" s="14">
        <f>IF(A59="",0,IF(COUNTIF($A$5:A59,A59)=1,1,0))</f>
        <v/>
      </c>
    </row>
    <row r="60">
      <c r="A60" s="20" t="n"/>
      <c r="B60" s="21" t="n"/>
      <c r="C60" s="20" t="n"/>
      <c r="D60" s="22">
        <f>IF(C60="","",INDEX(MERCADORIA!$B$5:$B$22,MATCH(C60,MERCADORIA!$A$5:$A$22,0)))</f>
        <v/>
      </c>
      <c r="E60" s="22">
        <f>IF(C60="","",INDEX(MERCADORIA!$C$5:$C$22,MATCH(C60,MERCADORIA!$A$5:$A$22,0)))</f>
        <v/>
      </c>
      <c r="F60" s="23" t="n"/>
      <c r="G60" s="24">
        <f>IF(D60="","",INDEX(VALOR!$B$5:$B$8,MATCH(D60,VALOR!$A$5:$A$8,0)))</f>
        <v/>
      </c>
      <c r="H60" s="15">
        <f>IF(OR(G60="",F60=""),0,F60*G60)</f>
        <v/>
      </c>
      <c r="I60" s="20" t="n"/>
      <c r="J60" s="20" t="n"/>
      <c r="K60" s="24">
        <f>IF(OR(O60=0,J60=""),0,INDEX(MAPA!$C$5:$C$14,MATCH(J60,MAPA!$A$5:$A$14,0)))</f>
        <v/>
      </c>
      <c r="L60" s="25">
        <f>H60+K60</f>
        <v/>
      </c>
      <c r="M60" s="20" t="n"/>
      <c r="N60" s="20" t="n"/>
      <c r="O60" s="14">
        <f>IF(A60="",0,IF(COUNTIF($A$5:A60,A60)=1,1,0))</f>
        <v/>
      </c>
    </row>
    <row r="61">
      <c r="A61" s="20" t="n"/>
      <c r="B61" s="21" t="n"/>
      <c r="C61" s="20" t="n"/>
      <c r="D61" s="22">
        <f>IF(C61="","",INDEX(MERCADORIA!$B$5:$B$22,MATCH(C61,MERCADORIA!$A$5:$A$22,0)))</f>
        <v/>
      </c>
      <c r="E61" s="22">
        <f>IF(C61="","",INDEX(MERCADORIA!$C$5:$C$22,MATCH(C61,MERCADORIA!$A$5:$A$22,0)))</f>
        <v/>
      </c>
      <c r="F61" s="23" t="n"/>
      <c r="G61" s="24">
        <f>IF(D61="","",INDEX(VALOR!$B$5:$B$8,MATCH(D61,VALOR!$A$5:$A$8,0)))</f>
        <v/>
      </c>
      <c r="H61" s="15">
        <f>IF(OR(G61="",F61=""),0,F61*G61)</f>
        <v/>
      </c>
      <c r="I61" s="20" t="n"/>
      <c r="J61" s="20" t="n"/>
      <c r="K61" s="24">
        <f>IF(OR(O61=0,J61=""),0,INDEX(MAPA!$C$5:$C$14,MATCH(J61,MAPA!$A$5:$A$14,0)))</f>
        <v/>
      </c>
      <c r="L61" s="25">
        <f>H61+K61</f>
        <v/>
      </c>
      <c r="M61" s="20" t="n"/>
      <c r="N61" s="20" t="n"/>
      <c r="O61" s="14">
        <f>IF(A61="",0,IF(COUNTIF($A$5:A61,A61)=1,1,0))</f>
        <v/>
      </c>
    </row>
    <row r="62">
      <c r="A62" s="20" t="n"/>
      <c r="B62" s="21" t="n"/>
      <c r="C62" s="20" t="n"/>
      <c r="D62" s="22">
        <f>IF(C62="","",INDEX(MERCADORIA!$B$5:$B$22,MATCH(C62,MERCADORIA!$A$5:$A$22,0)))</f>
        <v/>
      </c>
      <c r="E62" s="22">
        <f>IF(C62="","",INDEX(MERCADORIA!$C$5:$C$22,MATCH(C62,MERCADORIA!$A$5:$A$22,0)))</f>
        <v/>
      </c>
      <c r="F62" s="23" t="n"/>
      <c r="G62" s="24">
        <f>IF(D62="","",INDEX(VALOR!$B$5:$B$8,MATCH(D62,VALOR!$A$5:$A$8,0)))</f>
        <v/>
      </c>
      <c r="H62" s="15">
        <f>IF(OR(G62="",F62=""),0,F62*G62)</f>
        <v/>
      </c>
      <c r="I62" s="20" t="n"/>
      <c r="J62" s="20" t="n"/>
      <c r="K62" s="24">
        <f>IF(OR(O62=0,J62=""),0,INDEX(MAPA!$C$5:$C$14,MATCH(J62,MAPA!$A$5:$A$14,0)))</f>
        <v/>
      </c>
      <c r="L62" s="25">
        <f>H62+K62</f>
        <v/>
      </c>
      <c r="M62" s="20" t="n"/>
      <c r="N62" s="20" t="n"/>
      <c r="O62" s="14">
        <f>IF(A62="",0,IF(COUNTIF($A$5:A62,A62)=1,1,0))</f>
        <v/>
      </c>
    </row>
    <row r="63">
      <c r="A63" s="20" t="n"/>
      <c r="B63" s="21" t="n"/>
      <c r="C63" s="20" t="n"/>
      <c r="D63" s="22">
        <f>IF(C63="","",INDEX(MERCADORIA!$B$5:$B$22,MATCH(C63,MERCADORIA!$A$5:$A$22,0)))</f>
        <v/>
      </c>
      <c r="E63" s="22">
        <f>IF(C63="","",INDEX(MERCADORIA!$C$5:$C$22,MATCH(C63,MERCADORIA!$A$5:$A$22,0)))</f>
        <v/>
      </c>
      <c r="F63" s="23" t="n"/>
      <c r="G63" s="24">
        <f>IF(D63="","",INDEX(VALOR!$B$5:$B$8,MATCH(D63,VALOR!$A$5:$A$8,0)))</f>
        <v/>
      </c>
      <c r="H63" s="15">
        <f>IF(OR(G63="",F63=""),0,F63*G63)</f>
        <v/>
      </c>
      <c r="I63" s="20" t="n"/>
      <c r="J63" s="20" t="n"/>
      <c r="K63" s="24">
        <f>IF(OR(O63=0,J63=""),0,INDEX(MAPA!$C$5:$C$14,MATCH(J63,MAPA!$A$5:$A$14,0)))</f>
        <v/>
      </c>
      <c r="L63" s="25">
        <f>H63+K63</f>
        <v/>
      </c>
      <c r="M63" s="20" t="n"/>
      <c r="N63" s="20" t="n"/>
      <c r="O63" s="14">
        <f>IF(A63="",0,IF(COUNTIF($A$5:A63,A63)=1,1,0))</f>
        <v/>
      </c>
    </row>
    <row r="64">
      <c r="A64" s="20" t="n"/>
      <c r="B64" s="21" t="n"/>
      <c r="C64" s="20" t="n"/>
      <c r="D64" s="22">
        <f>IF(C64="","",INDEX(MERCADORIA!$B$5:$B$22,MATCH(C64,MERCADORIA!$A$5:$A$22,0)))</f>
        <v/>
      </c>
      <c r="E64" s="22">
        <f>IF(C64="","",INDEX(MERCADORIA!$C$5:$C$22,MATCH(C64,MERCADORIA!$A$5:$A$22,0)))</f>
        <v/>
      </c>
      <c r="F64" s="23" t="n"/>
      <c r="G64" s="24">
        <f>IF(D64="","",INDEX(VALOR!$B$5:$B$8,MATCH(D64,VALOR!$A$5:$A$8,0)))</f>
        <v/>
      </c>
      <c r="H64" s="15">
        <f>IF(OR(G64="",F64=""),0,F64*G64)</f>
        <v/>
      </c>
      <c r="I64" s="20" t="n"/>
      <c r="J64" s="20" t="n"/>
      <c r="K64" s="24">
        <f>IF(OR(O64=0,J64=""),0,INDEX(MAPA!$C$5:$C$14,MATCH(J64,MAPA!$A$5:$A$14,0)))</f>
        <v/>
      </c>
      <c r="L64" s="25">
        <f>H64+K64</f>
        <v/>
      </c>
      <c r="M64" s="20" t="n"/>
      <c r="N64" s="20" t="n"/>
      <c r="O64" s="14">
        <f>IF(A64="",0,IF(COUNTIF($A$5:A64,A64)=1,1,0))</f>
        <v/>
      </c>
    </row>
    <row r="65">
      <c r="A65" s="20" t="n"/>
      <c r="B65" s="21" t="n"/>
      <c r="C65" s="20" t="n"/>
      <c r="D65" s="22">
        <f>IF(C65="","",INDEX(MERCADORIA!$B$5:$B$22,MATCH(C65,MERCADORIA!$A$5:$A$22,0)))</f>
        <v/>
      </c>
      <c r="E65" s="22">
        <f>IF(C65="","",INDEX(MERCADORIA!$C$5:$C$22,MATCH(C65,MERCADORIA!$A$5:$A$22,0)))</f>
        <v/>
      </c>
      <c r="F65" s="23" t="n"/>
      <c r="G65" s="24">
        <f>IF(D65="","",INDEX(VALOR!$B$5:$B$8,MATCH(D65,VALOR!$A$5:$A$8,0)))</f>
        <v/>
      </c>
      <c r="H65" s="15">
        <f>IF(OR(G65="",F65=""),0,F65*G65)</f>
        <v/>
      </c>
      <c r="I65" s="20" t="n"/>
      <c r="J65" s="20" t="n"/>
      <c r="K65" s="24">
        <f>IF(OR(O65=0,J65=""),0,INDEX(MAPA!$C$5:$C$14,MATCH(J65,MAPA!$A$5:$A$14,0)))</f>
        <v/>
      </c>
      <c r="L65" s="25">
        <f>H65+K65</f>
        <v/>
      </c>
      <c r="M65" s="20" t="n"/>
      <c r="N65" s="20" t="n"/>
      <c r="O65" s="14">
        <f>IF(A65="",0,IF(COUNTIF($A$5:A65,A65)=1,1,0))</f>
        <v/>
      </c>
    </row>
    <row r="66">
      <c r="A66" s="20" t="n"/>
      <c r="B66" s="21" t="n"/>
      <c r="C66" s="20" t="n"/>
      <c r="D66" s="22">
        <f>IF(C66="","",INDEX(MERCADORIA!$B$5:$B$22,MATCH(C66,MERCADORIA!$A$5:$A$22,0)))</f>
        <v/>
      </c>
      <c r="E66" s="22">
        <f>IF(C66="","",INDEX(MERCADORIA!$C$5:$C$22,MATCH(C66,MERCADORIA!$A$5:$A$22,0)))</f>
        <v/>
      </c>
      <c r="F66" s="23" t="n"/>
      <c r="G66" s="24">
        <f>IF(D66="","",INDEX(VALOR!$B$5:$B$8,MATCH(D66,VALOR!$A$5:$A$8,0)))</f>
        <v/>
      </c>
      <c r="H66" s="15">
        <f>IF(OR(G66="",F66=""),0,F66*G66)</f>
        <v/>
      </c>
      <c r="I66" s="20" t="n"/>
      <c r="J66" s="20" t="n"/>
      <c r="K66" s="24">
        <f>IF(OR(O66=0,J66=""),0,INDEX(MAPA!$C$5:$C$14,MATCH(J66,MAPA!$A$5:$A$14,0)))</f>
        <v/>
      </c>
      <c r="L66" s="25">
        <f>H66+K66</f>
        <v/>
      </c>
      <c r="M66" s="20" t="n"/>
      <c r="N66" s="20" t="n"/>
      <c r="O66" s="14">
        <f>IF(A66="",0,IF(COUNTIF($A$5:A66,A66)=1,1,0))</f>
        <v/>
      </c>
    </row>
    <row r="67">
      <c r="A67" s="20" t="n"/>
      <c r="B67" s="21" t="n"/>
      <c r="C67" s="20" t="n"/>
      <c r="D67" s="22">
        <f>IF(C67="","",INDEX(MERCADORIA!$B$5:$B$22,MATCH(C67,MERCADORIA!$A$5:$A$22,0)))</f>
        <v/>
      </c>
      <c r="E67" s="22">
        <f>IF(C67="","",INDEX(MERCADORIA!$C$5:$C$22,MATCH(C67,MERCADORIA!$A$5:$A$22,0)))</f>
        <v/>
      </c>
      <c r="F67" s="23" t="n"/>
      <c r="G67" s="24">
        <f>IF(D67="","",INDEX(VALOR!$B$5:$B$8,MATCH(D67,VALOR!$A$5:$A$8,0)))</f>
        <v/>
      </c>
      <c r="H67" s="15">
        <f>IF(OR(G67="",F67=""),0,F67*G67)</f>
        <v/>
      </c>
      <c r="I67" s="20" t="n"/>
      <c r="J67" s="20" t="n"/>
      <c r="K67" s="24">
        <f>IF(OR(O67=0,J67=""),0,INDEX(MAPA!$C$5:$C$14,MATCH(J67,MAPA!$A$5:$A$14,0)))</f>
        <v/>
      </c>
      <c r="L67" s="25">
        <f>H67+K67</f>
        <v/>
      </c>
      <c r="M67" s="20" t="n"/>
      <c r="N67" s="20" t="n"/>
      <c r="O67" s="14">
        <f>IF(A67="",0,IF(COUNTIF($A$5:A67,A67)=1,1,0))</f>
        <v/>
      </c>
    </row>
    <row r="68">
      <c r="A68" s="20" t="n"/>
      <c r="B68" s="21" t="n"/>
      <c r="C68" s="20" t="n"/>
      <c r="D68" s="22">
        <f>IF(C68="","",INDEX(MERCADORIA!$B$5:$B$22,MATCH(C68,MERCADORIA!$A$5:$A$22,0)))</f>
        <v/>
      </c>
      <c r="E68" s="22">
        <f>IF(C68="","",INDEX(MERCADORIA!$C$5:$C$22,MATCH(C68,MERCADORIA!$A$5:$A$22,0)))</f>
        <v/>
      </c>
      <c r="F68" s="23" t="n"/>
      <c r="G68" s="24">
        <f>IF(D68="","",INDEX(VALOR!$B$5:$B$8,MATCH(D68,VALOR!$A$5:$A$8,0)))</f>
        <v/>
      </c>
      <c r="H68" s="15">
        <f>IF(OR(G68="",F68=""),0,F68*G68)</f>
        <v/>
      </c>
      <c r="I68" s="20" t="n"/>
      <c r="J68" s="20" t="n"/>
      <c r="K68" s="24">
        <f>IF(OR(O68=0,J68=""),0,INDEX(MAPA!$C$5:$C$14,MATCH(J68,MAPA!$A$5:$A$14,0)))</f>
        <v/>
      </c>
      <c r="L68" s="25">
        <f>H68+K68</f>
        <v/>
      </c>
      <c r="M68" s="20" t="n"/>
      <c r="N68" s="20" t="n"/>
      <c r="O68" s="14">
        <f>IF(A68="",0,IF(COUNTIF($A$5:A68,A68)=1,1,0))</f>
        <v/>
      </c>
    </row>
    <row r="69">
      <c r="A69" s="20" t="n"/>
      <c r="B69" s="21" t="n"/>
      <c r="C69" s="20" t="n"/>
      <c r="D69" s="22">
        <f>IF(C69="","",INDEX(MERCADORIA!$B$5:$B$22,MATCH(C69,MERCADORIA!$A$5:$A$22,0)))</f>
        <v/>
      </c>
      <c r="E69" s="22">
        <f>IF(C69="","",INDEX(MERCADORIA!$C$5:$C$22,MATCH(C69,MERCADORIA!$A$5:$A$22,0)))</f>
        <v/>
      </c>
      <c r="F69" s="23" t="n"/>
      <c r="G69" s="24">
        <f>IF(D69="","",INDEX(VALOR!$B$5:$B$8,MATCH(D69,VALOR!$A$5:$A$8,0)))</f>
        <v/>
      </c>
      <c r="H69" s="15">
        <f>IF(OR(G69="",F69=""),0,F69*G69)</f>
        <v/>
      </c>
      <c r="I69" s="20" t="n"/>
      <c r="J69" s="20" t="n"/>
      <c r="K69" s="24">
        <f>IF(OR(O69=0,J69=""),0,INDEX(MAPA!$C$5:$C$14,MATCH(J69,MAPA!$A$5:$A$14,0)))</f>
        <v/>
      </c>
      <c r="L69" s="25">
        <f>H69+K69</f>
        <v/>
      </c>
      <c r="M69" s="20" t="n"/>
      <c r="N69" s="20" t="n"/>
      <c r="O69" s="14">
        <f>IF(A69="",0,IF(COUNTIF($A$5:A69,A69)=1,1,0))</f>
        <v/>
      </c>
    </row>
    <row r="70">
      <c r="A70" s="20" t="n"/>
      <c r="B70" s="21" t="n"/>
      <c r="C70" s="20" t="n"/>
      <c r="D70" s="22">
        <f>IF(C70="","",INDEX(MERCADORIA!$B$5:$B$22,MATCH(C70,MERCADORIA!$A$5:$A$22,0)))</f>
        <v/>
      </c>
      <c r="E70" s="22">
        <f>IF(C70="","",INDEX(MERCADORIA!$C$5:$C$22,MATCH(C70,MERCADORIA!$A$5:$A$22,0)))</f>
        <v/>
      </c>
      <c r="F70" s="23" t="n"/>
      <c r="G70" s="24">
        <f>IF(D70="","",INDEX(VALOR!$B$5:$B$8,MATCH(D70,VALOR!$A$5:$A$8,0)))</f>
        <v/>
      </c>
      <c r="H70" s="15">
        <f>IF(OR(G70="",F70=""),0,F70*G70)</f>
        <v/>
      </c>
      <c r="I70" s="20" t="n"/>
      <c r="J70" s="20" t="n"/>
      <c r="K70" s="24">
        <f>IF(OR(O70=0,J70=""),0,INDEX(MAPA!$C$5:$C$14,MATCH(J70,MAPA!$A$5:$A$14,0)))</f>
        <v/>
      </c>
      <c r="L70" s="25">
        <f>H70+K70</f>
        <v/>
      </c>
      <c r="M70" s="20" t="n"/>
      <c r="N70" s="20" t="n"/>
      <c r="O70" s="14">
        <f>IF(A70="",0,IF(COUNTIF($A$5:A70,A70)=1,1,0))</f>
        <v/>
      </c>
    </row>
    <row r="71">
      <c r="A71" s="20" t="n"/>
      <c r="B71" s="21" t="n"/>
      <c r="C71" s="20" t="n"/>
      <c r="D71" s="22">
        <f>IF(C71="","",INDEX(MERCADORIA!$B$5:$B$22,MATCH(C71,MERCADORIA!$A$5:$A$22,0)))</f>
        <v/>
      </c>
      <c r="E71" s="22">
        <f>IF(C71="","",INDEX(MERCADORIA!$C$5:$C$22,MATCH(C71,MERCADORIA!$A$5:$A$22,0)))</f>
        <v/>
      </c>
      <c r="F71" s="23" t="n"/>
      <c r="G71" s="24">
        <f>IF(D71="","",INDEX(VALOR!$B$5:$B$8,MATCH(D71,VALOR!$A$5:$A$8,0)))</f>
        <v/>
      </c>
      <c r="H71" s="15">
        <f>IF(OR(G71="",F71=""),0,F71*G71)</f>
        <v/>
      </c>
      <c r="I71" s="20" t="n"/>
      <c r="J71" s="20" t="n"/>
      <c r="K71" s="24">
        <f>IF(OR(O71=0,J71=""),0,INDEX(MAPA!$C$5:$C$14,MATCH(J71,MAPA!$A$5:$A$14,0)))</f>
        <v/>
      </c>
      <c r="L71" s="25">
        <f>H71+K71</f>
        <v/>
      </c>
      <c r="M71" s="20" t="n"/>
      <c r="N71" s="20" t="n"/>
      <c r="O71" s="14">
        <f>IF(A71="",0,IF(COUNTIF($A$5:A71,A71)=1,1,0))</f>
        <v/>
      </c>
    </row>
    <row r="72">
      <c r="A72" s="20" t="n"/>
      <c r="B72" s="21" t="n"/>
      <c r="C72" s="20" t="n"/>
      <c r="D72" s="22">
        <f>IF(C72="","",INDEX(MERCADORIA!$B$5:$B$22,MATCH(C72,MERCADORIA!$A$5:$A$22,0)))</f>
        <v/>
      </c>
      <c r="E72" s="22">
        <f>IF(C72="","",INDEX(MERCADORIA!$C$5:$C$22,MATCH(C72,MERCADORIA!$A$5:$A$22,0)))</f>
        <v/>
      </c>
      <c r="F72" s="23" t="n"/>
      <c r="G72" s="24">
        <f>IF(D72="","",INDEX(VALOR!$B$5:$B$8,MATCH(D72,VALOR!$A$5:$A$8,0)))</f>
        <v/>
      </c>
      <c r="H72" s="15">
        <f>IF(OR(G72="",F72=""),0,F72*G72)</f>
        <v/>
      </c>
      <c r="I72" s="20" t="n"/>
      <c r="J72" s="20" t="n"/>
      <c r="K72" s="24">
        <f>IF(OR(O72=0,J72=""),0,INDEX(MAPA!$C$5:$C$14,MATCH(J72,MAPA!$A$5:$A$14,0)))</f>
        <v/>
      </c>
      <c r="L72" s="25">
        <f>H72+K72</f>
        <v/>
      </c>
      <c r="M72" s="20" t="n"/>
      <c r="N72" s="20" t="n"/>
      <c r="O72" s="14">
        <f>IF(A72="",0,IF(COUNTIF($A$5:A72,A72)=1,1,0))</f>
        <v/>
      </c>
    </row>
    <row r="73">
      <c r="A73" s="20" t="n"/>
      <c r="B73" s="21" t="n"/>
      <c r="C73" s="20" t="n"/>
      <c r="D73" s="22">
        <f>IF(C73="","",INDEX(MERCADORIA!$B$5:$B$22,MATCH(C73,MERCADORIA!$A$5:$A$22,0)))</f>
        <v/>
      </c>
      <c r="E73" s="22">
        <f>IF(C73="","",INDEX(MERCADORIA!$C$5:$C$22,MATCH(C73,MERCADORIA!$A$5:$A$22,0)))</f>
        <v/>
      </c>
      <c r="F73" s="23" t="n"/>
      <c r="G73" s="24">
        <f>IF(D73="","",INDEX(VALOR!$B$5:$B$8,MATCH(D73,VALOR!$A$5:$A$8,0)))</f>
        <v/>
      </c>
      <c r="H73" s="15">
        <f>IF(OR(G73="",F73=""),0,F73*G73)</f>
        <v/>
      </c>
      <c r="I73" s="20" t="n"/>
      <c r="J73" s="20" t="n"/>
      <c r="K73" s="24">
        <f>IF(OR(O73=0,J73=""),0,INDEX(MAPA!$C$5:$C$14,MATCH(J73,MAPA!$A$5:$A$14,0)))</f>
        <v/>
      </c>
      <c r="L73" s="25">
        <f>H73+K73</f>
        <v/>
      </c>
      <c r="M73" s="20" t="n"/>
      <c r="N73" s="20" t="n"/>
      <c r="O73" s="14">
        <f>IF(A73="",0,IF(COUNTIF($A$5:A73,A73)=1,1,0))</f>
        <v/>
      </c>
    </row>
    <row r="74">
      <c r="A74" s="20" t="n"/>
      <c r="B74" s="21" t="n"/>
      <c r="C74" s="20" t="n"/>
      <c r="D74" s="22">
        <f>IF(C74="","",INDEX(MERCADORIA!$B$5:$B$22,MATCH(C74,MERCADORIA!$A$5:$A$22,0)))</f>
        <v/>
      </c>
      <c r="E74" s="22">
        <f>IF(C74="","",INDEX(MERCADORIA!$C$5:$C$22,MATCH(C74,MERCADORIA!$A$5:$A$22,0)))</f>
        <v/>
      </c>
      <c r="F74" s="23" t="n"/>
      <c r="G74" s="24">
        <f>IF(D74="","",INDEX(VALOR!$B$5:$B$8,MATCH(D74,VALOR!$A$5:$A$8,0)))</f>
        <v/>
      </c>
      <c r="H74" s="15">
        <f>IF(OR(G74="",F74=""),0,F74*G74)</f>
        <v/>
      </c>
      <c r="I74" s="20" t="n"/>
      <c r="J74" s="20" t="n"/>
      <c r="K74" s="24">
        <f>IF(OR(O74=0,J74=""),0,INDEX(MAPA!$C$5:$C$14,MATCH(J74,MAPA!$A$5:$A$14,0)))</f>
        <v/>
      </c>
      <c r="L74" s="25">
        <f>H74+K74</f>
        <v/>
      </c>
      <c r="M74" s="20" t="n"/>
      <c r="N74" s="20" t="n"/>
      <c r="O74" s="14">
        <f>IF(A74="",0,IF(COUNTIF($A$5:A74,A74)=1,1,0))</f>
        <v/>
      </c>
    </row>
    <row r="75">
      <c r="A75" s="20" t="n"/>
      <c r="B75" s="21" t="n"/>
      <c r="C75" s="20" t="n"/>
      <c r="D75" s="22">
        <f>IF(C75="","",INDEX(MERCADORIA!$B$5:$B$22,MATCH(C75,MERCADORIA!$A$5:$A$22,0)))</f>
        <v/>
      </c>
      <c r="E75" s="22">
        <f>IF(C75="","",INDEX(MERCADORIA!$C$5:$C$22,MATCH(C75,MERCADORIA!$A$5:$A$22,0)))</f>
        <v/>
      </c>
      <c r="F75" s="23" t="n"/>
      <c r="G75" s="24">
        <f>IF(D75="","",INDEX(VALOR!$B$5:$B$8,MATCH(D75,VALOR!$A$5:$A$8,0)))</f>
        <v/>
      </c>
      <c r="H75" s="15">
        <f>IF(OR(G75="",F75=""),0,F75*G75)</f>
        <v/>
      </c>
      <c r="I75" s="20" t="n"/>
      <c r="J75" s="20" t="n"/>
      <c r="K75" s="24">
        <f>IF(OR(O75=0,J75=""),0,INDEX(MAPA!$C$5:$C$14,MATCH(J75,MAPA!$A$5:$A$14,0)))</f>
        <v/>
      </c>
      <c r="L75" s="25">
        <f>H75+K75</f>
        <v/>
      </c>
      <c r="M75" s="20" t="n"/>
      <c r="N75" s="20" t="n"/>
      <c r="O75" s="14">
        <f>IF(A75="",0,IF(COUNTIF($A$5:A75,A75)=1,1,0))</f>
        <v/>
      </c>
    </row>
    <row r="76">
      <c r="A76" s="20" t="n"/>
      <c r="B76" s="21" t="n"/>
      <c r="C76" s="20" t="n"/>
      <c r="D76" s="22">
        <f>IF(C76="","",INDEX(MERCADORIA!$B$5:$B$22,MATCH(C76,MERCADORIA!$A$5:$A$22,0)))</f>
        <v/>
      </c>
      <c r="E76" s="22">
        <f>IF(C76="","",INDEX(MERCADORIA!$C$5:$C$22,MATCH(C76,MERCADORIA!$A$5:$A$22,0)))</f>
        <v/>
      </c>
      <c r="F76" s="23" t="n"/>
      <c r="G76" s="24">
        <f>IF(D76="","",INDEX(VALOR!$B$5:$B$8,MATCH(D76,VALOR!$A$5:$A$8,0)))</f>
        <v/>
      </c>
      <c r="H76" s="15">
        <f>IF(OR(G76="",F76=""),0,F76*G76)</f>
        <v/>
      </c>
      <c r="I76" s="20" t="n"/>
      <c r="J76" s="20" t="n"/>
      <c r="K76" s="24">
        <f>IF(OR(O76=0,J76=""),0,INDEX(MAPA!$C$5:$C$14,MATCH(J76,MAPA!$A$5:$A$14,0)))</f>
        <v/>
      </c>
      <c r="L76" s="25">
        <f>H76+K76</f>
        <v/>
      </c>
      <c r="M76" s="20" t="n"/>
      <c r="N76" s="20" t="n"/>
      <c r="O76" s="14">
        <f>IF(A76="",0,IF(COUNTIF($A$5:A76,A76)=1,1,0))</f>
        <v/>
      </c>
    </row>
    <row r="77">
      <c r="A77" s="20" t="n"/>
      <c r="B77" s="21" t="n"/>
      <c r="C77" s="20" t="n"/>
      <c r="D77" s="22">
        <f>IF(C77="","",INDEX(MERCADORIA!$B$5:$B$22,MATCH(C77,MERCADORIA!$A$5:$A$22,0)))</f>
        <v/>
      </c>
      <c r="E77" s="22">
        <f>IF(C77="","",INDEX(MERCADORIA!$C$5:$C$22,MATCH(C77,MERCADORIA!$A$5:$A$22,0)))</f>
        <v/>
      </c>
      <c r="F77" s="23" t="n"/>
      <c r="G77" s="24">
        <f>IF(D77="","",INDEX(VALOR!$B$5:$B$8,MATCH(D77,VALOR!$A$5:$A$8,0)))</f>
        <v/>
      </c>
      <c r="H77" s="15">
        <f>IF(OR(G77="",F77=""),0,F77*G77)</f>
        <v/>
      </c>
      <c r="I77" s="20" t="n"/>
      <c r="J77" s="20" t="n"/>
      <c r="K77" s="24">
        <f>IF(OR(O77=0,J77=""),0,INDEX(MAPA!$C$5:$C$14,MATCH(J77,MAPA!$A$5:$A$14,0)))</f>
        <v/>
      </c>
      <c r="L77" s="25">
        <f>H77+K77</f>
        <v/>
      </c>
      <c r="M77" s="20" t="n"/>
      <c r="N77" s="20" t="n"/>
      <c r="O77" s="14">
        <f>IF(A77="",0,IF(COUNTIF($A$5:A77,A77)=1,1,0))</f>
        <v/>
      </c>
    </row>
    <row r="78">
      <c r="A78" s="20" t="n"/>
      <c r="B78" s="21" t="n"/>
      <c r="C78" s="20" t="n"/>
      <c r="D78" s="22">
        <f>IF(C78="","",INDEX(MERCADORIA!$B$5:$B$22,MATCH(C78,MERCADORIA!$A$5:$A$22,0)))</f>
        <v/>
      </c>
      <c r="E78" s="22">
        <f>IF(C78="","",INDEX(MERCADORIA!$C$5:$C$22,MATCH(C78,MERCADORIA!$A$5:$A$22,0)))</f>
        <v/>
      </c>
      <c r="F78" s="23" t="n"/>
      <c r="G78" s="24">
        <f>IF(D78="","",INDEX(VALOR!$B$5:$B$8,MATCH(D78,VALOR!$A$5:$A$8,0)))</f>
        <v/>
      </c>
      <c r="H78" s="15">
        <f>IF(OR(G78="",F78=""),0,F78*G78)</f>
        <v/>
      </c>
      <c r="I78" s="20" t="n"/>
      <c r="J78" s="20" t="n"/>
      <c r="K78" s="24">
        <f>IF(OR(O78=0,J78=""),0,INDEX(MAPA!$C$5:$C$14,MATCH(J78,MAPA!$A$5:$A$14,0)))</f>
        <v/>
      </c>
      <c r="L78" s="25">
        <f>H78+K78</f>
        <v/>
      </c>
      <c r="M78" s="20" t="n"/>
      <c r="N78" s="20" t="n"/>
      <c r="O78" s="14">
        <f>IF(A78="",0,IF(COUNTIF($A$5:A78,A78)=1,1,0))</f>
        <v/>
      </c>
    </row>
    <row r="79">
      <c r="A79" s="20" t="n"/>
      <c r="B79" s="21" t="n"/>
      <c r="C79" s="20" t="n"/>
      <c r="D79" s="22">
        <f>IF(C79="","",INDEX(MERCADORIA!$B$5:$B$22,MATCH(C79,MERCADORIA!$A$5:$A$22,0)))</f>
        <v/>
      </c>
      <c r="E79" s="22">
        <f>IF(C79="","",INDEX(MERCADORIA!$C$5:$C$22,MATCH(C79,MERCADORIA!$A$5:$A$22,0)))</f>
        <v/>
      </c>
      <c r="F79" s="23" t="n"/>
      <c r="G79" s="24">
        <f>IF(D79="","",INDEX(VALOR!$B$5:$B$8,MATCH(D79,VALOR!$A$5:$A$8,0)))</f>
        <v/>
      </c>
      <c r="H79" s="15">
        <f>IF(OR(G79="",F79=""),0,F79*G79)</f>
        <v/>
      </c>
      <c r="I79" s="20" t="n"/>
      <c r="J79" s="20" t="n"/>
      <c r="K79" s="24">
        <f>IF(OR(O79=0,J79=""),0,INDEX(MAPA!$C$5:$C$14,MATCH(J79,MAPA!$A$5:$A$14,0)))</f>
        <v/>
      </c>
      <c r="L79" s="25">
        <f>H79+K79</f>
        <v/>
      </c>
      <c r="M79" s="20" t="n"/>
      <c r="N79" s="20" t="n"/>
      <c r="O79" s="14">
        <f>IF(A79="",0,IF(COUNTIF($A$5:A79,A79)=1,1,0))</f>
        <v/>
      </c>
    </row>
    <row r="80">
      <c r="A80" s="20" t="n"/>
      <c r="B80" s="21" t="n"/>
      <c r="C80" s="20" t="n"/>
      <c r="D80" s="22">
        <f>IF(C80="","",INDEX(MERCADORIA!$B$5:$B$22,MATCH(C80,MERCADORIA!$A$5:$A$22,0)))</f>
        <v/>
      </c>
      <c r="E80" s="22">
        <f>IF(C80="","",INDEX(MERCADORIA!$C$5:$C$22,MATCH(C80,MERCADORIA!$A$5:$A$22,0)))</f>
        <v/>
      </c>
      <c r="F80" s="23" t="n"/>
      <c r="G80" s="24">
        <f>IF(D80="","",INDEX(VALOR!$B$5:$B$8,MATCH(D80,VALOR!$A$5:$A$8,0)))</f>
        <v/>
      </c>
      <c r="H80" s="15">
        <f>IF(OR(G80="",F80=""),0,F80*G80)</f>
        <v/>
      </c>
      <c r="I80" s="20" t="n"/>
      <c r="J80" s="20" t="n"/>
      <c r="K80" s="24">
        <f>IF(OR(O80=0,J80=""),0,INDEX(MAPA!$C$5:$C$14,MATCH(J80,MAPA!$A$5:$A$14,0)))</f>
        <v/>
      </c>
      <c r="L80" s="25">
        <f>H80+K80</f>
        <v/>
      </c>
      <c r="M80" s="20" t="n"/>
      <c r="N80" s="20" t="n"/>
      <c r="O80" s="14">
        <f>IF(A80="",0,IF(COUNTIF($A$5:A80,A80)=1,1,0))</f>
        <v/>
      </c>
    </row>
    <row r="81">
      <c r="A81" s="20" t="n"/>
      <c r="B81" s="21" t="n"/>
      <c r="C81" s="20" t="n"/>
      <c r="D81" s="22">
        <f>IF(C81="","",INDEX(MERCADORIA!$B$5:$B$22,MATCH(C81,MERCADORIA!$A$5:$A$22,0)))</f>
        <v/>
      </c>
      <c r="E81" s="22">
        <f>IF(C81="","",INDEX(MERCADORIA!$C$5:$C$22,MATCH(C81,MERCADORIA!$A$5:$A$22,0)))</f>
        <v/>
      </c>
      <c r="F81" s="23" t="n"/>
      <c r="G81" s="24">
        <f>IF(D81="","",INDEX(VALOR!$B$5:$B$8,MATCH(D81,VALOR!$A$5:$A$8,0)))</f>
        <v/>
      </c>
      <c r="H81" s="15">
        <f>IF(OR(G81="",F81=""),0,F81*G81)</f>
        <v/>
      </c>
      <c r="I81" s="20" t="n"/>
      <c r="J81" s="20" t="n"/>
      <c r="K81" s="24">
        <f>IF(OR(O81=0,J81=""),0,INDEX(MAPA!$C$5:$C$14,MATCH(J81,MAPA!$A$5:$A$14,0)))</f>
        <v/>
      </c>
      <c r="L81" s="25">
        <f>H81+K81</f>
        <v/>
      </c>
      <c r="M81" s="20" t="n"/>
      <c r="N81" s="20" t="n"/>
      <c r="O81" s="14">
        <f>IF(A81="",0,IF(COUNTIF($A$5:A81,A81)=1,1,0))</f>
        <v/>
      </c>
    </row>
    <row r="82">
      <c r="A82" s="20" t="n"/>
      <c r="B82" s="21" t="n"/>
      <c r="C82" s="20" t="n"/>
      <c r="D82" s="22">
        <f>IF(C82="","",INDEX(MERCADORIA!$B$5:$B$22,MATCH(C82,MERCADORIA!$A$5:$A$22,0)))</f>
        <v/>
      </c>
      <c r="E82" s="22">
        <f>IF(C82="","",INDEX(MERCADORIA!$C$5:$C$22,MATCH(C82,MERCADORIA!$A$5:$A$22,0)))</f>
        <v/>
      </c>
      <c r="F82" s="23" t="n"/>
      <c r="G82" s="24">
        <f>IF(D82="","",INDEX(VALOR!$B$5:$B$8,MATCH(D82,VALOR!$A$5:$A$8,0)))</f>
        <v/>
      </c>
      <c r="H82" s="15">
        <f>IF(OR(G82="",F82=""),0,F82*G82)</f>
        <v/>
      </c>
      <c r="I82" s="20" t="n"/>
      <c r="J82" s="20" t="n"/>
      <c r="K82" s="24">
        <f>IF(OR(O82=0,J82=""),0,INDEX(MAPA!$C$5:$C$14,MATCH(J82,MAPA!$A$5:$A$14,0)))</f>
        <v/>
      </c>
      <c r="L82" s="25">
        <f>H82+K82</f>
        <v/>
      </c>
      <c r="M82" s="20" t="n"/>
      <c r="N82" s="20" t="n"/>
      <c r="O82" s="14">
        <f>IF(A82="",0,IF(COUNTIF($A$5:A82,A82)=1,1,0))</f>
        <v/>
      </c>
    </row>
    <row r="83">
      <c r="A83" s="20" t="n"/>
      <c r="B83" s="21" t="n"/>
      <c r="C83" s="20" t="n"/>
      <c r="D83" s="22">
        <f>IF(C83="","",INDEX(MERCADORIA!$B$5:$B$22,MATCH(C83,MERCADORIA!$A$5:$A$22,0)))</f>
        <v/>
      </c>
      <c r="E83" s="22">
        <f>IF(C83="","",INDEX(MERCADORIA!$C$5:$C$22,MATCH(C83,MERCADORIA!$A$5:$A$22,0)))</f>
        <v/>
      </c>
      <c r="F83" s="23" t="n"/>
      <c r="G83" s="24">
        <f>IF(D83="","",INDEX(VALOR!$B$5:$B$8,MATCH(D83,VALOR!$A$5:$A$8,0)))</f>
        <v/>
      </c>
      <c r="H83" s="15">
        <f>IF(OR(G83="",F83=""),0,F83*G83)</f>
        <v/>
      </c>
      <c r="I83" s="20" t="n"/>
      <c r="J83" s="20" t="n"/>
      <c r="K83" s="24">
        <f>IF(OR(O83=0,J83=""),0,INDEX(MAPA!$C$5:$C$14,MATCH(J83,MAPA!$A$5:$A$14,0)))</f>
        <v/>
      </c>
      <c r="L83" s="25">
        <f>H83+K83</f>
        <v/>
      </c>
      <c r="M83" s="20" t="n"/>
      <c r="N83" s="20" t="n"/>
      <c r="O83" s="14">
        <f>IF(A83="",0,IF(COUNTIF($A$5:A83,A83)=1,1,0))</f>
        <v/>
      </c>
    </row>
    <row r="84">
      <c r="A84" s="20" t="n"/>
      <c r="B84" s="21" t="n"/>
      <c r="C84" s="20" t="n"/>
      <c r="D84" s="22">
        <f>IF(C84="","",INDEX(MERCADORIA!$B$5:$B$22,MATCH(C84,MERCADORIA!$A$5:$A$22,0)))</f>
        <v/>
      </c>
      <c r="E84" s="22">
        <f>IF(C84="","",INDEX(MERCADORIA!$C$5:$C$22,MATCH(C84,MERCADORIA!$A$5:$A$22,0)))</f>
        <v/>
      </c>
      <c r="F84" s="23" t="n"/>
      <c r="G84" s="24">
        <f>IF(D84="","",INDEX(VALOR!$B$5:$B$8,MATCH(D84,VALOR!$A$5:$A$8,0)))</f>
        <v/>
      </c>
      <c r="H84" s="15">
        <f>IF(OR(G84="",F84=""),0,F84*G84)</f>
        <v/>
      </c>
      <c r="I84" s="20" t="n"/>
      <c r="J84" s="20" t="n"/>
      <c r="K84" s="24">
        <f>IF(OR(O84=0,J84=""),0,INDEX(MAPA!$C$5:$C$14,MATCH(J84,MAPA!$A$5:$A$14,0)))</f>
        <v/>
      </c>
      <c r="L84" s="25">
        <f>H84+K84</f>
        <v/>
      </c>
      <c r="M84" s="20" t="n"/>
      <c r="N84" s="20" t="n"/>
      <c r="O84" s="14">
        <f>IF(A84="",0,IF(COUNTIF($A$5:A84,A84)=1,1,0))</f>
        <v/>
      </c>
    </row>
    <row r="85">
      <c r="A85" s="20" t="n"/>
      <c r="B85" s="21" t="n"/>
      <c r="C85" s="20" t="n"/>
      <c r="D85" s="22">
        <f>IF(C85="","",INDEX(MERCADORIA!$B$5:$B$22,MATCH(C85,MERCADORIA!$A$5:$A$22,0)))</f>
        <v/>
      </c>
      <c r="E85" s="22">
        <f>IF(C85="","",INDEX(MERCADORIA!$C$5:$C$22,MATCH(C85,MERCADORIA!$A$5:$A$22,0)))</f>
        <v/>
      </c>
      <c r="F85" s="23" t="n"/>
      <c r="G85" s="24">
        <f>IF(D85="","",INDEX(VALOR!$B$5:$B$8,MATCH(D85,VALOR!$A$5:$A$8,0)))</f>
        <v/>
      </c>
      <c r="H85" s="15">
        <f>IF(OR(G85="",F85=""),0,F85*G85)</f>
        <v/>
      </c>
      <c r="I85" s="20" t="n"/>
      <c r="J85" s="20" t="n"/>
      <c r="K85" s="24">
        <f>IF(OR(O85=0,J85=""),0,INDEX(MAPA!$C$5:$C$14,MATCH(J85,MAPA!$A$5:$A$14,0)))</f>
        <v/>
      </c>
      <c r="L85" s="25">
        <f>H85+K85</f>
        <v/>
      </c>
      <c r="M85" s="20" t="n"/>
      <c r="N85" s="20" t="n"/>
      <c r="O85" s="14">
        <f>IF(A85="",0,IF(COUNTIF($A$5:A85,A85)=1,1,0))</f>
        <v/>
      </c>
    </row>
    <row r="86">
      <c r="A86" s="20" t="n"/>
      <c r="B86" s="21" t="n"/>
      <c r="C86" s="20" t="n"/>
      <c r="D86" s="22">
        <f>IF(C86="","",INDEX(MERCADORIA!$B$5:$B$22,MATCH(C86,MERCADORIA!$A$5:$A$22,0)))</f>
        <v/>
      </c>
      <c r="E86" s="22">
        <f>IF(C86="","",INDEX(MERCADORIA!$C$5:$C$22,MATCH(C86,MERCADORIA!$A$5:$A$22,0)))</f>
        <v/>
      </c>
      <c r="F86" s="23" t="n"/>
      <c r="G86" s="24">
        <f>IF(D86="","",INDEX(VALOR!$B$5:$B$8,MATCH(D86,VALOR!$A$5:$A$8,0)))</f>
        <v/>
      </c>
      <c r="H86" s="15">
        <f>IF(OR(G86="",F86=""),0,F86*G86)</f>
        <v/>
      </c>
      <c r="I86" s="20" t="n"/>
      <c r="J86" s="20" t="n"/>
      <c r="K86" s="24">
        <f>IF(OR(O86=0,J86=""),0,INDEX(MAPA!$C$5:$C$14,MATCH(J86,MAPA!$A$5:$A$14,0)))</f>
        <v/>
      </c>
      <c r="L86" s="25">
        <f>H86+K86</f>
        <v/>
      </c>
      <c r="M86" s="20" t="n"/>
      <c r="N86" s="20" t="n"/>
      <c r="O86" s="14">
        <f>IF(A86="",0,IF(COUNTIF($A$5:A86,A86)=1,1,0))</f>
        <v/>
      </c>
    </row>
    <row r="87">
      <c r="A87" s="20" t="n"/>
      <c r="B87" s="21" t="n"/>
      <c r="C87" s="20" t="n"/>
      <c r="D87" s="22">
        <f>IF(C87="","",INDEX(MERCADORIA!$B$5:$B$22,MATCH(C87,MERCADORIA!$A$5:$A$22,0)))</f>
        <v/>
      </c>
      <c r="E87" s="22">
        <f>IF(C87="","",INDEX(MERCADORIA!$C$5:$C$22,MATCH(C87,MERCADORIA!$A$5:$A$22,0)))</f>
        <v/>
      </c>
      <c r="F87" s="23" t="n"/>
      <c r="G87" s="24">
        <f>IF(D87="","",INDEX(VALOR!$B$5:$B$8,MATCH(D87,VALOR!$A$5:$A$8,0)))</f>
        <v/>
      </c>
      <c r="H87" s="15">
        <f>IF(OR(G87="",F87=""),0,F87*G87)</f>
        <v/>
      </c>
      <c r="I87" s="20" t="n"/>
      <c r="J87" s="20" t="n"/>
      <c r="K87" s="24">
        <f>IF(OR(O87=0,J87=""),0,INDEX(MAPA!$C$5:$C$14,MATCH(J87,MAPA!$A$5:$A$14,0)))</f>
        <v/>
      </c>
      <c r="L87" s="25">
        <f>H87+K87</f>
        <v/>
      </c>
      <c r="M87" s="20" t="n"/>
      <c r="N87" s="20" t="n"/>
      <c r="O87" s="14">
        <f>IF(A87="",0,IF(COUNTIF($A$5:A87,A87)=1,1,0))</f>
        <v/>
      </c>
    </row>
    <row r="88">
      <c r="A88" s="20" t="n"/>
      <c r="B88" s="21" t="n"/>
      <c r="C88" s="20" t="n"/>
      <c r="D88" s="22">
        <f>IF(C88="","",INDEX(MERCADORIA!$B$5:$B$22,MATCH(C88,MERCADORIA!$A$5:$A$22,0)))</f>
        <v/>
      </c>
      <c r="E88" s="22">
        <f>IF(C88="","",INDEX(MERCADORIA!$C$5:$C$22,MATCH(C88,MERCADORIA!$A$5:$A$22,0)))</f>
        <v/>
      </c>
      <c r="F88" s="23" t="n"/>
      <c r="G88" s="24">
        <f>IF(D88="","",INDEX(VALOR!$B$5:$B$8,MATCH(D88,VALOR!$A$5:$A$8,0)))</f>
        <v/>
      </c>
      <c r="H88" s="15">
        <f>IF(OR(G88="",F88=""),0,F88*G88)</f>
        <v/>
      </c>
      <c r="I88" s="20" t="n"/>
      <c r="J88" s="20" t="n"/>
      <c r="K88" s="24">
        <f>IF(OR(O88=0,J88=""),0,INDEX(MAPA!$C$5:$C$14,MATCH(J88,MAPA!$A$5:$A$14,0)))</f>
        <v/>
      </c>
      <c r="L88" s="25">
        <f>H88+K88</f>
        <v/>
      </c>
      <c r="M88" s="20" t="n"/>
      <c r="N88" s="20" t="n"/>
      <c r="O88" s="14">
        <f>IF(A88="",0,IF(COUNTIF($A$5:A88,A88)=1,1,0))</f>
        <v/>
      </c>
    </row>
    <row r="89">
      <c r="A89" s="20" t="n"/>
      <c r="B89" s="21" t="n"/>
      <c r="C89" s="20" t="n"/>
      <c r="D89" s="22">
        <f>IF(C89="","",INDEX(MERCADORIA!$B$5:$B$22,MATCH(C89,MERCADORIA!$A$5:$A$22,0)))</f>
        <v/>
      </c>
      <c r="E89" s="22">
        <f>IF(C89="","",INDEX(MERCADORIA!$C$5:$C$22,MATCH(C89,MERCADORIA!$A$5:$A$22,0)))</f>
        <v/>
      </c>
      <c r="F89" s="23" t="n"/>
      <c r="G89" s="24">
        <f>IF(D89="","",INDEX(VALOR!$B$5:$B$8,MATCH(D89,VALOR!$A$5:$A$8,0)))</f>
        <v/>
      </c>
      <c r="H89" s="15">
        <f>IF(OR(G89="",F89=""),0,F89*G89)</f>
        <v/>
      </c>
      <c r="I89" s="20" t="n"/>
      <c r="J89" s="20" t="n"/>
      <c r="K89" s="24">
        <f>IF(OR(O89=0,J89=""),0,INDEX(MAPA!$C$5:$C$14,MATCH(J89,MAPA!$A$5:$A$14,0)))</f>
        <v/>
      </c>
      <c r="L89" s="25">
        <f>H89+K89</f>
        <v/>
      </c>
      <c r="M89" s="20" t="n"/>
      <c r="N89" s="20" t="n"/>
      <c r="O89" s="14">
        <f>IF(A89="",0,IF(COUNTIF($A$5:A89,A89)=1,1,0))</f>
        <v/>
      </c>
    </row>
    <row r="90">
      <c r="A90" s="20" t="n"/>
      <c r="B90" s="21" t="n"/>
      <c r="C90" s="20" t="n"/>
      <c r="D90" s="22">
        <f>IF(C90="","",INDEX(MERCADORIA!$B$5:$B$22,MATCH(C90,MERCADORIA!$A$5:$A$22,0)))</f>
        <v/>
      </c>
      <c r="E90" s="22">
        <f>IF(C90="","",INDEX(MERCADORIA!$C$5:$C$22,MATCH(C90,MERCADORIA!$A$5:$A$22,0)))</f>
        <v/>
      </c>
      <c r="F90" s="23" t="n"/>
      <c r="G90" s="24">
        <f>IF(D90="","",INDEX(VALOR!$B$5:$B$8,MATCH(D90,VALOR!$A$5:$A$8,0)))</f>
        <v/>
      </c>
      <c r="H90" s="15">
        <f>IF(OR(G90="",F90=""),0,F90*G90)</f>
        <v/>
      </c>
      <c r="I90" s="20" t="n"/>
      <c r="J90" s="20" t="n"/>
      <c r="K90" s="24">
        <f>IF(OR(O90=0,J90=""),0,INDEX(MAPA!$C$5:$C$14,MATCH(J90,MAPA!$A$5:$A$14,0)))</f>
        <v/>
      </c>
      <c r="L90" s="25">
        <f>H90+K90</f>
        <v/>
      </c>
      <c r="M90" s="20" t="n"/>
      <c r="N90" s="20" t="n"/>
      <c r="O90" s="14">
        <f>IF(A90="",0,IF(COUNTIF($A$5:A90,A90)=1,1,0))</f>
        <v/>
      </c>
    </row>
    <row r="91">
      <c r="A91" s="20" t="n"/>
      <c r="B91" s="21" t="n"/>
      <c r="C91" s="20" t="n"/>
      <c r="D91" s="22">
        <f>IF(C91="","",INDEX(MERCADORIA!$B$5:$B$22,MATCH(C91,MERCADORIA!$A$5:$A$22,0)))</f>
        <v/>
      </c>
      <c r="E91" s="22">
        <f>IF(C91="","",INDEX(MERCADORIA!$C$5:$C$22,MATCH(C91,MERCADORIA!$A$5:$A$22,0)))</f>
        <v/>
      </c>
      <c r="F91" s="23" t="n"/>
      <c r="G91" s="24">
        <f>IF(D91="","",INDEX(VALOR!$B$5:$B$8,MATCH(D91,VALOR!$A$5:$A$8,0)))</f>
        <v/>
      </c>
      <c r="H91" s="15">
        <f>IF(OR(G91="",F91=""),0,F91*G91)</f>
        <v/>
      </c>
      <c r="I91" s="20" t="n"/>
      <c r="J91" s="20" t="n"/>
      <c r="K91" s="24">
        <f>IF(OR(O91=0,J91=""),0,INDEX(MAPA!$C$5:$C$14,MATCH(J91,MAPA!$A$5:$A$14,0)))</f>
        <v/>
      </c>
      <c r="L91" s="25">
        <f>H91+K91</f>
        <v/>
      </c>
      <c r="M91" s="20" t="n"/>
      <c r="N91" s="20" t="n"/>
      <c r="O91" s="14">
        <f>IF(A91="",0,IF(COUNTIF($A$5:A91,A91)=1,1,0))</f>
        <v/>
      </c>
    </row>
    <row r="92">
      <c r="A92" s="20" t="n"/>
      <c r="B92" s="21" t="n"/>
      <c r="C92" s="20" t="n"/>
      <c r="D92" s="22">
        <f>IF(C92="","",INDEX(MERCADORIA!$B$5:$B$22,MATCH(C92,MERCADORIA!$A$5:$A$22,0)))</f>
        <v/>
      </c>
      <c r="E92" s="22">
        <f>IF(C92="","",INDEX(MERCADORIA!$C$5:$C$22,MATCH(C92,MERCADORIA!$A$5:$A$22,0)))</f>
        <v/>
      </c>
      <c r="F92" s="23" t="n"/>
      <c r="G92" s="24">
        <f>IF(D92="","",INDEX(VALOR!$B$5:$B$8,MATCH(D92,VALOR!$A$5:$A$8,0)))</f>
        <v/>
      </c>
      <c r="H92" s="15">
        <f>IF(OR(G92="",F92=""),0,F92*G92)</f>
        <v/>
      </c>
      <c r="I92" s="20" t="n"/>
      <c r="J92" s="20" t="n"/>
      <c r="K92" s="24">
        <f>IF(OR(O92=0,J92=""),0,INDEX(MAPA!$C$5:$C$14,MATCH(J92,MAPA!$A$5:$A$14,0)))</f>
        <v/>
      </c>
      <c r="L92" s="25">
        <f>H92+K92</f>
        <v/>
      </c>
      <c r="M92" s="20" t="n"/>
      <c r="N92" s="20" t="n"/>
      <c r="O92" s="14">
        <f>IF(A92="",0,IF(COUNTIF($A$5:A92,A92)=1,1,0))</f>
        <v/>
      </c>
    </row>
    <row r="93">
      <c r="A93" s="20" t="n"/>
      <c r="B93" s="21" t="n"/>
      <c r="C93" s="20" t="n"/>
      <c r="D93" s="22">
        <f>IF(C93="","",INDEX(MERCADORIA!$B$5:$B$22,MATCH(C93,MERCADORIA!$A$5:$A$22,0)))</f>
        <v/>
      </c>
      <c r="E93" s="22">
        <f>IF(C93="","",INDEX(MERCADORIA!$C$5:$C$22,MATCH(C93,MERCADORIA!$A$5:$A$22,0)))</f>
        <v/>
      </c>
      <c r="F93" s="23" t="n"/>
      <c r="G93" s="24">
        <f>IF(D93="","",INDEX(VALOR!$B$5:$B$8,MATCH(D93,VALOR!$A$5:$A$8,0)))</f>
        <v/>
      </c>
      <c r="H93" s="15">
        <f>IF(OR(G93="",F93=""),0,F93*G93)</f>
        <v/>
      </c>
      <c r="I93" s="20" t="n"/>
      <c r="J93" s="20" t="n"/>
      <c r="K93" s="24">
        <f>IF(OR(O93=0,J93=""),0,INDEX(MAPA!$C$5:$C$14,MATCH(J93,MAPA!$A$5:$A$14,0)))</f>
        <v/>
      </c>
      <c r="L93" s="25">
        <f>H93+K93</f>
        <v/>
      </c>
      <c r="M93" s="20" t="n"/>
      <c r="N93" s="20" t="n"/>
      <c r="O93" s="14">
        <f>IF(A93="",0,IF(COUNTIF($A$5:A93,A93)=1,1,0))</f>
        <v/>
      </c>
    </row>
    <row r="94">
      <c r="A94" s="20" t="n"/>
      <c r="B94" s="21" t="n"/>
      <c r="C94" s="20" t="n"/>
      <c r="D94" s="22">
        <f>IF(C94="","",INDEX(MERCADORIA!$B$5:$B$22,MATCH(C94,MERCADORIA!$A$5:$A$22,0)))</f>
        <v/>
      </c>
      <c r="E94" s="22">
        <f>IF(C94="","",INDEX(MERCADORIA!$C$5:$C$22,MATCH(C94,MERCADORIA!$A$5:$A$22,0)))</f>
        <v/>
      </c>
      <c r="F94" s="23" t="n"/>
      <c r="G94" s="24">
        <f>IF(D94="","",INDEX(VALOR!$B$5:$B$8,MATCH(D94,VALOR!$A$5:$A$8,0)))</f>
        <v/>
      </c>
      <c r="H94" s="15">
        <f>IF(OR(G94="",F94=""),0,F94*G94)</f>
        <v/>
      </c>
      <c r="I94" s="20" t="n"/>
      <c r="J94" s="20" t="n"/>
      <c r="K94" s="24">
        <f>IF(OR(O94=0,J94=""),0,INDEX(MAPA!$C$5:$C$14,MATCH(J94,MAPA!$A$5:$A$14,0)))</f>
        <v/>
      </c>
      <c r="L94" s="25">
        <f>H94+K94</f>
        <v/>
      </c>
      <c r="M94" s="20" t="n"/>
      <c r="N94" s="20" t="n"/>
      <c r="O94" s="14">
        <f>IF(A94="",0,IF(COUNTIF($A$5:A94,A94)=1,1,0))</f>
        <v/>
      </c>
    </row>
    <row r="95">
      <c r="A95" s="20" t="n"/>
      <c r="B95" s="21" t="n"/>
      <c r="C95" s="20" t="n"/>
      <c r="D95" s="22">
        <f>IF(C95="","",INDEX(MERCADORIA!$B$5:$B$22,MATCH(C95,MERCADORIA!$A$5:$A$22,0)))</f>
        <v/>
      </c>
      <c r="E95" s="22">
        <f>IF(C95="","",INDEX(MERCADORIA!$C$5:$C$22,MATCH(C95,MERCADORIA!$A$5:$A$22,0)))</f>
        <v/>
      </c>
      <c r="F95" s="23" t="n"/>
      <c r="G95" s="24">
        <f>IF(D95="","",INDEX(VALOR!$B$5:$B$8,MATCH(D95,VALOR!$A$5:$A$8,0)))</f>
        <v/>
      </c>
      <c r="H95" s="15">
        <f>IF(OR(G95="",F95=""),0,F95*G95)</f>
        <v/>
      </c>
      <c r="I95" s="20" t="n"/>
      <c r="J95" s="20" t="n"/>
      <c r="K95" s="24">
        <f>IF(OR(O95=0,J95=""),0,INDEX(MAPA!$C$5:$C$14,MATCH(J95,MAPA!$A$5:$A$14,0)))</f>
        <v/>
      </c>
      <c r="L95" s="25">
        <f>H95+K95</f>
        <v/>
      </c>
      <c r="M95" s="20" t="n"/>
      <c r="N95" s="20" t="n"/>
      <c r="O95" s="14">
        <f>IF(A95="",0,IF(COUNTIF($A$5:A95,A95)=1,1,0))</f>
        <v/>
      </c>
    </row>
    <row r="96">
      <c r="A96" s="20" t="n"/>
      <c r="B96" s="21" t="n"/>
      <c r="C96" s="20" t="n"/>
      <c r="D96" s="22">
        <f>IF(C96="","",INDEX(MERCADORIA!$B$5:$B$22,MATCH(C96,MERCADORIA!$A$5:$A$22,0)))</f>
        <v/>
      </c>
      <c r="E96" s="22">
        <f>IF(C96="","",INDEX(MERCADORIA!$C$5:$C$22,MATCH(C96,MERCADORIA!$A$5:$A$22,0)))</f>
        <v/>
      </c>
      <c r="F96" s="23" t="n"/>
      <c r="G96" s="24">
        <f>IF(D96="","",INDEX(VALOR!$B$5:$B$8,MATCH(D96,VALOR!$A$5:$A$8,0)))</f>
        <v/>
      </c>
      <c r="H96" s="15">
        <f>IF(OR(G96="",F96=""),0,F96*G96)</f>
        <v/>
      </c>
      <c r="I96" s="20" t="n"/>
      <c r="J96" s="20" t="n"/>
      <c r="K96" s="24">
        <f>IF(OR(O96=0,J96=""),0,INDEX(MAPA!$C$5:$C$14,MATCH(J96,MAPA!$A$5:$A$14,0)))</f>
        <v/>
      </c>
      <c r="L96" s="25">
        <f>H96+K96</f>
        <v/>
      </c>
      <c r="M96" s="20" t="n"/>
      <c r="N96" s="20" t="n"/>
      <c r="O96" s="14">
        <f>IF(A96="",0,IF(COUNTIF($A$5:A96,A96)=1,1,0))</f>
        <v/>
      </c>
    </row>
    <row r="97">
      <c r="A97" s="20" t="n"/>
      <c r="B97" s="21" t="n"/>
      <c r="C97" s="20" t="n"/>
      <c r="D97" s="22">
        <f>IF(C97="","",INDEX(MERCADORIA!$B$5:$B$22,MATCH(C97,MERCADORIA!$A$5:$A$22,0)))</f>
        <v/>
      </c>
      <c r="E97" s="22">
        <f>IF(C97="","",INDEX(MERCADORIA!$C$5:$C$22,MATCH(C97,MERCADORIA!$A$5:$A$22,0)))</f>
        <v/>
      </c>
      <c r="F97" s="23" t="n"/>
      <c r="G97" s="24">
        <f>IF(D97="","",INDEX(VALOR!$B$5:$B$8,MATCH(D97,VALOR!$A$5:$A$8,0)))</f>
        <v/>
      </c>
      <c r="H97" s="15">
        <f>IF(OR(G97="",F97=""),0,F97*G97)</f>
        <v/>
      </c>
      <c r="I97" s="20" t="n"/>
      <c r="J97" s="20" t="n"/>
      <c r="K97" s="24">
        <f>IF(OR(O97=0,J97=""),0,INDEX(MAPA!$C$5:$C$14,MATCH(J97,MAPA!$A$5:$A$14,0)))</f>
        <v/>
      </c>
      <c r="L97" s="25">
        <f>H97+K97</f>
        <v/>
      </c>
      <c r="M97" s="20" t="n"/>
      <c r="N97" s="20" t="n"/>
      <c r="O97" s="14">
        <f>IF(A97="",0,IF(COUNTIF($A$5:A97,A97)=1,1,0))</f>
        <v/>
      </c>
    </row>
    <row r="98">
      <c r="A98" s="20" t="n"/>
      <c r="B98" s="21" t="n"/>
      <c r="C98" s="20" t="n"/>
      <c r="D98" s="22">
        <f>IF(C98="","",INDEX(MERCADORIA!$B$5:$B$22,MATCH(C98,MERCADORIA!$A$5:$A$22,0)))</f>
        <v/>
      </c>
      <c r="E98" s="22">
        <f>IF(C98="","",INDEX(MERCADORIA!$C$5:$C$22,MATCH(C98,MERCADORIA!$A$5:$A$22,0)))</f>
        <v/>
      </c>
      <c r="F98" s="23" t="n"/>
      <c r="G98" s="24">
        <f>IF(D98="","",INDEX(VALOR!$B$5:$B$8,MATCH(D98,VALOR!$A$5:$A$8,0)))</f>
        <v/>
      </c>
      <c r="H98" s="15">
        <f>IF(OR(G98="",F98=""),0,F98*G98)</f>
        <v/>
      </c>
      <c r="I98" s="20" t="n"/>
      <c r="J98" s="20" t="n"/>
      <c r="K98" s="24">
        <f>IF(OR(O98=0,J98=""),0,INDEX(MAPA!$C$5:$C$14,MATCH(J98,MAPA!$A$5:$A$14,0)))</f>
        <v/>
      </c>
      <c r="L98" s="25">
        <f>H98+K98</f>
        <v/>
      </c>
      <c r="M98" s="20" t="n"/>
      <c r="N98" s="20" t="n"/>
      <c r="O98" s="14">
        <f>IF(A98="",0,IF(COUNTIF($A$5:A98,A98)=1,1,0))</f>
        <v/>
      </c>
    </row>
    <row r="99">
      <c r="A99" s="20" t="n"/>
      <c r="B99" s="21" t="n"/>
      <c r="C99" s="20" t="n"/>
      <c r="D99" s="22">
        <f>IF(C99="","",INDEX(MERCADORIA!$B$5:$B$22,MATCH(C99,MERCADORIA!$A$5:$A$22,0)))</f>
        <v/>
      </c>
      <c r="E99" s="22">
        <f>IF(C99="","",INDEX(MERCADORIA!$C$5:$C$22,MATCH(C99,MERCADORIA!$A$5:$A$22,0)))</f>
        <v/>
      </c>
      <c r="F99" s="23" t="n"/>
      <c r="G99" s="24">
        <f>IF(D99="","",INDEX(VALOR!$B$5:$B$8,MATCH(D99,VALOR!$A$5:$A$8,0)))</f>
        <v/>
      </c>
      <c r="H99" s="15">
        <f>IF(OR(G99="",F99=""),0,F99*G99)</f>
        <v/>
      </c>
      <c r="I99" s="20" t="n"/>
      <c r="J99" s="20" t="n"/>
      <c r="K99" s="24">
        <f>IF(OR(O99=0,J99=""),0,INDEX(MAPA!$C$5:$C$14,MATCH(J99,MAPA!$A$5:$A$14,0)))</f>
        <v/>
      </c>
      <c r="L99" s="25">
        <f>H99+K99</f>
        <v/>
      </c>
      <c r="M99" s="20" t="n"/>
      <c r="N99" s="20" t="n"/>
      <c r="O99" s="14">
        <f>IF(A99="",0,IF(COUNTIF($A$5:A99,A99)=1,1,0))</f>
        <v/>
      </c>
    </row>
    <row r="100">
      <c r="A100" s="20" t="n"/>
      <c r="B100" s="21" t="n"/>
      <c r="C100" s="20" t="n"/>
      <c r="D100" s="22">
        <f>IF(C100="","",INDEX(MERCADORIA!$B$5:$B$22,MATCH(C100,MERCADORIA!$A$5:$A$22,0)))</f>
        <v/>
      </c>
      <c r="E100" s="22">
        <f>IF(C100="","",INDEX(MERCADORIA!$C$5:$C$22,MATCH(C100,MERCADORIA!$A$5:$A$22,0)))</f>
        <v/>
      </c>
      <c r="F100" s="23" t="n"/>
      <c r="G100" s="24">
        <f>IF(D100="","",INDEX(VALOR!$B$5:$B$8,MATCH(D100,VALOR!$A$5:$A$8,0)))</f>
        <v/>
      </c>
      <c r="H100" s="15">
        <f>IF(OR(G100="",F100=""),0,F100*G100)</f>
        <v/>
      </c>
      <c r="I100" s="20" t="n"/>
      <c r="J100" s="20" t="n"/>
      <c r="K100" s="24">
        <f>IF(OR(O100=0,J100=""),0,INDEX(MAPA!$C$5:$C$14,MATCH(J100,MAPA!$A$5:$A$14,0)))</f>
        <v/>
      </c>
      <c r="L100" s="25">
        <f>H100+K100</f>
        <v/>
      </c>
      <c r="M100" s="20" t="n"/>
      <c r="N100" s="20" t="n"/>
      <c r="O100" s="14">
        <f>IF(A100="",0,IF(COUNTIF($A$5:A100,A100)=1,1,0))</f>
        <v/>
      </c>
    </row>
    <row r="101">
      <c r="A101" s="20" t="n"/>
      <c r="B101" s="21" t="n"/>
      <c r="C101" s="20" t="n"/>
      <c r="D101" s="22">
        <f>IF(C101="","",INDEX(MERCADORIA!$B$5:$B$22,MATCH(C101,MERCADORIA!$A$5:$A$22,0)))</f>
        <v/>
      </c>
      <c r="E101" s="22">
        <f>IF(C101="","",INDEX(MERCADORIA!$C$5:$C$22,MATCH(C101,MERCADORIA!$A$5:$A$22,0)))</f>
        <v/>
      </c>
      <c r="F101" s="23" t="n"/>
      <c r="G101" s="24">
        <f>IF(D101="","",INDEX(VALOR!$B$5:$B$8,MATCH(D101,VALOR!$A$5:$A$8,0)))</f>
        <v/>
      </c>
      <c r="H101" s="15">
        <f>IF(OR(G101="",F101=""),0,F101*G101)</f>
        <v/>
      </c>
      <c r="I101" s="20" t="n"/>
      <c r="J101" s="20" t="n"/>
      <c r="K101" s="24">
        <f>IF(OR(O101=0,J101=""),0,INDEX(MAPA!$C$5:$C$14,MATCH(J101,MAPA!$A$5:$A$14,0)))</f>
        <v/>
      </c>
      <c r="L101" s="25">
        <f>H101+K101</f>
        <v/>
      </c>
      <c r="M101" s="20" t="n"/>
      <c r="N101" s="20" t="n"/>
      <c r="O101" s="14">
        <f>IF(A101="",0,IF(COUNTIF($A$5:A101,A101)=1,1,0))</f>
        <v/>
      </c>
    </row>
    <row r="102">
      <c r="A102" s="20" t="n"/>
      <c r="B102" s="21" t="n"/>
      <c r="C102" s="20" t="n"/>
      <c r="D102" s="22">
        <f>IF(C102="","",INDEX(MERCADORIA!$B$5:$B$22,MATCH(C102,MERCADORIA!$A$5:$A$22,0)))</f>
        <v/>
      </c>
      <c r="E102" s="22">
        <f>IF(C102="","",INDEX(MERCADORIA!$C$5:$C$22,MATCH(C102,MERCADORIA!$A$5:$A$22,0)))</f>
        <v/>
      </c>
      <c r="F102" s="23" t="n"/>
      <c r="G102" s="24">
        <f>IF(D102="","",INDEX(VALOR!$B$5:$B$8,MATCH(D102,VALOR!$A$5:$A$8,0)))</f>
        <v/>
      </c>
      <c r="H102" s="15">
        <f>IF(OR(G102="",F102=""),0,F102*G102)</f>
        <v/>
      </c>
      <c r="I102" s="20" t="n"/>
      <c r="J102" s="20" t="n"/>
      <c r="K102" s="24">
        <f>IF(OR(O102=0,J102=""),0,INDEX(MAPA!$C$5:$C$14,MATCH(J102,MAPA!$A$5:$A$14,0)))</f>
        <v/>
      </c>
      <c r="L102" s="25">
        <f>H102+K102</f>
        <v/>
      </c>
      <c r="M102" s="20" t="n"/>
      <c r="N102" s="20" t="n"/>
      <c r="O102" s="14">
        <f>IF(A102="",0,IF(COUNTIF($A$5:A102,A102)=1,1,0))</f>
        <v/>
      </c>
    </row>
    <row r="103">
      <c r="A103" s="20" t="n"/>
      <c r="B103" s="21" t="n"/>
      <c r="C103" s="20" t="n"/>
      <c r="D103" s="22">
        <f>IF(C103="","",INDEX(MERCADORIA!$B$5:$B$22,MATCH(C103,MERCADORIA!$A$5:$A$22,0)))</f>
        <v/>
      </c>
      <c r="E103" s="22">
        <f>IF(C103="","",INDEX(MERCADORIA!$C$5:$C$22,MATCH(C103,MERCADORIA!$A$5:$A$22,0)))</f>
        <v/>
      </c>
      <c r="F103" s="23" t="n"/>
      <c r="G103" s="24">
        <f>IF(D103="","",INDEX(VALOR!$B$5:$B$8,MATCH(D103,VALOR!$A$5:$A$8,0)))</f>
        <v/>
      </c>
      <c r="H103" s="15">
        <f>IF(OR(G103="",F103=""),0,F103*G103)</f>
        <v/>
      </c>
      <c r="I103" s="20" t="n"/>
      <c r="J103" s="20" t="n"/>
      <c r="K103" s="24">
        <f>IF(OR(O103=0,J103=""),0,INDEX(MAPA!$C$5:$C$14,MATCH(J103,MAPA!$A$5:$A$14,0)))</f>
        <v/>
      </c>
      <c r="L103" s="25">
        <f>H103+K103</f>
        <v/>
      </c>
      <c r="M103" s="20" t="n"/>
      <c r="N103" s="20" t="n"/>
      <c r="O103" s="14">
        <f>IF(A103="",0,IF(COUNTIF($A$5:A103,A103)=1,1,0))</f>
        <v/>
      </c>
    </row>
    <row r="104">
      <c r="A104" s="20" t="n"/>
      <c r="B104" s="21" t="n"/>
      <c r="C104" s="20" t="n"/>
      <c r="D104" s="22">
        <f>IF(C104="","",INDEX(MERCADORIA!$B$5:$B$22,MATCH(C104,MERCADORIA!$A$5:$A$22,0)))</f>
        <v/>
      </c>
      <c r="E104" s="22">
        <f>IF(C104="","",INDEX(MERCADORIA!$C$5:$C$22,MATCH(C104,MERCADORIA!$A$5:$A$22,0)))</f>
        <v/>
      </c>
      <c r="F104" s="23" t="n"/>
      <c r="G104" s="24">
        <f>IF(D104="","",INDEX(VALOR!$B$5:$B$8,MATCH(D104,VALOR!$A$5:$A$8,0)))</f>
        <v/>
      </c>
      <c r="H104" s="15">
        <f>IF(OR(G104="",F104=""),0,F104*G104)</f>
        <v/>
      </c>
      <c r="I104" s="20" t="n"/>
      <c r="J104" s="20" t="n"/>
      <c r="K104" s="24">
        <f>IF(OR(O104=0,J104=""),0,INDEX(MAPA!$C$5:$C$14,MATCH(J104,MAPA!$A$5:$A$14,0)))</f>
        <v/>
      </c>
      <c r="L104" s="25">
        <f>H104+K104</f>
        <v/>
      </c>
      <c r="M104" s="20" t="n"/>
      <c r="N104" s="20" t="n"/>
      <c r="O104" s="14">
        <f>IF(A104="",0,IF(COUNTIF($A$5:A104,A104)=1,1,0))</f>
        <v/>
      </c>
    </row>
    <row r="105">
      <c r="A105" s="20" t="n"/>
      <c r="B105" s="21" t="n"/>
      <c r="C105" s="20" t="n"/>
      <c r="D105" s="22">
        <f>IF(C105="","",INDEX(MERCADORIA!$B$5:$B$22,MATCH(C105,MERCADORIA!$A$5:$A$22,0)))</f>
        <v/>
      </c>
      <c r="E105" s="22">
        <f>IF(C105="","",INDEX(MERCADORIA!$C$5:$C$22,MATCH(C105,MERCADORIA!$A$5:$A$22,0)))</f>
        <v/>
      </c>
      <c r="F105" s="23" t="n"/>
      <c r="G105" s="24">
        <f>IF(D105="","",INDEX(VALOR!$B$5:$B$8,MATCH(D105,VALOR!$A$5:$A$8,0)))</f>
        <v/>
      </c>
      <c r="H105" s="15">
        <f>IF(OR(G105="",F105=""),0,F105*G105)</f>
        <v/>
      </c>
      <c r="I105" s="20" t="n"/>
      <c r="J105" s="20" t="n"/>
      <c r="K105" s="24">
        <f>IF(OR(O105=0,J105=""),0,INDEX(MAPA!$C$5:$C$14,MATCH(J105,MAPA!$A$5:$A$14,0)))</f>
        <v/>
      </c>
      <c r="L105" s="25">
        <f>H105+K105</f>
        <v/>
      </c>
      <c r="M105" s="20" t="n"/>
      <c r="N105" s="20" t="n"/>
      <c r="O105" s="14">
        <f>IF(A105="",0,IF(COUNTIF($A$5:A105,A105)=1,1,0))</f>
        <v/>
      </c>
    </row>
    <row r="106">
      <c r="A106" s="20" t="n"/>
      <c r="B106" s="21" t="n"/>
      <c r="C106" s="20" t="n"/>
      <c r="D106" s="22">
        <f>IF(C106="","",INDEX(MERCADORIA!$B$5:$B$22,MATCH(C106,MERCADORIA!$A$5:$A$22,0)))</f>
        <v/>
      </c>
      <c r="E106" s="22">
        <f>IF(C106="","",INDEX(MERCADORIA!$C$5:$C$22,MATCH(C106,MERCADORIA!$A$5:$A$22,0)))</f>
        <v/>
      </c>
      <c r="F106" s="23" t="n"/>
      <c r="G106" s="24">
        <f>IF(D106="","",INDEX(VALOR!$B$5:$B$8,MATCH(D106,VALOR!$A$5:$A$8,0)))</f>
        <v/>
      </c>
      <c r="H106" s="15">
        <f>IF(OR(G106="",F106=""),0,F106*G106)</f>
        <v/>
      </c>
      <c r="I106" s="20" t="n"/>
      <c r="J106" s="20" t="n"/>
      <c r="K106" s="24">
        <f>IF(OR(O106=0,J106=""),0,INDEX(MAPA!$C$5:$C$14,MATCH(J106,MAPA!$A$5:$A$14,0)))</f>
        <v/>
      </c>
      <c r="L106" s="25">
        <f>H106+K106</f>
        <v/>
      </c>
      <c r="M106" s="20" t="n"/>
      <c r="N106" s="20" t="n"/>
      <c r="O106" s="14">
        <f>IF(A106="",0,IF(COUNTIF($A$5:A106,A106)=1,1,0))</f>
        <v/>
      </c>
    </row>
    <row r="107">
      <c r="A107" s="20" t="n"/>
      <c r="B107" s="21" t="n"/>
      <c r="C107" s="20" t="n"/>
      <c r="D107" s="22">
        <f>IF(C107="","",INDEX(MERCADORIA!$B$5:$B$22,MATCH(C107,MERCADORIA!$A$5:$A$22,0)))</f>
        <v/>
      </c>
      <c r="E107" s="22">
        <f>IF(C107="","",INDEX(MERCADORIA!$C$5:$C$22,MATCH(C107,MERCADORIA!$A$5:$A$22,0)))</f>
        <v/>
      </c>
      <c r="F107" s="23" t="n"/>
      <c r="G107" s="24">
        <f>IF(D107="","",INDEX(VALOR!$B$5:$B$8,MATCH(D107,VALOR!$A$5:$A$8,0)))</f>
        <v/>
      </c>
      <c r="H107" s="15">
        <f>IF(OR(G107="",F107=""),0,F107*G107)</f>
        <v/>
      </c>
      <c r="I107" s="20" t="n"/>
      <c r="J107" s="20" t="n"/>
      <c r="K107" s="24">
        <f>IF(OR(O107=0,J107=""),0,INDEX(MAPA!$C$5:$C$14,MATCH(J107,MAPA!$A$5:$A$14,0)))</f>
        <v/>
      </c>
      <c r="L107" s="25">
        <f>H107+K107</f>
        <v/>
      </c>
      <c r="M107" s="20" t="n"/>
      <c r="N107" s="20" t="n"/>
      <c r="O107" s="14">
        <f>IF(A107="",0,IF(COUNTIF($A$5:A107,A107)=1,1,0))</f>
        <v/>
      </c>
    </row>
    <row r="108">
      <c r="A108" s="20" t="n"/>
      <c r="B108" s="21" t="n"/>
      <c r="C108" s="20" t="n"/>
      <c r="D108" s="22">
        <f>IF(C108="","",INDEX(MERCADORIA!$B$5:$B$22,MATCH(C108,MERCADORIA!$A$5:$A$22,0)))</f>
        <v/>
      </c>
      <c r="E108" s="22">
        <f>IF(C108="","",INDEX(MERCADORIA!$C$5:$C$22,MATCH(C108,MERCADORIA!$A$5:$A$22,0)))</f>
        <v/>
      </c>
      <c r="F108" s="23" t="n"/>
      <c r="G108" s="24">
        <f>IF(D108="","",INDEX(VALOR!$B$5:$B$8,MATCH(D108,VALOR!$A$5:$A$8,0)))</f>
        <v/>
      </c>
      <c r="H108" s="15">
        <f>IF(OR(G108="",F108=""),0,F108*G108)</f>
        <v/>
      </c>
      <c r="I108" s="20" t="n"/>
      <c r="J108" s="20" t="n"/>
      <c r="K108" s="24">
        <f>IF(OR(O108=0,J108=""),0,INDEX(MAPA!$C$5:$C$14,MATCH(J108,MAPA!$A$5:$A$14,0)))</f>
        <v/>
      </c>
      <c r="L108" s="25">
        <f>H108+K108</f>
        <v/>
      </c>
      <c r="M108" s="20" t="n"/>
      <c r="N108" s="20" t="n"/>
      <c r="O108" s="14">
        <f>IF(A108="",0,IF(COUNTIF($A$5:A108,A108)=1,1,0))</f>
        <v/>
      </c>
    </row>
    <row r="109">
      <c r="A109" s="20" t="n"/>
      <c r="B109" s="21" t="n"/>
      <c r="C109" s="20" t="n"/>
      <c r="D109" s="22">
        <f>IF(C109="","",INDEX(MERCADORIA!$B$5:$B$22,MATCH(C109,MERCADORIA!$A$5:$A$22,0)))</f>
        <v/>
      </c>
      <c r="E109" s="22">
        <f>IF(C109="","",INDEX(MERCADORIA!$C$5:$C$22,MATCH(C109,MERCADORIA!$A$5:$A$22,0)))</f>
        <v/>
      </c>
      <c r="F109" s="23" t="n"/>
      <c r="G109" s="24">
        <f>IF(D109="","",INDEX(VALOR!$B$5:$B$8,MATCH(D109,VALOR!$A$5:$A$8,0)))</f>
        <v/>
      </c>
      <c r="H109" s="15">
        <f>IF(OR(G109="",F109=""),0,F109*G109)</f>
        <v/>
      </c>
      <c r="I109" s="20" t="n"/>
      <c r="J109" s="20" t="n"/>
      <c r="K109" s="24">
        <f>IF(OR(O109=0,J109=""),0,INDEX(MAPA!$C$5:$C$14,MATCH(J109,MAPA!$A$5:$A$14,0)))</f>
        <v/>
      </c>
      <c r="L109" s="25">
        <f>H109+K109</f>
        <v/>
      </c>
      <c r="M109" s="20" t="n"/>
      <c r="N109" s="20" t="n"/>
      <c r="O109" s="14">
        <f>IF(A109="",0,IF(COUNTIF($A$5:A109,A109)=1,1,0))</f>
        <v/>
      </c>
    </row>
    <row r="110">
      <c r="A110" s="20" t="n"/>
      <c r="B110" s="21" t="n"/>
      <c r="C110" s="20" t="n"/>
      <c r="D110" s="22">
        <f>IF(C110="","",INDEX(MERCADORIA!$B$5:$B$22,MATCH(C110,MERCADORIA!$A$5:$A$22,0)))</f>
        <v/>
      </c>
      <c r="E110" s="22">
        <f>IF(C110="","",INDEX(MERCADORIA!$C$5:$C$22,MATCH(C110,MERCADORIA!$A$5:$A$22,0)))</f>
        <v/>
      </c>
      <c r="F110" s="23" t="n"/>
      <c r="G110" s="24">
        <f>IF(D110="","",INDEX(VALOR!$B$5:$B$8,MATCH(D110,VALOR!$A$5:$A$8,0)))</f>
        <v/>
      </c>
      <c r="H110" s="15">
        <f>IF(OR(G110="",F110=""),0,F110*G110)</f>
        <v/>
      </c>
      <c r="I110" s="20" t="n"/>
      <c r="J110" s="20" t="n"/>
      <c r="K110" s="24">
        <f>IF(OR(O110=0,J110=""),0,INDEX(MAPA!$C$5:$C$14,MATCH(J110,MAPA!$A$5:$A$14,0)))</f>
        <v/>
      </c>
      <c r="L110" s="25">
        <f>H110+K110</f>
        <v/>
      </c>
      <c r="M110" s="20" t="n"/>
      <c r="N110" s="20" t="n"/>
      <c r="O110" s="14">
        <f>IF(A110="",0,IF(COUNTIF($A$5:A110,A110)=1,1,0))</f>
        <v/>
      </c>
    </row>
    <row r="111">
      <c r="A111" s="20" t="n"/>
      <c r="B111" s="21" t="n"/>
      <c r="C111" s="20" t="n"/>
      <c r="D111" s="22">
        <f>IF(C111="","",INDEX(MERCADORIA!$B$5:$B$22,MATCH(C111,MERCADORIA!$A$5:$A$22,0)))</f>
        <v/>
      </c>
      <c r="E111" s="22">
        <f>IF(C111="","",INDEX(MERCADORIA!$C$5:$C$22,MATCH(C111,MERCADORIA!$A$5:$A$22,0)))</f>
        <v/>
      </c>
      <c r="F111" s="23" t="n"/>
      <c r="G111" s="24">
        <f>IF(D111="","",INDEX(VALOR!$B$5:$B$8,MATCH(D111,VALOR!$A$5:$A$8,0)))</f>
        <v/>
      </c>
      <c r="H111" s="15">
        <f>IF(OR(G111="",F111=""),0,F111*G111)</f>
        <v/>
      </c>
      <c r="I111" s="20" t="n"/>
      <c r="J111" s="20" t="n"/>
      <c r="K111" s="24">
        <f>IF(OR(O111=0,J111=""),0,INDEX(MAPA!$C$5:$C$14,MATCH(J111,MAPA!$A$5:$A$14,0)))</f>
        <v/>
      </c>
      <c r="L111" s="25">
        <f>H111+K111</f>
        <v/>
      </c>
      <c r="M111" s="20" t="n"/>
      <c r="N111" s="20" t="n"/>
      <c r="O111" s="14">
        <f>IF(A111="",0,IF(COUNTIF($A$5:A111,A111)=1,1,0))</f>
        <v/>
      </c>
    </row>
    <row r="112">
      <c r="A112" s="20" t="n"/>
      <c r="B112" s="21" t="n"/>
      <c r="C112" s="20" t="n"/>
      <c r="D112" s="22">
        <f>IF(C112="","",INDEX(MERCADORIA!$B$5:$B$22,MATCH(C112,MERCADORIA!$A$5:$A$22,0)))</f>
        <v/>
      </c>
      <c r="E112" s="22">
        <f>IF(C112="","",INDEX(MERCADORIA!$C$5:$C$22,MATCH(C112,MERCADORIA!$A$5:$A$22,0)))</f>
        <v/>
      </c>
      <c r="F112" s="23" t="n"/>
      <c r="G112" s="24">
        <f>IF(D112="","",INDEX(VALOR!$B$5:$B$8,MATCH(D112,VALOR!$A$5:$A$8,0)))</f>
        <v/>
      </c>
      <c r="H112" s="15">
        <f>IF(OR(G112="",F112=""),0,F112*G112)</f>
        <v/>
      </c>
      <c r="I112" s="20" t="n"/>
      <c r="J112" s="20" t="n"/>
      <c r="K112" s="24">
        <f>IF(OR(O112=0,J112=""),0,INDEX(MAPA!$C$5:$C$14,MATCH(J112,MAPA!$A$5:$A$14,0)))</f>
        <v/>
      </c>
      <c r="L112" s="25">
        <f>H112+K112</f>
        <v/>
      </c>
      <c r="M112" s="20" t="n"/>
      <c r="N112" s="20" t="n"/>
      <c r="O112" s="14">
        <f>IF(A112="",0,IF(COUNTIF($A$5:A112,A112)=1,1,0))</f>
        <v/>
      </c>
    </row>
    <row r="113">
      <c r="A113" s="20" t="n"/>
      <c r="B113" s="21" t="n"/>
      <c r="C113" s="20" t="n"/>
      <c r="D113" s="22">
        <f>IF(C113="","",INDEX(MERCADORIA!$B$5:$B$22,MATCH(C113,MERCADORIA!$A$5:$A$22,0)))</f>
        <v/>
      </c>
      <c r="E113" s="22">
        <f>IF(C113="","",INDEX(MERCADORIA!$C$5:$C$22,MATCH(C113,MERCADORIA!$A$5:$A$22,0)))</f>
        <v/>
      </c>
      <c r="F113" s="23" t="n"/>
      <c r="G113" s="24">
        <f>IF(D113="","",INDEX(VALOR!$B$5:$B$8,MATCH(D113,VALOR!$A$5:$A$8,0)))</f>
        <v/>
      </c>
      <c r="H113" s="15">
        <f>IF(OR(G113="",F113=""),0,F113*G113)</f>
        <v/>
      </c>
      <c r="I113" s="20" t="n"/>
      <c r="J113" s="20" t="n"/>
      <c r="K113" s="24">
        <f>IF(OR(O113=0,J113=""),0,INDEX(MAPA!$C$5:$C$14,MATCH(J113,MAPA!$A$5:$A$14,0)))</f>
        <v/>
      </c>
      <c r="L113" s="25">
        <f>H113+K113</f>
        <v/>
      </c>
      <c r="M113" s="20" t="n"/>
      <c r="N113" s="20" t="n"/>
      <c r="O113" s="14">
        <f>IF(A113="",0,IF(COUNTIF($A$5:A113,A113)=1,1,0))</f>
        <v/>
      </c>
    </row>
    <row r="114">
      <c r="A114" s="20" t="n"/>
      <c r="B114" s="21" t="n"/>
      <c r="C114" s="20" t="n"/>
      <c r="D114" s="22">
        <f>IF(C114="","",INDEX(MERCADORIA!$B$5:$B$22,MATCH(C114,MERCADORIA!$A$5:$A$22,0)))</f>
        <v/>
      </c>
      <c r="E114" s="22">
        <f>IF(C114="","",INDEX(MERCADORIA!$C$5:$C$22,MATCH(C114,MERCADORIA!$A$5:$A$22,0)))</f>
        <v/>
      </c>
      <c r="F114" s="23" t="n"/>
      <c r="G114" s="24">
        <f>IF(D114="","",INDEX(VALOR!$B$5:$B$8,MATCH(D114,VALOR!$A$5:$A$8,0)))</f>
        <v/>
      </c>
      <c r="H114" s="15">
        <f>IF(OR(G114="",F114=""),0,F114*G114)</f>
        <v/>
      </c>
      <c r="I114" s="20" t="n"/>
      <c r="J114" s="20" t="n"/>
      <c r="K114" s="24">
        <f>IF(OR(O114=0,J114=""),0,INDEX(MAPA!$C$5:$C$14,MATCH(J114,MAPA!$A$5:$A$14,0)))</f>
        <v/>
      </c>
      <c r="L114" s="25">
        <f>H114+K114</f>
        <v/>
      </c>
      <c r="M114" s="20" t="n"/>
      <c r="N114" s="20" t="n"/>
      <c r="O114" s="14">
        <f>IF(A114="",0,IF(COUNTIF($A$5:A114,A114)=1,1,0))</f>
        <v/>
      </c>
    </row>
    <row r="115">
      <c r="A115" s="20" t="n"/>
      <c r="B115" s="21" t="n"/>
      <c r="C115" s="20" t="n"/>
      <c r="D115" s="22">
        <f>IF(C115="","",INDEX(MERCADORIA!$B$5:$B$22,MATCH(C115,MERCADORIA!$A$5:$A$22,0)))</f>
        <v/>
      </c>
      <c r="E115" s="22">
        <f>IF(C115="","",INDEX(MERCADORIA!$C$5:$C$22,MATCH(C115,MERCADORIA!$A$5:$A$22,0)))</f>
        <v/>
      </c>
      <c r="F115" s="23" t="n"/>
      <c r="G115" s="24">
        <f>IF(D115="","",INDEX(VALOR!$B$5:$B$8,MATCH(D115,VALOR!$A$5:$A$8,0)))</f>
        <v/>
      </c>
      <c r="H115" s="15">
        <f>IF(OR(G115="",F115=""),0,F115*G115)</f>
        <v/>
      </c>
      <c r="I115" s="20" t="n"/>
      <c r="J115" s="20" t="n"/>
      <c r="K115" s="24">
        <f>IF(OR(O115=0,J115=""),0,INDEX(MAPA!$C$5:$C$14,MATCH(J115,MAPA!$A$5:$A$14,0)))</f>
        <v/>
      </c>
      <c r="L115" s="25">
        <f>H115+K115</f>
        <v/>
      </c>
      <c r="M115" s="20" t="n"/>
      <c r="N115" s="20" t="n"/>
      <c r="O115" s="14">
        <f>IF(A115="",0,IF(COUNTIF($A$5:A115,A115)=1,1,0))</f>
        <v/>
      </c>
    </row>
    <row r="116">
      <c r="A116" s="20" t="n"/>
      <c r="B116" s="21" t="n"/>
      <c r="C116" s="20" t="n"/>
      <c r="D116" s="22">
        <f>IF(C116="","",INDEX(MERCADORIA!$B$5:$B$22,MATCH(C116,MERCADORIA!$A$5:$A$22,0)))</f>
        <v/>
      </c>
      <c r="E116" s="22">
        <f>IF(C116="","",INDEX(MERCADORIA!$C$5:$C$22,MATCH(C116,MERCADORIA!$A$5:$A$22,0)))</f>
        <v/>
      </c>
      <c r="F116" s="23" t="n"/>
      <c r="G116" s="24">
        <f>IF(D116="","",INDEX(VALOR!$B$5:$B$8,MATCH(D116,VALOR!$A$5:$A$8,0)))</f>
        <v/>
      </c>
      <c r="H116" s="15">
        <f>IF(OR(G116="",F116=""),0,F116*G116)</f>
        <v/>
      </c>
      <c r="I116" s="20" t="n"/>
      <c r="J116" s="20" t="n"/>
      <c r="K116" s="24">
        <f>IF(OR(O116=0,J116=""),0,INDEX(MAPA!$C$5:$C$14,MATCH(J116,MAPA!$A$5:$A$14,0)))</f>
        <v/>
      </c>
      <c r="L116" s="25">
        <f>H116+K116</f>
        <v/>
      </c>
      <c r="M116" s="20" t="n"/>
      <c r="N116" s="20" t="n"/>
      <c r="O116" s="14">
        <f>IF(A116="",0,IF(COUNTIF($A$5:A116,A116)=1,1,0))</f>
        <v/>
      </c>
    </row>
    <row r="117">
      <c r="A117" s="20" t="n"/>
      <c r="B117" s="21" t="n"/>
      <c r="C117" s="20" t="n"/>
      <c r="D117" s="22">
        <f>IF(C117="","",INDEX(MERCADORIA!$B$5:$B$22,MATCH(C117,MERCADORIA!$A$5:$A$22,0)))</f>
        <v/>
      </c>
      <c r="E117" s="22">
        <f>IF(C117="","",INDEX(MERCADORIA!$C$5:$C$22,MATCH(C117,MERCADORIA!$A$5:$A$22,0)))</f>
        <v/>
      </c>
      <c r="F117" s="23" t="n"/>
      <c r="G117" s="24">
        <f>IF(D117="","",INDEX(VALOR!$B$5:$B$8,MATCH(D117,VALOR!$A$5:$A$8,0)))</f>
        <v/>
      </c>
      <c r="H117" s="15">
        <f>IF(OR(G117="",F117=""),0,F117*G117)</f>
        <v/>
      </c>
      <c r="I117" s="20" t="n"/>
      <c r="J117" s="20" t="n"/>
      <c r="K117" s="24">
        <f>IF(OR(O117=0,J117=""),0,INDEX(MAPA!$C$5:$C$14,MATCH(J117,MAPA!$A$5:$A$14,0)))</f>
        <v/>
      </c>
      <c r="L117" s="25">
        <f>H117+K117</f>
        <v/>
      </c>
      <c r="M117" s="20" t="n"/>
      <c r="N117" s="20" t="n"/>
      <c r="O117" s="14">
        <f>IF(A117="",0,IF(COUNTIF($A$5:A117,A117)=1,1,0))</f>
        <v/>
      </c>
    </row>
    <row r="118">
      <c r="A118" s="20" t="n"/>
      <c r="B118" s="21" t="n"/>
      <c r="C118" s="20" t="n"/>
      <c r="D118" s="22">
        <f>IF(C118="","",INDEX(MERCADORIA!$B$5:$B$22,MATCH(C118,MERCADORIA!$A$5:$A$22,0)))</f>
        <v/>
      </c>
      <c r="E118" s="22">
        <f>IF(C118="","",INDEX(MERCADORIA!$C$5:$C$22,MATCH(C118,MERCADORIA!$A$5:$A$22,0)))</f>
        <v/>
      </c>
      <c r="F118" s="23" t="n"/>
      <c r="G118" s="24">
        <f>IF(D118="","",INDEX(VALOR!$B$5:$B$8,MATCH(D118,VALOR!$A$5:$A$8,0)))</f>
        <v/>
      </c>
      <c r="H118" s="15">
        <f>IF(OR(G118="",F118=""),0,F118*G118)</f>
        <v/>
      </c>
      <c r="I118" s="20" t="n"/>
      <c r="J118" s="20" t="n"/>
      <c r="K118" s="24">
        <f>IF(OR(O118=0,J118=""),0,INDEX(MAPA!$C$5:$C$14,MATCH(J118,MAPA!$A$5:$A$14,0)))</f>
        <v/>
      </c>
      <c r="L118" s="25">
        <f>H118+K118</f>
        <v/>
      </c>
      <c r="M118" s="20" t="n"/>
      <c r="N118" s="20" t="n"/>
      <c r="O118" s="14">
        <f>IF(A118="",0,IF(COUNTIF($A$5:A118,A118)=1,1,0))</f>
        <v/>
      </c>
    </row>
    <row r="119">
      <c r="A119" s="20" t="n"/>
      <c r="B119" s="21" t="n"/>
      <c r="C119" s="20" t="n"/>
      <c r="D119" s="22">
        <f>IF(C119="","",INDEX(MERCADORIA!$B$5:$B$22,MATCH(C119,MERCADORIA!$A$5:$A$22,0)))</f>
        <v/>
      </c>
      <c r="E119" s="22">
        <f>IF(C119="","",INDEX(MERCADORIA!$C$5:$C$22,MATCH(C119,MERCADORIA!$A$5:$A$22,0)))</f>
        <v/>
      </c>
      <c r="F119" s="23" t="n"/>
      <c r="G119" s="24">
        <f>IF(D119="","",INDEX(VALOR!$B$5:$B$8,MATCH(D119,VALOR!$A$5:$A$8,0)))</f>
        <v/>
      </c>
      <c r="H119" s="15">
        <f>IF(OR(G119="",F119=""),0,F119*G119)</f>
        <v/>
      </c>
      <c r="I119" s="20" t="n"/>
      <c r="J119" s="20" t="n"/>
      <c r="K119" s="24">
        <f>IF(OR(O119=0,J119=""),0,INDEX(MAPA!$C$5:$C$14,MATCH(J119,MAPA!$A$5:$A$14,0)))</f>
        <v/>
      </c>
      <c r="L119" s="25">
        <f>H119+K119</f>
        <v/>
      </c>
      <c r="M119" s="20" t="n"/>
      <c r="N119" s="20" t="n"/>
      <c r="O119" s="14">
        <f>IF(A119="",0,IF(COUNTIF($A$5:A119,A119)=1,1,0))</f>
        <v/>
      </c>
    </row>
    <row r="120">
      <c r="A120" s="20" t="n"/>
      <c r="B120" s="21" t="n"/>
      <c r="C120" s="20" t="n"/>
      <c r="D120" s="22">
        <f>IF(C120="","",INDEX(MERCADORIA!$B$5:$B$22,MATCH(C120,MERCADORIA!$A$5:$A$22,0)))</f>
        <v/>
      </c>
      <c r="E120" s="22">
        <f>IF(C120="","",INDEX(MERCADORIA!$C$5:$C$22,MATCH(C120,MERCADORIA!$A$5:$A$22,0)))</f>
        <v/>
      </c>
      <c r="F120" s="23" t="n"/>
      <c r="G120" s="24">
        <f>IF(D120="","",INDEX(VALOR!$B$5:$B$8,MATCH(D120,VALOR!$A$5:$A$8,0)))</f>
        <v/>
      </c>
      <c r="H120" s="15">
        <f>IF(OR(G120="",F120=""),0,F120*G120)</f>
        <v/>
      </c>
      <c r="I120" s="20" t="n"/>
      <c r="J120" s="20" t="n"/>
      <c r="K120" s="24">
        <f>IF(OR(O120=0,J120=""),0,INDEX(MAPA!$C$5:$C$14,MATCH(J120,MAPA!$A$5:$A$14,0)))</f>
        <v/>
      </c>
      <c r="L120" s="25">
        <f>H120+K120</f>
        <v/>
      </c>
      <c r="M120" s="20" t="n"/>
      <c r="N120" s="20" t="n"/>
      <c r="O120" s="14">
        <f>IF(A120="",0,IF(COUNTIF($A$5:A120,A120)=1,1,0))</f>
        <v/>
      </c>
    </row>
    <row r="121">
      <c r="A121" s="20" t="n"/>
      <c r="B121" s="21" t="n"/>
      <c r="C121" s="20" t="n"/>
      <c r="D121" s="22">
        <f>IF(C121="","",INDEX(MERCADORIA!$B$5:$B$22,MATCH(C121,MERCADORIA!$A$5:$A$22,0)))</f>
        <v/>
      </c>
      <c r="E121" s="22">
        <f>IF(C121="","",INDEX(MERCADORIA!$C$5:$C$22,MATCH(C121,MERCADORIA!$A$5:$A$22,0)))</f>
        <v/>
      </c>
      <c r="F121" s="23" t="n"/>
      <c r="G121" s="24">
        <f>IF(D121="","",INDEX(VALOR!$B$5:$B$8,MATCH(D121,VALOR!$A$5:$A$8,0)))</f>
        <v/>
      </c>
      <c r="H121" s="15">
        <f>IF(OR(G121="",F121=""),0,F121*G121)</f>
        <v/>
      </c>
      <c r="I121" s="20" t="n"/>
      <c r="J121" s="20" t="n"/>
      <c r="K121" s="24">
        <f>IF(OR(O121=0,J121=""),0,INDEX(MAPA!$C$5:$C$14,MATCH(J121,MAPA!$A$5:$A$14,0)))</f>
        <v/>
      </c>
      <c r="L121" s="25">
        <f>H121+K121</f>
        <v/>
      </c>
      <c r="M121" s="20" t="n"/>
      <c r="N121" s="20" t="n"/>
      <c r="O121" s="14">
        <f>IF(A121="",0,IF(COUNTIF($A$5:A121,A121)=1,1,0))</f>
        <v/>
      </c>
    </row>
    <row r="122">
      <c r="A122" s="20" t="n"/>
      <c r="B122" s="21" t="n"/>
      <c r="C122" s="20" t="n"/>
      <c r="D122" s="22">
        <f>IF(C122="","",INDEX(MERCADORIA!$B$5:$B$22,MATCH(C122,MERCADORIA!$A$5:$A$22,0)))</f>
        <v/>
      </c>
      <c r="E122" s="22">
        <f>IF(C122="","",INDEX(MERCADORIA!$C$5:$C$22,MATCH(C122,MERCADORIA!$A$5:$A$22,0)))</f>
        <v/>
      </c>
      <c r="F122" s="23" t="n"/>
      <c r="G122" s="24">
        <f>IF(D122="","",INDEX(VALOR!$B$5:$B$8,MATCH(D122,VALOR!$A$5:$A$8,0)))</f>
        <v/>
      </c>
      <c r="H122" s="15">
        <f>IF(OR(G122="",F122=""),0,F122*G122)</f>
        <v/>
      </c>
      <c r="I122" s="20" t="n"/>
      <c r="J122" s="20" t="n"/>
      <c r="K122" s="24">
        <f>IF(OR(O122=0,J122=""),0,INDEX(MAPA!$C$5:$C$14,MATCH(J122,MAPA!$A$5:$A$14,0)))</f>
        <v/>
      </c>
      <c r="L122" s="25">
        <f>H122+K122</f>
        <v/>
      </c>
      <c r="M122" s="20" t="n"/>
      <c r="N122" s="20" t="n"/>
      <c r="O122" s="14">
        <f>IF(A122="",0,IF(COUNTIF($A$5:A122,A122)=1,1,0))</f>
        <v/>
      </c>
    </row>
    <row r="123">
      <c r="A123" s="20" t="n"/>
      <c r="B123" s="21" t="n"/>
      <c r="C123" s="20" t="n"/>
      <c r="D123" s="22">
        <f>IF(C123="","",INDEX(MERCADORIA!$B$5:$B$22,MATCH(C123,MERCADORIA!$A$5:$A$22,0)))</f>
        <v/>
      </c>
      <c r="E123" s="22">
        <f>IF(C123="","",INDEX(MERCADORIA!$C$5:$C$22,MATCH(C123,MERCADORIA!$A$5:$A$22,0)))</f>
        <v/>
      </c>
      <c r="F123" s="23" t="n"/>
      <c r="G123" s="24">
        <f>IF(D123="","",INDEX(VALOR!$B$5:$B$8,MATCH(D123,VALOR!$A$5:$A$8,0)))</f>
        <v/>
      </c>
      <c r="H123" s="15">
        <f>IF(OR(G123="",F123=""),0,F123*G123)</f>
        <v/>
      </c>
      <c r="I123" s="20" t="n"/>
      <c r="J123" s="20" t="n"/>
      <c r="K123" s="24">
        <f>IF(OR(O123=0,J123=""),0,INDEX(MAPA!$C$5:$C$14,MATCH(J123,MAPA!$A$5:$A$14,0)))</f>
        <v/>
      </c>
      <c r="L123" s="25">
        <f>H123+K123</f>
        <v/>
      </c>
      <c r="M123" s="20" t="n"/>
      <c r="N123" s="20" t="n"/>
      <c r="O123" s="14">
        <f>IF(A123="",0,IF(COUNTIF($A$5:A123,A123)=1,1,0))</f>
        <v/>
      </c>
    </row>
    <row r="124">
      <c r="A124" s="20" t="n"/>
      <c r="B124" s="21" t="n"/>
      <c r="C124" s="20" t="n"/>
      <c r="D124" s="22">
        <f>IF(C124="","",INDEX(MERCADORIA!$B$5:$B$22,MATCH(C124,MERCADORIA!$A$5:$A$22,0)))</f>
        <v/>
      </c>
      <c r="E124" s="22">
        <f>IF(C124="","",INDEX(MERCADORIA!$C$5:$C$22,MATCH(C124,MERCADORIA!$A$5:$A$22,0)))</f>
        <v/>
      </c>
      <c r="F124" s="23" t="n"/>
      <c r="G124" s="24">
        <f>IF(D124="","",INDEX(VALOR!$B$5:$B$8,MATCH(D124,VALOR!$A$5:$A$8,0)))</f>
        <v/>
      </c>
      <c r="H124" s="15">
        <f>IF(OR(G124="",F124=""),0,F124*G124)</f>
        <v/>
      </c>
      <c r="I124" s="20" t="n"/>
      <c r="J124" s="20" t="n"/>
      <c r="K124" s="24">
        <f>IF(OR(O124=0,J124=""),0,INDEX(MAPA!$C$5:$C$14,MATCH(J124,MAPA!$A$5:$A$14,0)))</f>
        <v/>
      </c>
      <c r="L124" s="25">
        <f>H124+K124</f>
        <v/>
      </c>
      <c r="M124" s="20" t="n"/>
      <c r="N124" s="20" t="n"/>
      <c r="O124" s="14">
        <f>IF(A124="",0,IF(COUNTIF($A$5:A124,A124)=1,1,0))</f>
        <v/>
      </c>
    </row>
    <row r="125">
      <c r="A125" s="20" t="n"/>
      <c r="B125" s="21" t="n"/>
      <c r="C125" s="20" t="n"/>
      <c r="D125" s="22">
        <f>IF(C125="","",INDEX(MERCADORIA!$B$5:$B$22,MATCH(C125,MERCADORIA!$A$5:$A$22,0)))</f>
        <v/>
      </c>
      <c r="E125" s="22">
        <f>IF(C125="","",INDEX(MERCADORIA!$C$5:$C$22,MATCH(C125,MERCADORIA!$A$5:$A$22,0)))</f>
        <v/>
      </c>
      <c r="F125" s="23" t="n"/>
      <c r="G125" s="24">
        <f>IF(D125="","",INDEX(VALOR!$B$5:$B$8,MATCH(D125,VALOR!$A$5:$A$8,0)))</f>
        <v/>
      </c>
      <c r="H125" s="15">
        <f>IF(OR(G125="",F125=""),0,F125*G125)</f>
        <v/>
      </c>
      <c r="I125" s="20" t="n"/>
      <c r="J125" s="20" t="n"/>
      <c r="K125" s="24">
        <f>IF(OR(O125=0,J125=""),0,INDEX(MAPA!$C$5:$C$14,MATCH(J125,MAPA!$A$5:$A$14,0)))</f>
        <v/>
      </c>
      <c r="L125" s="25">
        <f>H125+K125</f>
        <v/>
      </c>
      <c r="M125" s="20" t="n"/>
      <c r="N125" s="20" t="n"/>
      <c r="O125" s="14">
        <f>IF(A125="",0,IF(COUNTIF($A$5:A125,A125)=1,1,0))</f>
        <v/>
      </c>
    </row>
    <row r="126">
      <c r="A126" s="20" t="n"/>
      <c r="B126" s="21" t="n"/>
      <c r="C126" s="20" t="n"/>
      <c r="D126" s="22">
        <f>IF(C126="","",INDEX(MERCADORIA!$B$5:$B$22,MATCH(C126,MERCADORIA!$A$5:$A$22,0)))</f>
        <v/>
      </c>
      <c r="E126" s="22">
        <f>IF(C126="","",INDEX(MERCADORIA!$C$5:$C$22,MATCH(C126,MERCADORIA!$A$5:$A$22,0)))</f>
        <v/>
      </c>
      <c r="F126" s="23" t="n"/>
      <c r="G126" s="24">
        <f>IF(D126="","",INDEX(VALOR!$B$5:$B$8,MATCH(D126,VALOR!$A$5:$A$8,0)))</f>
        <v/>
      </c>
      <c r="H126" s="15">
        <f>IF(OR(G126="",F126=""),0,F126*G126)</f>
        <v/>
      </c>
      <c r="I126" s="20" t="n"/>
      <c r="J126" s="20" t="n"/>
      <c r="K126" s="24">
        <f>IF(OR(O126=0,J126=""),0,INDEX(MAPA!$C$5:$C$14,MATCH(J126,MAPA!$A$5:$A$14,0)))</f>
        <v/>
      </c>
      <c r="L126" s="25">
        <f>H126+K126</f>
        <v/>
      </c>
      <c r="M126" s="20" t="n"/>
      <c r="N126" s="20" t="n"/>
      <c r="O126" s="14">
        <f>IF(A126="",0,IF(COUNTIF($A$5:A126,A126)=1,1,0))</f>
        <v/>
      </c>
    </row>
    <row r="127">
      <c r="A127" s="20" t="n"/>
      <c r="B127" s="21" t="n"/>
      <c r="C127" s="20" t="n"/>
      <c r="D127" s="22">
        <f>IF(C127="","",INDEX(MERCADORIA!$B$5:$B$22,MATCH(C127,MERCADORIA!$A$5:$A$22,0)))</f>
        <v/>
      </c>
      <c r="E127" s="22">
        <f>IF(C127="","",INDEX(MERCADORIA!$C$5:$C$22,MATCH(C127,MERCADORIA!$A$5:$A$22,0)))</f>
        <v/>
      </c>
      <c r="F127" s="23" t="n"/>
      <c r="G127" s="24">
        <f>IF(D127="","",INDEX(VALOR!$B$5:$B$8,MATCH(D127,VALOR!$A$5:$A$8,0)))</f>
        <v/>
      </c>
      <c r="H127" s="15">
        <f>IF(OR(G127="",F127=""),0,F127*G127)</f>
        <v/>
      </c>
      <c r="I127" s="20" t="n"/>
      <c r="J127" s="20" t="n"/>
      <c r="K127" s="24">
        <f>IF(OR(O127=0,J127=""),0,INDEX(MAPA!$C$5:$C$14,MATCH(J127,MAPA!$A$5:$A$14,0)))</f>
        <v/>
      </c>
      <c r="L127" s="25">
        <f>H127+K127</f>
        <v/>
      </c>
      <c r="M127" s="20" t="n"/>
      <c r="N127" s="20" t="n"/>
      <c r="O127" s="14">
        <f>IF(A127="",0,IF(COUNTIF($A$5:A127,A127)=1,1,0))</f>
        <v/>
      </c>
    </row>
    <row r="128">
      <c r="A128" s="20" t="n"/>
      <c r="B128" s="21" t="n"/>
      <c r="C128" s="20" t="n"/>
      <c r="D128" s="22">
        <f>IF(C128="","",INDEX(MERCADORIA!$B$5:$B$22,MATCH(C128,MERCADORIA!$A$5:$A$22,0)))</f>
        <v/>
      </c>
      <c r="E128" s="22">
        <f>IF(C128="","",INDEX(MERCADORIA!$C$5:$C$22,MATCH(C128,MERCADORIA!$A$5:$A$22,0)))</f>
        <v/>
      </c>
      <c r="F128" s="23" t="n"/>
      <c r="G128" s="24">
        <f>IF(D128="","",INDEX(VALOR!$B$5:$B$8,MATCH(D128,VALOR!$A$5:$A$8,0)))</f>
        <v/>
      </c>
      <c r="H128" s="15">
        <f>IF(OR(G128="",F128=""),0,F128*G128)</f>
        <v/>
      </c>
      <c r="I128" s="20" t="n"/>
      <c r="J128" s="20" t="n"/>
      <c r="K128" s="24">
        <f>IF(OR(O128=0,J128=""),0,INDEX(MAPA!$C$5:$C$14,MATCH(J128,MAPA!$A$5:$A$14,0)))</f>
        <v/>
      </c>
      <c r="L128" s="25">
        <f>H128+K128</f>
        <v/>
      </c>
      <c r="M128" s="20" t="n"/>
      <c r="N128" s="20" t="n"/>
      <c r="O128" s="14">
        <f>IF(A128="",0,IF(COUNTIF($A$5:A128,A128)=1,1,0))</f>
        <v/>
      </c>
    </row>
    <row r="129">
      <c r="A129" s="20" t="n"/>
      <c r="B129" s="21" t="n"/>
      <c r="C129" s="20" t="n"/>
      <c r="D129" s="22">
        <f>IF(C129="","",INDEX(MERCADORIA!$B$5:$B$22,MATCH(C129,MERCADORIA!$A$5:$A$22,0)))</f>
        <v/>
      </c>
      <c r="E129" s="22">
        <f>IF(C129="","",INDEX(MERCADORIA!$C$5:$C$22,MATCH(C129,MERCADORIA!$A$5:$A$22,0)))</f>
        <v/>
      </c>
      <c r="F129" s="23" t="n"/>
      <c r="G129" s="24">
        <f>IF(D129="","",INDEX(VALOR!$B$5:$B$8,MATCH(D129,VALOR!$A$5:$A$8,0)))</f>
        <v/>
      </c>
      <c r="H129" s="15">
        <f>IF(OR(G129="",F129=""),0,F129*G129)</f>
        <v/>
      </c>
      <c r="I129" s="20" t="n"/>
      <c r="J129" s="20" t="n"/>
      <c r="K129" s="24">
        <f>IF(OR(O129=0,J129=""),0,INDEX(MAPA!$C$5:$C$14,MATCH(J129,MAPA!$A$5:$A$14,0)))</f>
        <v/>
      </c>
      <c r="L129" s="25">
        <f>H129+K129</f>
        <v/>
      </c>
      <c r="M129" s="20" t="n"/>
      <c r="N129" s="20" t="n"/>
      <c r="O129" s="14">
        <f>IF(A129="",0,IF(COUNTIF($A$5:A129,A129)=1,1,0))</f>
        <v/>
      </c>
    </row>
    <row r="130">
      <c r="A130" s="20" t="n"/>
      <c r="B130" s="21" t="n"/>
      <c r="C130" s="20" t="n"/>
      <c r="D130" s="22">
        <f>IF(C130="","",INDEX(MERCADORIA!$B$5:$B$22,MATCH(C130,MERCADORIA!$A$5:$A$22,0)))</f>
        <v/>
      </c>
      <c r="E130" s="22">
        <f>IF(C130="","",INDEX(MERCADORIA!$C$5:$C$22,MATCH(C130,MERCADORIA!$A$5:$A$22,0)))</f>
        <v/>
      </c>
      <c r="F130" s="23" t="n"/>
      <c r="G130" s="24">
        <f>IF(D130="","",INDEX(VALOR!$B$5:$B$8,MATCH(D130,VALOR!$A$5:$A$8,0)))</f>
        <v/>
      </c>
      <c r="H130" s="15">
        <f>IF(OR(G130="",F130=""),0,F130*G130)</f>
        <v/>
      </c>
      <c r="I130" s="20" t="n"/>
      <c r="J130" s="20" t="n"/>
      <c r="K130" s="24">
        <f>IF(OR(O130=0,J130=""),0,INDEX(MAPA!$C$5:$C$14,MATCH(J130,MAPA!$A$5:$A$14,0)))</f>
        <v/>
      </c>
      <c r="L130" s="25">
        <f>H130+K130</f>
        <v/>
      </c>
      <c r="M130" s="20" t="n"/>
      <c r="N130" s="20" t="n"/>
      <c r="O130" s="14">
        <f>IF(A130="",0,IF(COUNTIF($A$5:A130,A130)=1,1,0))</f>
        <v/>
      </c>
    </row>
    <row r="131">
      <c r="A131" s="20" t="n"/>
      <c r="B131" s="21" t="n"/>
      <c r="C131" s="20" t="n"/>
      <c r="D131" s="22">
        <f>IF(C131="","",INDEX(MERCADORIA!$B$5:$B$22,MATCH(C131,MERCADORIA!$A$5:$A$22,0)))</f>
        <v/>
      </c>
      <c r="E131" s="22">
        <f>IF(C131="","",INDEX(MERCADORIA!$C$5:$C$22,MATCH(C131,MERCADORIA!$A$5:$A$22,0)))</f>
        <v/>
      </c>
      <c r="F131" s="23" t="n"/>
      <c r="G131" s="24">
        <f>IF(D131="","",INDEX(VALOR!$B$5:$B$8,MATCH(D131,VALOR!$A$5:$A$8,0)))</f>
        <v/>
      </c>
      <c r="H131" s="15">
        <f>IF(OR(G131="",F131=""),0,F131*G131)</f>
        <v/>
      </c>
      <c r="I131" s="20" t="n"/>
      <c r="J131" s="20" t="n"/>
      <c r="K131" s="24">
        <f>IF(OR(O131=0,J131=""),0,INDEX(MAPA!$C$5:$C$14,MATCH(J131,MAPA!$A$5:$A$14,0)))</f>
        <v/>
      </c>
      <c r="L131" s="25">
        <f>H131+K131</f>
        <v/>
      </c>
      <c r="M131" s="20" t="n"/>
      <c r="N131" s="20" t="n"/>
      <c r="O131" s="14">
        <f>IF(A131="",0,IF(COUNTIF($A$5:A131,A131)=1,1,0))</f>
        <v/>
      </c>
    </row>
    <row r="132">
      <c r="A132" s="20" t="n"/>
      <c r="B132" s="21" t="n"/>
      <c r="C132" s="20" t="n"/>
      <c r="D132" s="22">
        <f>IF(C132="","",INDEX(MERCADORIA!$B$5:$B$22,MATCH(C132,MERCADORIA!$A$5:$A$22,0)))</f>
        <v/>
      </c>
      <c r="E132" s="22">
        <f>IF(C132="","",INDEX(MERCADORIA!$C$5:$C$22,MATCH(C132,MERCADORIA!$A$5:$A$22,0)))</f>
        <v/>
      </c>
      <c r="F132" s="23" t="n"/>
      <c r="G132" s="24">
        <f>IF(D132="","",INDEX(VALOR!$B$5:$B$8,MATCH(D132,VALOR!$A$5:$A$8,0)))</f>
        <v/>
      </c>
      <c r="H132" s="15">
        <f>IF(OR(G132="",F132=""),0,F132*G132)</f>
        <v/>
      </c>
      <c r="I132" s="20" t="n"/>
      <c r="J132" s="20" t="n"/>
      <c r="K132" s="24">
        <f>IF(OR(O132=0,J132=""),0,INDEX(MAPA!$C$5:$C$14,MATCH(J132,MAPA!$A$5:$A$14,0)))</f>
        <v/>
      </c>
      <c r="L132" s="25">
        <f>H132+K132</f>
        <v/>
      </c>
      <c r="M132" s="20" t="n"/>
      <c r="N132" s="20" t="n"/>
      <c r="O132" s="14">
        <f>IF(A132="",0,IF(COUNTIF($A$5:A132,A132)=1,1,0))</f>
        <v/>
      </c>
    </row>
    <row r="133">
      <c r="A133" s="20" t="n"/>
      <c r="B133" s="21" t="n"/>
      <c r="C133" s="20" t="n"/>
      <c r="D133" s="22">
        <f>IF(C133="","",INDEX(MERCADORIA!$B$5:$B$22,MATCH(C133,MERCADORIA!$A$5:$A$22,0)))</f>
        <v/>
      </c>
      <c r="E133" s="22">
        <f>IF(C133="","",INDEX(MERCADORIA!$C$5:$C$22,MATCH(C133,MERCADORIA!$A$5:$A$22,0)))</f>
        <v/>
      </c>
      <c r="F133" s="23" t="n"/>
      <c r="G133" s="24">
        <f>IF(D133="","",INDEX(VALOR!$B$5:$B$8,MATCH(D133,VALOR!$A$5:$A$8,0)))</f>
        <v/>
      </c>
      <c r="H133" s="15">
        <f>IF(OR(G133="",F133=""),0,F133*G133)</f>
        <v/>
      </c>
      <c r="I133" s="20" t="n"/>
      <c r="J133" s="20" t="n"/>
      <c r="K133" s="24">
        <f>IF(OR(O133=0,J133=""),0,INDEX(MAPA!$C$5:$C$14,MATCH(J133,MAPA!$A$5:$A$14,0)))</f>
        <v/>
      </c>
      <c r="L133" s="25">
        <f>H133+K133</f>
        <v/>
      </c>
      <c r="M133" s="20" t="n"/>
      <c r="N133" s="20" t="n"/>
      <c r="O133" s="14">
        <f>IF(A133="",0,IF(COUNTIF($A$5:A133,A133)=1,1,0))</f>
        <v/>
      </c>
    </row>
    <row r="134">
      <c r="A134" s="20" t="n"/>
      <c r="B134" s="21" t="n"/>
      <c r="C134" s="20" t="n"/>
      <c r="D134" s="22">
        <f>IF(C134="","",INDEX(MERCADORIA!$B$5:$B$22,MATCH(C134,MERCADORIA!$A$5:$A$22,0)))</f>
        <v/>
      </c>
      <c r="E134" s="22">
        <f>IF(C134="","",INDEX(MERCADORIA!$C$5:$C$22,MATCH(C134,MERCADORIA!$A$5:$A$22,0)))</f>
        <v/>
      </c>
      <c r="F134" s="23" t="n"/>
      <c r="G134" s="24">
        <f>IF(D134="","",INDEX(VALOR!$B$5:$B$8,MATCH(D134,VALOR!$A$5:$A$8,0)))</f>
        <v/>
      </c>
      <c r="H134" s="15">
        <f>IF(OR(G134="",F134=""),0,F134*G134)</f>
        <v/>
      </c>
      <c r="I134" s="20" t="n"/>
      <c r="J134" s="20" t="n"/>
      <c r="K134" s="24">
        <f>IF(OR(O134=0,J134=""),0,INDEX(MAPA!$C$5:$C$14,MATCH(J134,MAPA!$A$5:$A$14,0)))</f>
        <v/>
      </c>
      <c r="L134" s="25">
        <f>H134+K134</f>
        <v/>
      </c>
      <c r="M134" s="20" t="n"/>
      <c r="N134" s="20" t="n"/>
      <c r="O134" s="14">
        <f>IF(A134="",0,IF(COUNTIF($A$5:A134,A134)=1,1,0))</f>
        <v/>
      </c>
    </row>
    <row r="135">
      <c r="A135" s="20" t="n"/>
      <c r="B135" s="21" t="n"/>
      <c r="C135" s="20" t="n"/>
      <c r="D135" s="22">
        <f>IF(C135="","",INDEX(MERCADORIA!$B$5:$B$22,MATCH(C135,MERCADORIA!$A$5:$A$22,0)))</f>
        <v/>
      </c>
      <c r="E135" s="22">
        <f>IF(C135="","",INDEX(MERCADORIA!$C$5:$C$22,MATCH(C135,MERCADORIA!$A$5:$A$22,0)))</f>
        <v/>
      </c>
      <c r="F135" s="23" t="n"/>
      <c r="G135" s="24">
        <f>IF(D135="","",INDEX(VALOR!$B$5:$B$8,MATCH(D135,VALOR!$A$5:$A$8,0)))</f>
        <v/>
      </c>
      <c r="H135" s="15">
        <f>IF(OR(G135="",F135=""),0,F135*G135)</f>
        <v/>
      </c>
      <c r="I135" s="20" t="n"/>
      <c r="J135" s="20" t="n"/>
      <c r="K135" s="24">
        <f>IF(OR(O135=0,J135=""),0,INDEX(MAPA!$C$5:$C$14,MATCH(J135,MAPA!$A$5:$A$14,0)))</f>
        <v/>
      </c>
      <c r="L135" s="25">
        <f>H135+K135</f>
        <v/>
      </c>
      <c r="M135" s="20" t="n"/>
      <c r="N135" s="20" t="n"/>
      <c r="O135" s="14">
        <f>IF(A135="",0,IF(COUNTIF($A$5:A135,A135)=1,1,0))</f>
        <v/>
      </c>
    </row>
    <row r="136">
      <c r="A136" s="20" t="n"/>
      <c r="B136" s="21" t="n"/>
      <c r="C136" s="20" t="n"/>
      <c r="D136" s="22">
        <f>IF(C136="","",INDEX(MERCADORIA!$B$5:$B$22,MATCH(C136,MERCADORIA!$A$5:$A$22,0)))</f>
        <v/>
      </c>
      <c r="E136" s="22">
        <f>IF(C136="","",INDEX(MERCADORIA!$C$5:$C$22,MATCH(C136,MERCADORIA!$A$5:$A$22,0)))</f>
        <v/>
      </c>
      <c r="F136" s="23" t="n"/>
      <c r="G136" s="24">
        <f>IF(D136="","",INDEX(VALOR!$B$5:$B$8,MATCH(D136,VALOR!$A$5:$A$8,0)))</f>
        <v/>
      </c>
      <c r="H136" s="15">
        <f>IF(OR(G136="",F136=""),0,F136*G136)</f>
        <v/>
      </c>
      <c r="I136" s="20" t="n"/>
      <c r="J136" s="20" t="n"/>
      <c r="K136" s="24">
        <f>IF(OR(O136=0,J136=""),0,INDEX(MAPA!$C$5:$C$14,MATCH(J136,MAPA!$A$5:$A$14,0)))</f>
        <v/>
      </c>
      <c r="L136" s="25">
        <f>H136+K136</f>
        <v/>
      </c>
      <c r="M136" s="20" t="n"/>
      <c r="N136" s="20" t="n"/>
      <c r="O136" s="14">
        <f>IF(A136="",0,IF(COUNTIF($A$5:A136,A136)=1,1,0))</f>
        <v/>
      </c>
    </row>
    <row r="137">
      <c r="A137" s="20" t="n"/>
      <c r="B137" s="21" t="n"/>
      <c r="C137" s="20" t="n"/>
      <c r="D137" s="22">
        <f>IF(C137="","",INDEX(MERCADORIA!$B$5:$B$22,MATCH(C137,MERCADORIA!$A$5:$A$22,0)))</f>
        <v/>
      </c>
      <c r="E137" s="22">
        <f>IF(C137="","",INDEX(MERCADORIA!$C$5:$C$22,MATCH(C137,MERCADORIA!$A$5:$A$22,0)))</f>
        <v/>
      </c>
      <c r="F137" s="23" t="n"/>
      <c r="G137" s="24">
        <f>IF(D137="","",INDEX(VALOR!$B$5:$B$8,MATCH(D137,VALOR!$A$5:$A$8,0)))</f>
        <v/>
      </c>
      <c r="H137" s="15">
        <f>IF(OR(G137="",F137=""),0,F137*G137)</f>
        <v/>
      </c>
      <c r="I137" s="20" t="n"/>
      <c r="J137" s="20" t="n"/>
      <c r="K137" s="24">
        <f>IF(OR(O137=0,J137=""),0,INDEX(MAPA!$C$5:$C$14,MATCH(J137,MAPA!$A$5:$A$14,0)))</f>
        <v/>
      </c>
      <c r="L137" s="25">
        <f>H137+K137</f>
        <v/>
      </c>
      <c r="M137" s="20" t="n"/>
      <c r="N137" s="20" t="n"/>
      <c r="O137" s="14">
        <f>IF(A137="",0,IF(COUNTIF($A$5:A137,A137)=1,1,0))</f>
        <v/>
      </c>
    </row>
    <row r="138">
      <c r="A138" s="20" t="n"/>
      <c r="B138" s="21" t="n"/>
      <c r="C138" s="20" t="n"/>
      <c r="D138" s="22">
        <f>IF(C138="","",INDEX(MERCADORIA!$B$5:$B$22,MATCH(C138,MERCADORIA!$A$5:$A$22,0)))</f>
        <v/>
      </c>
      <c r="E138" s="22">
        <f>IF(C138="","",INDEX(MERCADORIA!$C$5:$C$22,MATCH(C138,MERCADORIA!$A$5:$A$22,0)))</f>
        <v/>
      </c>
      <c r="F138" s="23" t="n"/>
      <c r="G138" s="24">
        <f>IF(D138="","",INDEX(VALOR!$B$5:$B$8,MATCH(D138,VALOR!$A$5:$A$8,0)))</f>
        <v/>
      </c>
      <c r="H138" s="15">
        <f>IF(OR(G138="",F138=""),0,F138*G138)</f>
        <v/>
      </c>
      <c r="I138" s="20" t="n"/>
      <c r="J138" s="20" t="n"/>
      <c r="K138" s="24">
        <f>IF(OR(O138=0,J138=""),0,INDEX(MAPA!$C$5:$C$14,MATCH(J138,MAPA!$A$5:$A$14,0)))</f>
        <v/>
      </c>
      <c r="L138" s="25">
        <f>H138+K138</f>
        <v/>
      </c>
      <c r="M138" s="20" t="n"/>
      <c r="N138" s="20" t="n"/>
      <c r="O138" s="14">
        <f>IF(A138="",0,IF(COUNTIF($A$5:A138,A138)=1,1,0))</f>
        <v/>
      </c>
    </row>
    <row r="139">
      <c r="A139" s="20" t="n"/>
      <c r="B139" s="21" t="n"/>
      <c r="C139" s="20" t="n"/>
      <c r="D139" s="22">
        <f>IF(C139="","",INDEX(MERCADORIA!$B$5:$B$22,MATCH(C139,MERCADORIA!$A$5:$A$22,0)))</f>
        <v/>
      </c>
      <c r="E139" s="22">
        <f>IF(C139="","",INDEX(MERCADORIA!$C$5:$C$22,MATCH(C139,MERCADORIA!$A$5:$A$22,0)))</f>
        <v/>
      </c>
      <c r="F139" s="23" t="n"/>
      <c r="G139" s="24">
        <f>IF(D139="","",INDEX(VALOR!$B$5:$B$8,MATCH(D139,VALOR!$A$5:$A$8,0)))</f>
        <v/>
      </c>
      <c r="H139" s="15">
        <f>IF(OR(G139="",F139=""),0,F139*G139)</f>
        <v/>
      </c>
      <c r="I139" s="20" t="n"/>
      <c r="J139" s="20" t="n"/>
      <c r="K139" s="24">
        <f>IF(OR(O139=0,J139=""),0,INDEX(MAPA!$C$5:$C$14,MATCH(J139,MAPA!$A$5:$A$14,0)))</f>
        <v/>
      </c>
      <c r="L139" s="25">
        <f>H139+K139</f>
        <v/>
      </c>
      <c r="M139" s="20" t="n"/>
      <c r="N139" s="20" t="n"/>
      <c r="O139" s="14">
        <f>IF(A139="",0,IF(COUNTIF($A$5:A139,A139)=1,1,0))</f>
        <v/>
      </c>
    </row>
    <row r="140">
      <c r="A140" s="20" t="n"/>
      <c r="B140" s="21" t="n"/>
      <c r="C140" s="20" t="n"/>
      <c r="D140" s="22">
        <f>IF(C140="","",INDEX(MERCADORIA!$B$5:$B$22,MATCH(C140,MERCADORIA!$A$5:$A$22,0)))</f>
        <v/>
      </c>
      <c r="E140" s="22">
        <f>IF(C140="","",INDEX(MERCADORIA!$C$5:$C$22,MATCH(C140,MERCADORIA!$A$5:$A$22,0)))</f>
        <v/>
      </c>
      <c r="F140" s="23" t="n"/>
      <c r="G140" s="24">
        <f>IF(D140="","",INDEX(VALOR!$B$5:$B$8,MATCH(D140,VALOR!$A$5:$A$8,0)))</f>
        <v/>
      </c>
      <c r="H140" s="15">
        <f>IF(OR(G140="",F140=""),0,F140*G140)</f>
        <v/>
      </c>
      <c r="I140" s="20" t="n"/>
      <c r="J140" s="20" t="n"/>
      <c r="K140" s="24">
        <f>IF(OR(O140=0,J140=""),0,INDEX(MAPA!$C$5:$C$14,MATCH(J140,MAPA!$A$5:$A$14,0)))</f>
        <v/>
      </c>
      <c r="L140" s="25">
        <f>H140+K140</f>
        <v/>
      </c>
      <c r="M140" s="20" t="n"/>
      <c r="N140" s="20" t="n"/>
      <c r="O140" s="14">
        <f>IF(A140="",0,IF(COUNTIF($A$5:A140,A140)=1,1,0))</f>
        <v/>
      </c>
    </row>
    <row r="141">
      <c r="A141" s="20" t="n"/>
      <c r="B141" s="21" t="n"/>
      <c r="C141" s="20" t="n"/>
      <c r="D141" s="22">
        <f>IF(C141="","",INDEX(MERCADORIA!$B$5:$B$22,MATCH(C141,MERCADORIA!$A$5:$A$22,0)))</f>
        <v/>
      </c>
      <c r="E141" s="22">
        <f>IF(C141="","",INDEX(MERCADORIA!$C$5:$C$22,MATCH(C141,MERCADORIA!$A$5:$A$22,0)))</f>
        <v/>
      </c>
      <c r="F141" s="23" t="n"/>
      <c r="G141" s="24">
        <f>IF(D141="","",INDEX(VALOR!$B$5:$B$8,MATCH(D141,VALOR!$A$5:$A$8,0)))</f>
        <v/>
      </c>
      <c r="H141" s="15">
        <f>IF(OR(G141="",F141=""),0,F141*G141)</f>
        <v/>
      </c>
      <c r="I141" s="20" t="n"/>
      <c r="J141" s="20" t="n"/>
      <c r="K141" s="24">
        <f>IF(OR(O141=0,J141=""),0,INDEX(MAPA!$C$5:$C$14,MATCH(J141,MAPA!$A$5:$A$14,0)))</f>
        <v/>
      </c>
      <c r="L141" s="25">
        <f>H141+K141</f>
        <v/>
      </c>
      <c r="M141" s="20" t="n"/>
      <c r="N141" s="20" t="n"/>
      <c r="O141" s="14">
        <f>IF(A141="",0,IF(COUNTIF($A$5:A141,A141)=1,1,0))</f>
        <v/>
      </c>
    </row>
    <row r="142">
      <c r="A142" s="20" t="n"/>
      <c r="B142" s="21" t="n"/>
      <c r="C142" s="20" t="n"/>
      <c r="D142" s="22">
        <f>IF(C142="","",INDEX(MERCADORIA!$B$5:$B$22,MATCH(C142,MERCADORIA!$A$5:$A$22,0)))</f>
        <v/>
      </c>
      <c r="E142" s="22">
        <f>IF(C142="","",INDEX(MERCADORIA!$C$5:$C$22,MATCH(C142,MERCADORIA!$A$5:$A$22,0)))</f>
        <v/>
      </c>
      <c r="F142" s="23" t="n"/>
      <c r="G142" s="24">
        <f>IF(D142="","",INDEX(VALOR!$B$5:$B$8,MATCH(D142,VALOR!$A$5:$A$8,0)))</f>
        <v/>
      </c>
      <c r="H142" s="15">
        <f>IF(OR(G142="",F142=""),0,F142*G142)</f>
        <v/>
      </c>
      <c r="I142" s="20" t="n"/>
      <c r="J142" s="20" t="n"/>
      <c r="K142" s="24">
        <f>IF(OR(O142=0,J142=""),0,INDEX(MAPA!$C$5:$C$14,MATCH(J142,MAPA!$A$5:$A$14,0)))</f>
        <v/>
      </c>
      <c r="L142" s="25">
        <f>H142+K142</f>
        <v/>
      </c>
      <c r="M142" s="20" t="n"/>
      <c r="N142" s="20" t="n"/>
      <c r="O142" s="14">
        <f>IF(A142="",0,IF(COUNTIF($A$5:A142,A142)=1,1,0))</f>
        <v/>
      </c>
    </row>
    <row r="143">
      <c r="A143" s="20" t="n"/>
      <c r="B143" s="21" t="n"/>
      <c r="C143" s="20" t="n"/>
      <c r="D143" s="22">
        <f>IF(C143="","",INDEX(MERCADORIA!$B$5:$B$22,MATCH(C143,MERCADORIA!$A$5:$A$22,0)))</f>
        <v/>
      </c>
      <c r="E143" s="22">
        <f>IF(C143="","",INDEX(MERCADORIA!$C$5:$C$22,MATCH(C143,MERCADORIA!$A$5:$A$22,0)))</f>
        <v/>
      </c>
      <c r="F143" s="23" t="n"/>
      <c r="G143" s="24">
        <f>IF(D143="","",INDEX(VALOR!$B$5:$B$8,MATCH(D143,VALOR!$A$5:$A$8,0)))</f>
        <v/>
      </c>
      <c r="H143" s="15">
        <f>IF(OR(G143="",F143=""),0,F143*G143)</f>
        <v/>
      </c>
      <c r="I143" s="20" t="n"/>
      <c r="J143" s="20" t="n"/>
      <c r="K143" s="24">
        <f>IF(OR(O143=0,J143=""),0,INDEX(MAPA!$C$5:$C$14,MATCH(J143,MAPA!$A$5:$A$14,0)))</f>
        <v/>
      </c>
      <c r="L143" s="25">
        <f>H143+K143</f>
        <v/>
      </c>
      <c r="M143" s="20" t="n"/>
      <c r="N143" s="20" t="n"/>
      <c r="O143" s="14">
        <f>IF(A143="",0,IF(COUNTIF($A$5:A143,A143)=1,1,0))</f>
        <v/>
      </c>
    </row>
    <row r="144">
      <c r="A144" s="20" t="n"/>
      <c r="B144" s="21" t="n"/>
      <c r="C144" s="20" t="n"/>
      <c r="D144" s="22">
        <f>IF(C144="","",INDEX(MERCADORIA!$B$5:$B$22,MATCH(C144,MERCADORIA!$A$5:$A$22,0)))</f>
        <v/>
      </c>
      <c r="E144" s="22">
        <f>IF(C144="","",INDEX(MERCADORIA!$C$5:$C$22,MATCH(C144,MERCADORIA!$A$5:$A$22,0)))</f>
        <v/>
      </c>
      <c r="F144" s="23" t="n"/>
      <c r="G144" s="24">
        <f>IF(D144="","",INDEX(VALOR!$B$5:$B$8,MATCH(D144,VALOR!$A$5:$A$8,0)))</f>
        <v/>
      </c>
      <c r="H144" s="15">
        <f>IF(OR(G144="",F144=""),0,F144*G144)</f>
        <v/>
      </c>
      <c r="I144" s="20" t="n"/>
      <c r="J144" s="20" t="n"/>
      <c r="K144" s="24">
        <f>IF(OR(O144=0,J144=""),0,INDEX(MAPA!$C$5:$C$14,MATCH(J144,MAPA!$A$5:$A$14,0)))</f>
        <v/>
      </c>
      <c r="L144" s="25">
        <f>H144+K144</f>
        <v/>
      </c>
      <c r="M144" s="20" t="n"/>
      <c r="N144" s="20" t="n"/>
      <c r="O144" s="14">
        <f>IF(A144="",0,IF(COUNTIF($A$5:A144,A144)=1,1,0))</f>
        <v/>
      </c>
    </row>
    <row r="145">
      <c r="A145" s="20" t="n"/>
      <c r="B145" s="21" t="n"/>
      <c r="C145" s="20" t="n"/>
      <c r="D145" s="22">
        <f>IF(C145="","",INDEX(MERCADORIA!$B$5:$B$22,MATCH(C145,MERCADORIA!$A$5:$A$22,0)))</f>
        <v/>
      </c>
      <c r="E145" s="22">
        <f>IF(C145="","",INDEX(MERCADORIA!$C$5:$C$22,MATCH(C145,MERCADORIA!$A$5:$A$22,0)))</f>
        <v/>
      </c>
      <c r="F145" s="23" t="n"/>
      <c r="G145" s="24">
        <f>IF(D145="","",INDEX(VALOR!$B$5:$B$8,MATCH(D145,VALOR!$A$5:$A$8,0)))</f>
        <v/>
      </c>
      <c r="H145" s="15">
        <f>IF(OR(G145="",F145=""),0,F145*G145)</f>
        <v/>
      </c>
      <c r="I145" s="20" t="n"/>
      <c r="J145" s="20" t="n"/>
      <c r="K145" s="24">
        <f>IF(OR(O145=0,J145=""),0,INDEX(MAPA!$C$5:$C$14,MATCH(J145,MAPA!$A$5:$A$14,0)))</f>
        <v/>
      </c>
      <c r="L145" s="25">
        <f>H145+K145</f>
        <v/>
      </c>
      <c r="M145" s="20" t="n"/>
      <c r="N145" s="20" t="n"/>
      <c r="O145" s="14">
        <f>IF(A145="",0,IF(COUNTIF($A$5:A145,A145)=1,1,0))</f>
        <v/>
      </c>
    </row>
    <row r="146">
      <c r="A146" s="20" t="n"/>
      <c r="B146" s="21" t="n"/>
      <c r="C146" s="20" t="n"/>
      <c r="D146" s="22">
        <f>IF(C146="","",INDEX(MERCADORIA!$B$5:$B$22,MATCH(C146,MERCADORIA!$A$5:$A$22,0)))</f>
        <v/>
      </c>
      <c r="E146" s="22">
        <f>IF(C146="","",INDEX(MERCADORIA!$C$5:$C$22,MATCH(C146,MERCADORIA!$A$5:$A$22,0)))</f>
        <v/>
      </c>
      <c r="F146" s="23" t="n"/>
      <c r="G146" s="24">
        <f>IF(D146="","",INDEX(VALOR!$B$5:$B$8,MATCH(D146,VALOR!$A$5:$A$8,0)))</f>
        <v/>
      </c>
      <c r="H146" s="15">
        <f>IF(OR(G146="",F146=""),0,F146*G146)</f>
        <v/>
      </c>
      <c r="I146" s="20" t="n"/>
      <c r="J146" s="20" t="n"/>
      <c r="K146" s="24">
        <f>IF(OR(O146=0,J146=""),0,INDEX(MAPA!$C$5:$C$14,MATCH(J146,MAPA!$A$5:$A$14,0)))</f>
        <v/>
      </c>
      <c r="L146" s="25">
        <f>H146+K146</f>
        <v/>
      </c>
      <c r="M146" s="20" t="n"/>
      <c r="N146" s="20" t="n"/>
      <c r="O146" s="14">
        <f>IF(A146="",0,IF(COUNTIF($A$5:A146,A146)=1,1,0))</f>
        <v/>
      </c>
    </row>
    <row r="147">
      <c r="A147" s="20" t="n"/>
      <c r="B147" s="21" t="n"/>
      <c r="C147" s="20" t="n"/>
      <c r="D147" s="22">
        <f>IF(C147="","",INDEX(MERCADORIA!$B$5:$B$22,MATCH(C147,MERCADORIA!$A$5:$A$22,0)))</f>
        <v/>
      </c>
      <c r="E147" s="22">
        <f>IF(C147="","",INDEX(MERCADORIA!$C$5:$C$22,MATCH(C147,MERCADORIA!$A$5:$A$22,0)))</f>
        <v/>
      </c>
      <c r="F147" s="23" t="n"/>
      <c r="G147" s="24">
        <f>IF(D147="","",INDEX(VALOR!$B$5:$B$8,MATCH(D147,VALOR!$A$5:$A$8,0)))</f>
        <v/>
      </c>
      <c r="H147" s="15">
        <f>IF(OR(G147="",F147=""),0,F147*G147)</f>
        <v/>
      </c>
      <c r="I147" s="20" t="n"/>
      <c r="J147" s="20" t="n"/>
      <c r="K147" s="24">
        <f>IF(OR(O147=0,J147=""),0,INDEX(MAPA!$C$5:$C$14,MATCH(J147,MAPA!$A$5:$A$14,0)))</f>
        <v/>
      </c>
      <c r="L147" s="25">
        <f>H147+K147</f>
        <v/>
      </c>
      <c r="M147" s="20" t="n"/>
      <c r="N147" s="20" t="n"/>
      <c r="O147" s="14">
        <f>IF(A147="",0,IF(COUNTIF($A$5:A147,A147)=1,1,0))</f>
        <v/>
      </c>
    </row>
    <row r="148">
      <c r="A148" s="20" t="n"/>
      <c r="B148" s="21" t="n"/>
      <c r="C148" s="20" t="n"/>
      <c r="D148" s="22">
        <f>IF(C148="","",INDEX(MERCADORIA!$B$5:$B$22,MATCH(C148,MERCADORIA!$A$5:$A$22,0)))</f>
        <v/>
      </c>
      <c r="E148" s="22">
        <f>IF(C148="","",INDEX(MERCADORIA!$C$5:$C$22,MATCH(C148,MERCADORIA!$A$5:$A$22,0)))</f>
        <v/>
      </c>
      <c r="F148" s="23" t="n"/>
      <c r="G148" s="24">
        <f>IF(D148="","",INDEX(VALOR!$B$5:$B$8,MATCH(D148,VALOR!$A$5:$A$8,0)))</f>
        <v/>
      </c>
      <c r="H148" s="15">
        <f>IF(OR(G148="",F148=""),0,F148*G148)</f>
        <v/>
      </c>
      <c r="I148" s="20" t="n"/>
      <c r="J148" s="20" t="n"/>
      <c r="K148" s="24">
        <f>IF(OR(O148=0,J148=""),0,INDEX(MAPA!$C$5:$C$14,MATCH(J148,MAPA!$A$5:$A$14,0)))</f>
        <v/>
      </c>
      <c r="L148" s="25">
        <f>H148+K148</f>
        <v/>
      </c>
      <c r="M148" s="20" t="n"/>
      <c r="N148" s="20" t="n"/>
      <c r="O148" s="14">
        <f>IF(A148="",0,IF(COUNTIF($A$5:A148,A148)=1,1,0))</f>
        <v/>
      </c>
    </row>
    <row r="149">
      <c r="A149" s="20" t="n"/>
      <c r="B149" s="21" t="n"/>
      <c r="C149" s="20" t="n"/>
      <c r="D149" s="22">
        <f>IF(C149="","",INDEX(MERCADORIA!$B$5:$B$22,MATCH(C149,MERCADORIA!$A$5:$A$22,0)))</f>
        <v/>
      </c>
      <c r="E149" s="22">
        <f>IF(C149="","",INDEX(MERCADORIA!$C$5:$C$22,MATCH(C149,MERCADORIA!$A$5:$A$22,0)))</f>
        <v/>
      </c>
      <c r="F149" s="23" t="n"/>
      <c r="G149" s="24">
        <f>IF(D149="","",INDEX(VALOR!$B$5:$B$8,MATCH(D149,VALOR!$A$5:$A$8,0)))</f>
        <v/>
      </c>
      <c r="H149" s="15">
        <f>IF(OR(G149="",F149=""),0,F149*G149)</f>
        <v/>
      </c>
      <c r="I149" s="20" t="n"/>
      <c r="J149" s="20" t="n"/>
      <c r="K149" s="24">
        <f>IF(OR(O149=0,J149=""),0,INDEX(MAPA!$C$5:$C$14,MATCH(J149,MAPA!$A$5:$A$14,0)))</f>
        <v/>
      </c>
      <c r="L149" s="25">
        <f>H149+K149</f>
        <v/>
      </c>
      <c r="M149" s="20" t="n"/>
      <c r="N149" s="20" t="n"/>
      <c r="O149" s="14">
        <f>IF(A149="",0,IF(COUNTIF($A$5:A149,A149)=1,1,0))</f>
        <v/>
      </c>
    </row>
    <row r="150">
      <c r="A150" s="20" t="n"/>
      <c r="B150" s="21" t="n"/>
      <c r="C150" s="20" t="n"/>
      <c r="D150" s="22">
        <f>IF(C150="","",INDEX(MERCADORIA!$B$5:$B$22,MATCH(C150,MERCADORIA!$A$5:$A$22,0)))</f>
        <v/>
      </c>
      <c r="E150" s="22">
        <f>IF(C150="","",INDEX(MERCADORIA!$C$5:$C$22,MATCH(C150,MERCADORIA!$A$5:$A$22,0)))</f>
        <v/>
      </c>
      <c r="F150" s="23" t="n"/>
      <c r="G150" s="24">
        <f>IF(D150="","",INDEX(VALOR!$B$5:$B$8,MATCH(D150,VALOR!$A$5:$A$8,0)))</f>
        <v/>
      </c>
      <c r="H150" s="15">
        <f>IF(OR(G150="",F150=""),0,F150*G150)</f>
        <v/>
      </c>
      <c r="I150" s="20" t="n"/>
      <c r="J150" s="20" t="n"/>
      <c r="K150" s="24">
        <f>IF(OR(O150=0,J150=""),0,INDEX(MAPA!$C$5:$C$14,MATCH(J150,MAPA!$A$5:$A$14,0)))</f>
        <v/>
      </c>
      <c r="L150" s="25">
        <f>H150+K150</f>
        <v/>
      </c>
      <c r="M150" s="20" t="n"/>
      <c r="N150" s="20" t="n"/>
      <c r="O150" s="14">
        <f>IF(A150="",0,IF(COUNTIF($A$5:A150,A150)=1,1,0))</f>
        <v/>
      </c>
    </row>
    <row r="151">
      <c r="A151" s="20" t="n"/>
      <c r="B151" s="21" t="n"/>
      <c r="C151" s="20" t="n"/>
      <c r="D151" s="22">
        <f>IF(C151="","",INDEX(MERCADORIA!$B$5:$B$22,MATCH(C151,MERCADORIA!$A$5:$A$22,0)))</f>
        <v/>
      </c>
      <c r="E151" s="22">
        <f>IF(C151="","",INDEX(MERCADORIA!$C$5:$C$22,MATCH(C151,MERCADORIA!$A$5:$A$22,0)))</f>
        <v/>
      </c>
      <c r="F151" s="23" t="n"/>
      <c r="G151" s="24">
        <f>IF(D151="","",INDEX(VALOR!$B$5:$B$8,MATCH(D151,VALOR!$A$5:$A$8,0)))</f>
        <v/>
      </c>
      <c r="H151" s="15">
        <f>IF(OR(G151="",F151=""),0,F151*G151)</f>
        <v/>
      </c>
      <c r="I151" s="20" t="n"/>
      <c r="J151" s="20" t="n"/>
      <c r="K151" s="24">
        <f>IF(OR(O151=0,J151=""),0,INDEX(MAPA!$C$5:$C$14,MATCH(J151,MAPA!$A$5:$A$14,0)))</f>
        <v/>
      </c>
      <c r="L151" s="25">
        <f>H151+K151</f>
        <v/>
      </c>
      <c r="M151" s="20" t="n"/>
      <c r="N151" s="20" t="n"/>
      <c r="O151" s="14">
        <f>IF(A151="",0,IF(COUNTIF($A$5:A151,A151)=1,1,0))</f>
        <v/>
      </c>
    </row>
    <row r="152">
      <c r="A152" s="20" t="n"/>
      <c r="B152" s="21" t="n"/>
      <c r="C152" s="20" t="n"/>
      <c r="D152" s="22">
        <f>IF(C152="","",INDEX(MERCADORIA!$B$5:$B$22,MATCH(C152,MERCADORIA!$A$5:$A$22,0)))</f>
        <v/>
      </c>
      <c r="E152" s="22">
        <f>IF(C152="","",INDEX(MERCADORIA!$C$5:$C$22,MATCH(C152,MERCADORIA!$A$5:$A$22,0)))</f>
        <v/>
      </c>
      <c r="F152" s="23" t="n"/>
      <c r="G152" s="24">
        <f>IF(D152="","",INDEX(VALOR!$B$5:$B$8,MATCH(D152,VALOR!$A$5:$A$8,0)))</f>
        <v/>
      </c>
      <c r="H152" s="15">
        <f>IF(OR(G152="",F152=""),0,F152*G152)</f>
        <v/>
      </c>
      <c r="I152" s="20" t="n"/>
      <c r="J152" s="20" t="n"/>
      <c r="K152" s="24">
        <f>IF(OR(O152=0,J152=""),0,INDEX(MAPA!$C$5:$C$14,MATCH(J152,MAPA!$A$5:$A$14,0)))</f>
        <v/>
      </c>
      <c r="L152" s="25">
        <f>H152+K152</f>
        <v/>
      </c>
      <c r="M152" s="20" t="n"/>
      <c r="N152" s="20" t="n"/>
      <c r="O152" s="14">
        <f>IF(A152="",0,IF(COUNTIF($A$5:A152,A152)=1,1,0))</f>
        <v/>
      </c>
    </row>
    <row r="153">
      <c r="A153" s="20" t="n"/>
      <c r="B153" s="21" t="n"/>
      <c r="C153" s="20" t="n"/>
      <c r="D153" s="22">
        <f>IF(C153="","",INDEX(MERCADORIA!$B$5:$B$22,MATCH(C153,MERCADORIA!$A$5:$A$22,0)))</f>
        <v/>
      </c>
      <c r="E153" s="22">
        <f>IF(C153="","",INDEX(MERCADORIA!$C$5:$C$22,MATCH(C153,MERCADORIA!$A$5:$A$22,0)))</f>
        <v/>
      </c>
      <c r="F153" s="23" t="n"/>
      <c r="G153" s="24">
        <f>IF(D153="","",INDEX(VALOR!$B$5:$B$8,MATCH(D153,VALOR!$A$5:$A$8,0)))</f>
        <v/>
      </c>
      <c r="H153" s="15">
        <f>IF(OR(G153="",F153=""),0,F153*G153)</f>
        <v/>
      </c>
      <c r="I153" s="20" t="n"/>
      <c r="J153" s="20" t="n"/>
      <c r="K153" s="24">
        <f>IF(OR(O153=0,J153=""),0,INDEX(MAPA!$C$5:$C$14,MATCH(J153,MAPA!$A$5:$A$14,0)))</f>
        <v/>
      </c>
      <c r="L153" s="25">
        <f>H153+K153</f>
        <v/>
      </c>
      <c r="M153" s="20" t="n"/>
      <c r="N153" s="20" t="n"/>
      <c r="O153" s="14">
        <f>IF(A153="",0,IF(COUNTIF($A$5:A153,A153)=1,1,0))</f>
        <v/>
      </c>
    </row>
    <row r="154">
      <c r="A154" s="20" t="n"/>
      <c r="B154" s="21" t="n"/>
      <c r="C154" s="20" t="n"/>
      <c r="D154" s="22">
        <f>IF(C154="","",INDEX(MERCADORIA!$B$5:$B$22,MATCH(C154,MERCADORIA!$A$5:$A$22,0)))</f>
        <v/>
      </c>
      <c r="E154" s="22">
        <f>IF(C154="","",INDEX(MERCADORIA!$C$5:$C$22,MATCH(C154,MERCADORIA!$A$5:$A$22,0)))</f>
        <v/>
      </c>
      <c r="F154" s="23" t="n"/>
      <c r="G154" s="24">
        <f>IF(D154="","",INDEX(VALOR!$B$5:$B$8,MATCH(D154,VALOR!$A$5:$A$8,0)))</f>
        <v/>
      </c>
      <c r="H154" s="15">
        <f>IF(OR(G154="",F154=""),0,F154*G154)</f>
        <v/>
      </c>
      <c r="I154" s="20" t="n"/>
      <c r="J154" s="20" t="n"/>
      <c r="K154" s="24">
        <f>IF(OR(O154=0,J154=""),0,INDEX(MAPA!$C$5:$C$14,MATCH(J154,MAPA!$A$5:$A$14,0)))</f>
        <v/>
      </c>
      <c r="L154" s="25">
        <f>H154+K154</f>
        <v/>
      </c>
      <c r="M154" s="20" t="n"/>
      <c r="N154" s="20" t="n"/>
      <c r="O154" s="14">
        <f>IF(A154="",0,IF(COUNTIF($A$5:A154,A154)=1,1,0))</f>
        <v/>
      </c>
    </row>
    <row r="155">
      <c r="A155" s="20" t="n"/>
      <c r="B155" s="21" t="n"/>
      <c r="C155" s="20" t="n"/>
      <c r="D155" s="22">
        <f>IF(C155="","",INDEX(MERCADORIA!$B$5:$B$22,MATCH(C155,MERCADORIA!$A$5:$A$22,0)))</f>
        <v/>
      </c>
      <c r="E155" s="22">
        <f>IF(C155="","",INDEX(MERCADORIA!$C$5:$C$22,MATCH(C155,MERCADORIA!$A$5:$A$22,0)))</f>
        <v/>
      </c>
      <c r="F155" s="23" t="n"/>
      <c r="G155" s="24">
        <f>IF(D155="","",INDEX(VALOR!$B$5:$B$8,MATCH(D155,VALOR!$A$5:$A$8,0)))</f>
        <v/>
      </c>
      <c r="H155" s="15">
        <f>IF(OR(G155="",F155=""),0,F155*G155)</f>
        <v/>
      </c>
      <c r="I155" s="20" t="n"/>
      <c r="J155" s="20" t="n"/>
      <c r="K155" s="24">
        <f>IF(OR(O155=0,J155=""),0,INDEX(MAPA!$C$5:$C$14,MATCH(J155,MAPA!$A$5:$A$14,0)))</f>
        <v/>
      </c>
      <c r="L155" s="25">
        <f>H155+K155</f>
        <v/>
      </c>
      <c r="M155" s="20" t="n"/>
      <c r="N155" s="20" t="n"/>
      <c r="O155" s="14">
        <f>IF(A155="",0,IF(COUNTIF($A$5:A155,A155)=1,1,0))</f>
        <v/>
      </c>
    </row>
    <row r="156">
      <c r="A156" s="20" t="n"/>
      <c r="B156" s="21" t="n"/>
      <c r="C156" s="20" t="n"/>
      <c r="D156" s="22">
        <f>IF(C156="","",INDEX(MERCADORIA!$B$5:$B$22,MATCH(C156,MERCADORIA!$A$5:$A$22,0)))</f>
        <v/>
      </c>
      <c r="E156" s="22">
        <f>IF(C156="","",INDEX(MERCADORIA!$C$5:$C$22,MATCH(C156,MERCADORIA!$A$5:$A$22,0)))</f>
        <v/>
      </c>
      <c r="F156" s="23" t="n"/>
      <c r="G156" s="24">
        <f>IF(D156="","",INDEX(VALOR!$B$5:$B$8,MATCH(D156,VALOR!$A$5:$A$8,0)))</f>
        <v/>
      </c>
      <c r="H156" s="15">
        <f>IF(OR(G156="",F156=""),0,F156*G156)</f>
        <v/>
      </c>
      <c r="I156" s="20" t="n"/>
      <c r="J156" s="20" t="n"/>
      <c r="K156" s="24">
        <f>IF(OR(O156=0,J156=""),0,INDEX(MAPA!$C$5:$C$14,MATCH(J156,MAPA!$A$5:$A$14,0)))</f>
        <v/>
      </c>
      <c r="L156" s="25">
        <f>H156+K156</f>
        <v/>
      </c>
      <c r="M156" s="20" t="n"/>
      <c r="N156" s="20" t="n"/>
      <c r="O156" s="14">
        <f>IF(A156="",0,IF(COUNTIF($A$5:A156,A156)=1,1,0))</f>
        <v/>
      </c>
    </row>
    <row r="157">
      <c r="A157" s="20" t="n"/>
      <c r="B157" s="21" t="n"/>
      <c r="C157" s="20" t="n"/>
      <c r="D157" s="22">
        <f>IF(C157="","",INDEX(MERCADORIA!$B$5:$B$22,MATCH(C157,MERCADORIA!$A$5:$A$22,0)))</f>
        <v/>
      </c>
      <c r="E157" s="22">
        <f>IF(C157="","",INDEX(MERCADORIA!$C$5:$C$22,MATCH(C157,MERCADORIA!$A$5:$A$22,0)))</f>
        <v/>
      </c>
      <c r="F157" s="23" t="n"/>
      <c r="G157" s="24">
        <f>IF(D157="","",INDEX(VALOR!$B$5:$B$8,MATCH(D157,VALOR!$A$5:$A$8,0)))</f>
        <v/>
      </c>
      <c r="H157" s="15">
        <f>IF(OR(G157="",F157=""),0,F157*G157)</f>
        <v/>
      </c>
      <c r="I157" s="20" t="n"/>
      <c r="J157" s="20" t="n"/>
      <c r="K157" s="24">
        <f>IF(OR(O157=0,J157=""),0,INDEX(MAPA!$C$5:$C$14,MATCH(J157,MAPA!$A$5:$A$14,0)))</f>
        <v/>
      </c>
      <c r="L157" s="25">
        <f>H157+K157</f>
        <v/>
      </c>
      <c r="M157" s="20" t="n"/>
      <c r="N157" s="20" t="n"/>
      <c r="O157" s="14">
        <f>IF(A157="",0,IF(COUNTIF($A$5:A157,A157)=1,1,0))</f>
        <v/>
      </c>
    </row>
    <row r="158">
      <c r="A158" s="20" t="n"/>
      <c r="B158" s="21" t="n"/>
      <c r="C158" s="20" t="n"/>
      <c r="D158" s="22">
        <f>IF(C158="","",INDEX(MERCADORIA!$B$5:$B$22,MATCH(C158,MERCADORIA!$A$5:$A$22,0)))</f>
        <v/>
      </c>
      <c r="E158" s="22">
        <f>IF(C158="","",INDEX(MERCADORIA!$C$5:$C$22,MATCH(C158,MERCADORIA!$A$5:$A$22,0)))</f>
        <v/>
      </c>
      <c r="F158" s="23" t="n"/>
      <c r="G158" s="24">
        <f>IF(D158="","",INDEX(VALOR!$B$5:$B$8,MATCH(D158,VALOR!$A$5:$A$8,0)))</f>
        <v/>
      </c>
      <c r="H158" s="15">
        <f>IF(OR(G158="",F158=""),0,F158*G158)</f>
        <v/>
      </c>
      <c r="I158" s="20" t="n"/>
      <c r="J158" s="20" t="n"/>
      <c r="K158" s="24">
        <f>IF(OR(O158=0,J158=""),0,INDEX(MAPA!$C$5:$C$14,MATCH(J158,MAPA!$A$5:$A$14,0)))</f>
        <v/>
      </c>
      <c r="L158" s="25">
        <f>H158+K158</f>
        <v/>
      </c>
      <c r="M158" s="20" t="n"/>
      <c r="N158" s="20" t="n"/>
      <c r="O158" s="14">
        <f>IF(A158="",0,IF(COUNTIF($A$5:A158,A158)=1,1,0))</f>
        <v/>
      </c>
    </row>
    <row r="159">
      <c r="A159" s="20" t="n"/>
      <c r="B159" s="21" t="n"/>
      <c r="C159" s="20" t="n"/>
      <c r="D159" s="22">
        <f>IF(C159="","",INDEX(MERCADORIA!$B$5:$B$22,MATCH(C159,MERCADORIA!$A$5:$A$22,0)))</f>
        <v/>
      </c>
      <c r="E159" s="22">
        <f>IF(C159="","",INDEX(MERCADORIA!$C$5:$C$22,MATCH(C159,MERCADORIA!$A$5:$A$22,0)))</f>
        <v/>
      </c>
      <c r="F159" s="23" t="n"/>
      <c r="G159" s="24">
        <f>IF(D159="","",INDEX(VALOR!$B$5:$B$8,MATCH(D159,VALOR!$A$5:$A$8,0)))</f>
        <v/>
      </c>
      <c r="H159" s="15">
        <f>IF(OR(G159="",F159=""),0,F159*G159)</f>
        <v/>
      </c>
      <c r="I159" s="20" t="n"/>
      <c r="J159" s="20" t="n"/>
      <c r="K159" s="24">
        <f>IF(OR(O159=0,J159=""),0,INDEX(MAPA!$C$5:$C$14,MATCH(J159,MAPA!$A$5:$A$14,0)))</f>
        <v/>
      </c>
      <c r="L159" s="25">
        <f>H159+K159</f>
        <v/>
      </c>
      <c r="M159" s="20" t="n"/>
      <c r="N159" s="20" t="n"/>
      <c r="O159" s="14">
        <f>IF(A159="",0,IF(COUNTIF($A$5:A159,A159)=1,1,0))</f>
        <v/>
      </c>
    </row>
    <row r="160">
      <c r="A160" s="20" t="n"/>
      <c r="B160" s="21" t="n"/>
      <c r="C160" s="20" t="n"/>
      <c r="D160" s="22">
        <f>IF(C160="","",INDEX(MERCADORIA!$B$5:$B$22,MATCH(C160,MERCADORIA!$A$5:$A$22,0)))</f>
        <v/>
      </c>
      <c r="E160" s="22">
        <f>IF(C160="","",INDEX(MERCADORIA!$C$5:$C$22,MATCH(C160,MERCADORIA!$A$5:$A$22,0)))</f>
        <v/>
      </c>
      <c r="F160" s="23" t="n"/>
      <c r="G160" s="24">
        <f>IF(D160="","",INDEX(VALOR!$B$5:$B$8,MATCH(D160,VALOR!$A$5:$A$8,0)))</f>
        <v/>
      </c>
      <c r="H160" s="15">
        <f>IF(OR(G160="",F160=""),0,F160*G160)</f>
        <v/>
      </c>
      <c r="I160" s="20" t="n"/>
      <c r="J160" s="20" t="n"/>
      <c r="K160" s="24">
        <f>IF(OR(O160=0,J160=""),0,INDEX(MAPA!$C$5:$C$14,MATCH(J160,MAPA!$A$5:$A$14,0)))</f>
        <v/>
      </c>
      <c r="L160" s="25">
        <f>H160+K160</f>
        <v/>
      </c>
      <c r="M160" s="20" t="n"/>
      <c r="N160" s="20" t="n"/>
      <c r="O160" s="14">
        <f>IF(A160="",0,IF(COUNTIF($A$5:A160,A160)=1,1,0))</f>
        <v/>
      </c>
    </row>
    <row r="161">
      <c r="A161" s="20" t="n"/>
      <c r="B161" s="21" t="n"/>
      <c r="C161" s="20" t="n"/>
      <c r="D161" s="22">
        <f>IF(C161="","",INDEX(MERCADORIA!$B$5:$B$22,MATCH(C161,MERCADORIA!$A$5:$A$22,0)))</f>
        <v/>
      </c>
      <c r="E161" s="22">
        <f>IF(C161="","",INDEX(MERCADORIA!$C$5:$C$22,MATCH(C161,MERCADORIA!$A$5:$A$22,0)))</f>
        <v/>
      </c>
      <c r="F161" s="23" t="n"/>
      <c r="G161" s="24">
        <f>IF(D161="","",INDEX(VALOR!$B$5:$B$8,MATCH(D161,VALOR!$A$5:$A$8,0)))</f>
        <v/>
      </c>
      <c r="H161" s="15">
        <f>IF(OR(G161="",F161=""),0,F161*G161)</f>
        <v/>
      </c>
      <c r="I161" s="20" t="n"/>
      <c r="J161" s="20" t="n"/>
      <c r="K161" s="24">
        <f>IF(OR(O161=0,J161=""),0,INDEX(MAPA!$C$5:$C$14,MATCH(J161,MAPA!$A$5:$A$14,0)))</f>
        <v/>
      </c>
      <c r="L161" s="25">
        <f>H161+K161</f>
        <v/>
      </c>
      <c r="M161" s="20" t="n"/>
      <c r="N161" s="20" t="n"/>
      <c r="O161" s="14">
        <f>IF(A161="",0,IF(COUNTIF($A$5:A161,A161)=1,1,0))</f>
        <v/>
      </c>
    </row>
    <row r="162">
      <c r="A162" s="20" t="n"/>
      <c r="B162" s="21" t="n"/>
      <c r="C162" s="20" t="n"/>
      <c r="D162" s="22">
        <f>IF(C162="","",INDEX(MERCADORIA!$B$5:$B$22,MATCH(C162,MERCADORIA!$A$5:$A$22,0)))</f>
        <v/>
      </c>
      <c r="E162" s="22">
        <f>IF(C162="","",INDEX(MERCADORIA!$C$5:$C$22,MATCH(C162,MERCADORIA!$A$5:$A$22,0)))</f>
        <v/>
      </c>
      <c r="F162" s="23" t="n"/>
      <c r="G162" s="24">
        <f>IF(D162="","",INDEX(VALOR!$B$5:$B$8,MATCH(D162,VALOR!$A$5:$A$8,0)))</f>
        <v/>
      </c>
      <c r="H162" s="15">
        <f>IF(OR(G162="",F162=""),0,F162*G162)</f>
        <v/>
      </c>
      <c r="I162" s="20" t="n"/>
      <c r="J162" s="20" t="n"/>
      <c r="K162" s="24">
        <f>IF(OR(O162=0,J162=""),0,INDEX(MAPA!$C$5:$C$14,MATCH(J162,MAPA!$A$5:$A$14,0)))</f>
        <v/>
      </c>
      <c r="L162" s="25">
        <f>H162+K162</f>
        <v/>
      </c>
      <c r="M162" s="20" t="n"/>
      <c r="N162" s="20" t="n"/>
      <c r="O162" s="14">
        <f>IF(A162="",0,IF(COUNTIF($A$5:A162,A162)=1,1,0))</f>
        <v/>
      </c>
    </row>
    <row r="163">
      <c r="A163" s="20" t="n"/>
      <c r="B163" s="21" t="n"/>
      <c r="C163" s="20" t="n"/>
      <c r="D163" s="22">
        <f>IF(C163="","",INDEX(MERCADORIA!$B$5:$B$22,MATCH(C163,MERCADORIA!$A$5:$A$22,0)))</f>
        <v/>
      </c>
      <c r="E163" s="22">
        <f>IF(C163="","",INDEX(MERCADORIA!$C$5:$C$22,MATCH(C163,MERCADORIA!$A$5:$A$22,0)))</f>
        <v/>
      </c>
      <c r="F163" s="23" t="n"/>
      <c r="G163" s="24">
        <f>IF(D163="","",INDEX(VALOR!$B$5:$B$8,MATCH(D163,VALOR!$A$5:$A$8,0)))</f>
        <v/>
      </c>
      <c r="H163" s="15">
        <f>IF(OR(G163="",F163=""),0,F163*G163)</f>
        <v/>
      </c>
      <c r="I163" s="20" t="n"/>
      <c r="J163" s="20" t="n"/>
      <c r="K163" s="24">
        <f>IF(OR(O163=0,J163=""),0,INDEX(MAPA!$C$5:$C$14,MATCH(J163,MAPA!$A$5:$A$14,0)))</f>
        <v/>
      </c>
      <c r="L163" s="25">
        <f>H163+K163</f>
        <v/>
      </c>
      <c r="M163" s="20" t="n"/>
      <c r="N163" s="20" t="n"/>
      <c r="O163" s="14">
        <f>IF(A163="",0,IF(COUNTIF($A$5:A163,A163)=1,1,0))</f>
        <v/>
      </c>
    </row>
    <row r="164">
      <c r="A164" s="20" t="n"/>
      <c r="B164" s="21" t="n"/>
      <c r="C164" s="20" t="n"/>
      <c r="D164" s="22">
        <f>IF(C164="","",INDEX(MERCADORIA!$B$5:$B$22,MATCH(C164,MERCADORIA!$A$5:$A$22,0)))</f>
        <v/>
      </c>
      <c r="E164" s="22">
        <f>IF(C164="","",INDEX(MERCADORIA!$C$5:$C$22,MATCH(C164,MERCADORIA!$A$5:$A$22,0)))</f>
        <v/>
      </c>
      <c r="F164" s="23" t="n"/>
      <c r="G164" s="24">
        <f>IF(D164="","",INDEX(VALOR!$B$5:$B$8,MATCH(D164,VALOR!$A$5:$A$8,0)))</f>
        <v/>
      </c>
      <c r="H164" s="15">
        <f>IF(OR(G164="",F164=""),0,F164*G164)</f>
        <v/>
      </c>
      <c r="I164" s="20" t="n"/>
      <c r="J164" s="20" t="n"/>
      <c r="K164" s="24">
        <f>IF(OR(O164=0,J164=""),0,INDEX(MAPA!$C$5:$C$14,MATCH(J164,MAPA!$A$5:$A$14,0)))</f>
        <v/>
      </c>
      <c r="L164" s="25">
        <f>H164+K164</f>
        <v/>
      </c>
      <c r="M164" s="20" t="n"/>
      <c r="N164" s="20" t="n"/>
      <c r="O164" s="14">
        <f>IF(A164="",0,IF(COUNTIF($A$5:A164,A164)=1,1,0))</f>
        <v/>
      </c>
    </row>
    <row r="165">
      <c r="A165" s="20" t="n"/>
      <c r="B165" s="21" t="n"/>
      <c r="C165" s="20" t="n"/>
      <c r="D165" s="22">
        <f>IF(C165="","",INDEX(MERCADORIA!$B$5:$B$22,MATCH(C165,MERCADORIA!$A$5:$A$22,0)))</f>
        <v/>
      </c>
      <c r="E165" s="22">
        <f>IF(C165="","",INDEX(MERCADORIA!$C$5:$C$22,MATCH(C165,MERCADORIA!$A$5:$A$22,0)))</f>
        <v/>
      </c>
      <c r="F165" s="23" t="n"/>
      <c r="G165" s="24">
        <f>IF(D165="","",INDEX(VALOR!$B$5:$B$8,MATCH(D165,VALOR!$A$5:$A$8,0)))</f>
        <v/>
      </c>
      <c r="H165" s="15">
        <f>IF(OR(G165="",F165=""),0,F165*G165)</f>
        <v/>
      </c>
      <c r="I165" s="20" t="n"/>
      <c r="J165" s="20" t="n"/>
      <c r="K165" s="24">
        <f>IF(OR(O165=0,J165=""),0,INDEX(MAPA!$C$5:$C$14,MATCH(J165,MAPA!$A$5:$A$14,0)))</f>
        <v/>
      </c>
      <c r="L165" s="25">
        <f>H165+K165</f>
        <v/>
      </c>
      <c r="M165" s="20" t="n"/>
      <c r="N165" s="20" t="n"/>
      <c r="O165" s="14">
        <f>IF(A165="",0,IF(COUNTIF($A$5:A165,A165)=1,1,0))</f>
        <v/>
      </c>
    </row>
    <row r="166">
      <c r="A166" s="20" t="n"/>
      <c r="B166" s="21" t="n"/>
      <c r="C166" s="20" t="n"/>
      <c r="D166" s="22">
        <f>IF(C166="","",INDEX(MERCADORIA!$B$5:$B$22,MATCH(C166,MERCADORIA!$A$5:$A$22,0)))</f>
        <v/>
      </c>
      <c r="E166" s="22">
        <f>IF(C166="","",INDEX(MERCADORIA!$C$5:$C$22,MATCH(C166,MERCADORIA!$A$5:$A$22,0)))</f>
        <v/>
      </c>
      <c r="F166" s="23" t="n"/>
      <c r="G166" s="24">
        <f>IF(D166="","",INDEX(VALOR!$B$5:$B$8,MATCH(D166,VALOR!$A$5:$A$8,0)))</f>
        <v/>
      </c>
      <c r="H166" s="15">
        <f>IF(OR(G166="",F166=""),0,F166*G166)</f>
        <v/>
      </c>
      <c r="I166" s="20" t="n"/>
      <c r="J166" s="20" t="n"/>
      <c r="K166" s="24">
        <f>IF(OR(O166=0,J166=""),0,INDEX(MAPA!$C$5:$C$14,MATCH(J166,MAPA!$A$5:$A$14,0)))</f>
        <v/>
      </c>
      <c r="L166" s="25">
        <f>H166+K166</f>
        <v/>
      </c>
      <c r="M166" s="20" t="n"/>
      <c r="N166" s="20" t="n"/>
      <c r="O166" s="14">
        <f>IF(A166="",0,IF(COUNTIF($A$5:A166,A166)=1,1,0))</f>
        <v/>
      </c>
    </row>
    <row r="167">
      <c r="A167" s="20" t="n"/>
      <c r="B167" s="21" t="n"/>
      <c r="C167" s="20" t="n"/>
      <c r="D167" s="22">
        <f>IF(C167="","",INDEX(MERCADORIA!$B$5:$B$22,MATCH(C167,MERCADORIA!$A$5:$A$22,0)))</f>
        <v/>
      </c>
      <c r="E167" s="22">
        <f>IF(C167="","",INDEX(MERCADORIA!$C$5:$C$22,MATCH(C167,MERCADORIA!$A$5:$A$22,0)))</f>
        <v/>
      </c>
      <c r="F167" s="23" t="n"/>
      <c r="G167" s="24">
        <f>IF(D167="","",INDEX(VALOR!$B$5:$B$8,MATCH(D167,VALOR!$A$5:$A$8,0)))</f>
        <v/>
      </c>
      <c r="H167" s="15">
        <f>IF(OR(G167="",F167=""),0,F167*G167)</f>
        <v/>
      </c>
      <c r="I167" s="20" t="n"/>
      <c r="J167" s="20" t="n"/>
      <c r="K167" s="24">
        <f>IF(OR(O167=0,J167=""),0,INDEX(MAPA!$C$5:$C$14,MATCH(J167,MAPA!$A$5:$A$14,0)))</f>
        <v/>
      </c>
      <c r="L167" s="25">
        <f>H167+K167</f>
        <v/>
      </c>
      <c r="M167" s="20" t="n"/>
      <c r="N167" s="20" t="n"/>
      <c r="O167" s="14">
        <f>IF(A167="",0,IF(COUNTIF($A$5:A167,A167)=1,1,0))</f>
        <v/>
      </c>
    </row>
    <row r="168">
      <c r="A168" s="20" t="n"/>
      <c r="B168" s="21" t="n"/>
      <c r="C168" s="20" t="n"/>
      <c r="D168" s="22">
        <f>IF(C168="","",INDEX(MERCADORIA!$B$5:$B$22,MATCH(C168,MERCADORIA!$A$5:$A$22,0)))</f>
        <v/>
      </c>
      <c r="E168" s="22">
        <f>IF(C168="","",INDEX(MERCADORIA!$C$5:$C$22,MATCH(C168,MERCADORIA!$A$5:$A$22,0)))</f>
        <v/>
      </c>
      <c r="F168" s="23" t="n"/>
      <c r="G168" s="24">
        <f>IF(D168="","",INDEX(VALOR!$B$5:$B$8,MATCH(D168,VALOR!$A$5:$A$8,0)))</f>
        <v/>
      </c>
      <c r="H168" s="15">
        <f>IF(OR(G168="",F168=""),0,F168*G168)</f>
        <v/>
      </c>
      <c r="I168" s="20" t="n"/>
      <c r="J168" s="20" t="n"/>
      <c r="K168" s="24">
        <f>IF(OR(O168=0,J168=""),0,INDEX(MAPA!$C$5:$C$14,MATCH(J168,MAPA!$A$5:$A$14,0)))</f>
        <v/>
      </c>
      <c r="L168" s="25">
        <f>H168+K168</f>
        <v/>
      </c>
      <c r="M168" s="20" t="n"/>
      <c r="N168" s="20" t="n"/>
      <c r="O168" s="14">
        <f>IF(A168="",0,IF(COUNTIF($A$5:A168,A168)=1,1,0))</f>
        <v/>
      </c>
    </row>
    <row r="169">
      <c r="A169" s="20" t="n"/>
      <c r="B169" s="21" t="n"/>
      <c r="C169" s="20" t="n"/>
      <c r="D169" s="22">
        <f>IF(C169="","",INDEX(MERCADORIA!$B$5:$B$22,MATCH(C169,MERCADORIA!$A$5:$A$22,0)))</f>
        <v/>
      </c>
      <c r="E169" s="22">
        <f>IF(C169="","",INDEX(MERCADORIA!$C$5:$C$22,MATCH(C169,MERCADORIA!$A$5:$A$22,0)))</f>
        <v/>
      </c>
      <c r="F169" s="23" t="n"/>
      <c r="G169" s="24">
        <f>IF(D169="","",INDEX(VALOR!$B$5:$B$8,MATCH(D169,VALOR!$A$5:$A$8,0)))</f>
        <v/>
      </c>
      <c r="H169" s="15">
        <f>IF(OR(G169="",F169=""),0,F169*G169)</f>
        <v/>
      </c>
      <c r="I169" s="20" t="n"/>
      <c r="J169" s="20" t="n"/>
      <c r="K169" s="24">
        <f>IF(OR(O169=0,J169=""),0,INDEX(MAPA!$C$5:$C$14,MATCH(J169,MAPA!$A$5:$A$14,0)))</f>
        <v/>
      </c>
      <c r="L169" s="25">
        <f>H169+K169</f>
        <v/>
      </c>
      <c r="M169" s="20" t="n"/>
      <c r="N169" s="20" t="n"/>
      <c r="O169" s="14">
        <f>IF(A169="",0,IF(COUNTIF($A$5:A169,A169)=1,1,0))</f>
        <v/>
      </c>
    </row>
    <row r="170">
      <c r="A170" s="20" t="n"/>
      <c r="B170" s="21" t="n"/>
      <c r="C170" s="20" t="n"/>
      <c r="D170" s="22">
        <f>IF(C170="","",INDEX(MERCADORIA!$B$5:$B$22,MATCH(C170,MERCADORIA!$A$5:$A$22,0)))</f>
        <v/>
      </c>
      <c r="E170" s="22">
        <f>IF(C170="","",INDEX(MERCADORIA!$C$5:$C$22,MATCH(C170,MERCADORIA!$A$5:$A$22,0)))</f>
        <v/>
      </c>
      <c r="F170" s="23" t="n"/>
      <c r="G170" s="24">
        <f>IF(D170="","",INDEX(VALOR!$B$5:$B$8,MATCH(D170,VALOR!$A$5:$A$8,0)))</f>
        <v/>
      </c>
      <c r="H170" s="15">
        <f>IF(OR(G170="",F170=""),0,F170*G170)</f>
        <v/>
      </c>
      <c r="I170" s="20" t="n"/>
      <c r="J170" s="20" t="n"/>
      <c r="K170" s="24">
        <f>IF(OR(O170=0,J170=""),0,INDEX(MAPA!$C$5:$C$14,MATCH(J170,MAPA!$A$5:$A$14,0)))</f>
        <v/>
      </c>
      <c r="L170" s="25">
        <f>H170+K170</f>
        <v/>
      </c>
      <c r="M170" s="20" t="n"/>
      <c r="N170" s="20" t="n"/>
      <c r="O170" s="14">
        <f>IF(A170="",0,IF(COUNTIF($A$5:A170,A170)=1,1,0))</f>
        <v/>
      </c>
    </row>
    <row r="171">
      <c r="A171" s="20" t="n"/>
      <c r="B171" s="21" t="n"/>
      <c r="C171" s="20" t="n"/>
      <c r="D171" s="22">
        <f>IF(C171="","",INDEX(MERCADORIA!$B$5:$B$22,MATCH(C171,MERCADORIA!$A$5:$A$22,0)))</f>
        <v/>
      </c>
      <c r="E171" s="22">
        <f>IF(C171="","",INDEX(MERCADORIA!$C$5:$C$22,MATCH(C171,MERCADORIA!$A$5:$A$22,0)))</f>
        <v/>
      </c>
      <c r="F171" s="23" t="n"/>
      <c r="G171" s="24">
        <f>IF(D171="","",INDEX(VALOR!$B$5:$B$8,MATCH(D171,VALOR!$A$5:$A$8,0)))</f>
        <v/>
      </c>
      <c r="H171" s="15">
        <f>IF(OR(G171="",F171=""),0,F171*G171)</f>
        <v/>
      </c>
      <c r="I171" s="20" t="n"/>
      <c r="J171" s="20" t="n"/>
      <c r="K171" s="24">
        <f>IF(OR(O171=0,J171=""),0,INDEX(MAPA!$C$5:$C$14,MATCH(J171,MAPA!$A$5:$A$14,0)))</f>
        <v/>
      </c>
      <c r="L171" s="25">
        <f>H171+K171</f>
        <v/>
      </c>
      <c r="M171" s="20" t="n"/>
      <c r="N171" s="20" t="n"/>
      <c r="O171" s="14">
        <f>IF(A171="",0,IF(COUNTIF($A$5:A171,A171)=1,1,0))</f>
        <v/>
      </c>
    </row>
    <row r="172">
      <c r="A172" s="20" t="n"/>
      <c r="B172" s="21" t="n"/>
      <c r="C172" s="20" t="n"/>
      <c r="D172" s="22">
        <f>IF(C172="","",INDEX(MERCADORIA!$B$5:$B$22,MATCH(C172,MERCADORIA!$A$5:$A$22,0)))</f>
        <v/>
      </c>
      <c r="E172" s="22">
        <f>IF(C172="","",INDEX(MERCADORIA!$C$5:$C$22,MATCH(C172,MERCADORIA!$A$5:$A$22,0)))</f>
        <v/>
      </c>
      <c r="F172" s="23" t="n"/>
      <c r="G172" s="24">
        <f>IF(D172="","",INDEX(VALOR!$B$5:$B$8,MATCH(D172,VALOR!$A$5:$A$8,0)))</f>
        <v/>
      </c>
      <c r="H172" s="15">
        <f>IF(OR(G172="",F172=""),0,F172*G172)</f>
        <v/>
      </c>
      <c r="I172" s="20" t="n"/>
      <c r="J172" s="20" t="n"/>
      <c r="K172" s="24">
        <f>IF(OR(O172=0,J172=""),0,INDEX(MAPA!$C$5:$C$14,MATCH(J172,MAPA!$A$5:$A$14,0)))</f>
        <v/>
      </c>
      <c r="L172" s="25">
        <f>H172+K172</f>
        <v/>
      </c>
      <c r="M172" s="20" t="n"/>
      <c r="N172" s="20" t="n"/>
      <c r="O172" s="14">
        <f>IF(A172="",0,IF(COUNTIF($A$5:A172,A172)=1,1,0))</f>
        <v/>
      </c>
    </row>
    <row r="173">
      <c r="A173" s="20" t="n"/>
      <c r="B173" s="21" t="n"/>
      <c r="C173" s="20" t="n"/>
      <c r="D173" s="22">
        <f>IF(C173="","",INDEX(MERCADORIA!$B$5:$B$22,MATCH(C173,MERCADORIA!$A$5:$A$22,0)))</f>
        <v/>
      </c>
      <c r="E173" s="22">
        <f>IF(C173="","",INDEX(MERCADORIA!$C$5:$C$22,MATCH(C173,MERCADORIA!$A$5:$A$22,0)))</f>
        <v/>
      </c>
      <c r="F173" s="23" t="n"/>
      <c r="G173" s="24">
        <f>IF(D173="","",INDEX(VALOR!$B$5:$B$8,MATCH(D173,VALOR!$A$5:$A$8,0)))</f>
        <v/>
      </c>
      <c r="H173" s="15">
        <f>IF(OR(G173="",F173=""),0,F173*G173)</f>
        <v/>
      </c>
      <c r="I173" s="20" t="n"/>
      <c r="J173" s="20" t="n"/>
      <c r="K173" s="24">
        <f>IF(OR(O173=0,J173=""),0,INDEX(MAPA!$C$5:$C$14,MATCH(J173,MAPA!$A$5:$A$14,0)))</f>
        <v/>
      </c>
      <c r="L173" s="25">
        <f>H173+K173</f>
        <v/>
      </c>
      <c r="M173" s="20" t="n"/>
      <c r="N173" s="20" t="n"/>
      <c r="O173" s="14">
        <f>IF(A173="",0,IF(COUNTIF($A$5:A173,A173)=1,1,0))</f>
        <v/>
      </c>
    </row>
    <row r="174">
      <c r="A174" s="20" t="n"/>
      <c r="B174" s="21" t="n"/>
      <c r="C174" s="20" t="n"/>
      <c r="D174" s="22">
        <f>IF(C174="","",INDEX(MERCADORIA!$B$5:$B$22,MATCH(C174,MERCADORIA!$A$5:$A$22,0)))</f>
        <v/>
      </c>
      <c r="E174" s="22">
        <f>IF(C174="","",INDEX(MERCADORIA!$C$5:$C$22,MATCH(C174,MERCADORIA!$A$5:$A$22,0)))</f>
        <v/>
      </c>
      <c r="F174" s="23" t="n"/>
      <c r="G174" s="24">
        <f>IF(D174="","",INDEX(VALOR!$B$5:$B$8,MATCH(D174,VALOR!$A$5:$A$8,0)))</f>
        <v/>
      </c>
      <c r="H174" s="15">
        <f>IF(OR(G174="",F174=""),0,F174*G174)</f>
        <v/>
      </c>
      <c r="I174" s="20" t="n"/>
      <c r="J174" s="20" t="n"/>
      <c r="K174" s="24">
        <f>IF(OR(O174=0,J174=""),0,INDEX(MAPA!$C$5:$C$14,MATCH(J174,MAPA!$A$5:$A$14,0)))</f>
        <v/>
      </c>
      <c r="L174" s="25">
        <f>H174+K174</f>
        <v/>
      </c>
      <c r="M174" s="20" t="n"/>
      <c r="N174" s="20" t="n"/>
      <c r="O174" s="14">
        <f>IF(A174="",0,IF(COUNTIF($A$5:A174,A174)=1,1,0))</f>
        <v/>
      </c>
    </row>
    <row r="175">
      <c r="A175" s="20" t="n"/>
      <c r="B175" s="21" t="n"/>
      <c r="C175" s="20" t="n"/>
      <c r="D175" s="22">
        <f>IF(C175="","",INDEX(MERCADORIA!$B$5:$B$22,MATCH(C175,MERCADORIA!$A$5:$A$22,0)))</f>
        <v/>
      </c>
      <c r="E175" s="22">
        <f>IF(C175="","",INDEX(MERCADORIA!$C$5:$C$22,MATCH(C175,MERCADORIA!$A$5:$A$22,0)))</f>
        <v/>
      </c>
      <c r="F175" s="23" t="n"/>
      <c r="G175" s="24">
        <f>IF(D175="","",INDEX(VALOR!$B$5:$B$8,MATCH(D175,VALOR!$A$5:$A$8,0)))</f>
        <v/>
      </c>
      <c r="H175" s="15">
        <f>IF(OR(G175="",F175=""),0,F175*G175)</f>
        <v/>
      </c>
      <c r="I175" s="20" t="n"/>
      <c r="J175" s="20" t="n"/>
      <c r="K175" s="24">
        <f>IF(OR(O175=0,J175=""),0,INDEX(MAPA!$C$5:$C$14,MATCH(J175,MAPA!$A$5:$A$14,0)))</f>
        <v/>
      </c>
      <c r="L175" s="25">
        <f>H175+K175</f>
        <v/>
      </c>
      <c r="M175" s="20" t="n"/>
      <c r="N175" s="20" t="n"/>
      <c r="O175" s="14">
        <f>IF(A175="",0,IF(COUNTIF($A$5:A175,A175)=1,1,0))</f>
        <v/>
      </c>
    </row>
    <row r="176">
      <c r="A176" s="20" t="n"/>
      <c r="B176" s="21" t="n"/>
      <c r="C176" s="20" t="n"/>
      <c r="D176" s="22">
        <f>IF(C176="","",INDEX(MERCADORIA!$B$5:$B$22,MATCH(C176,MERCADORIA!$A$5:$A$22,0)))</f>
        <v/>
      </c>
      <c r="E176" s="22">
        <f>IF(C176="","",INDEX(MERCADORIA!$C$5:$C$22,MATCH(C176,MERCADORIA!$A$5:$A$22,0)))</f>
        <v/>
      </c>
      <c r="F176" s="23" t="n"/>
      <c r="G176" s="24">
        <f>IF(D176="","",INDEX(VALOR!$B$5:$B$8,MATCH(D176,VALOR!$A$5:$A$8,0)))</f>
        <v/>
      </c>
      <c r="H176" s="15">
        <f>IF(OR(G176="",F176=""),0,F176*G176)</f>
        <v/>
      </c>
      <c r="I176" s="20" t="n"/>
      <c r="J176" s="20" t="n"/>
      <c r="K176" s="24">
        <f>IF(OR(O176=0,J176=""),0,INDEX(MAPA!$C$5:$C$14,MATCH(J176,MAPA!$A$5:$A$14,0)))</f>
        <v/>
      </c>
      <c r="L176" s="25">
        <f>H176+K176</f>
        <v/>
      </c>
      <c r="M176" s="20" t="n"/>
      <c r="N176" s="20" t="n"/>
      <c r="O176" s="14">
        <f>IF(A176="",0,IF(COUNTIF($A$5:A176,A176)=1,1,0))</f>
        <v/>
      </c>
    </row>
    <row r="177">
      <c r="A177" s="20" t="n"/>
      <c r="B177" s="21" t="n"/>
      <c r="C177" s="20" t="n"/>
      <c r="D177" s="22">
        <f>IF(C177="","",INDEX(MERCADORIA!$B$5:$B$22,MATCH(C177,MERCADORIA!$A$5:$A$22,0)))</f>
        <v/>
      </c>
      <c r="E177" s="22">
        <f>IF(C177="","",INDEX(MERCADORIA!$C$5:$C$22,MATCH(C177,MERCADORIA!$A$5:$A$22,0)))</f>
        <v/>
      </c>
      <c r="F177" s="23" t="n"/>
      <c r="G177" s="24">
        <f>IF(D177="","",INDEX(VALOR!$B$5:$B$8,MATCH(D177,VALOR!$A$5:$A$8,0)))</f>
        <v/>
      </c>
      <c r="H177" s="15">
        <f>IF(OR(G177="",F177=""),0,F177*G177)</f>
        <v/>
      </c>
      <c r="I177" s="20" t="n"/>
      <c r="J177" s="20" t="n"/>
      <c r="K177" s="24">
        <f>IF(OR(O177=0,J177=""),0,INDEX(MAPA!$C$5:$C$14,MATCH(J177,MAPA!$A$5:$A$14,0)))</f>
        <v/>
      </c>
      <c r="L177" s="25">
        <f>H177+K177</f>
        <v/>
      </c>
      <c r="M177" s="20" t="n"/>
      <c r="N177" s="20" t="n"/>
      <c r="O177" s="14">
        <f>IF(A177="",0,IF(COUNTIF($A$5:A177,A177)=1,1,0))</f>
        <v/>
      </c>
    </row>
    <row r="178">
      <c r="A178" s="20" t="n"/>
      <c r="B178" s="21" t="n"/>
      <c r="C178" s="20" t="n"/>
      <c r="D178" s="22">
        <f>IF(C178="","",INDEX(MERCADORIA!$B$5:$B$22,MATCH(C178,MERCADORIA!$A$5:$A$22,0)))</f>
        <v/>
      </c>
      <c r="E178" s="22">
        <f>IF(C178="","",INDEX(MERCADORIA!$C$5:$C$22,MATCH(C178,MERCADORIA!$A$5:$A$22,0)))</f>
        <v/>
      </c>
      <c r="F178" s="23" t="n"/>
      <c r="G178" s="24">
        <f>IF(D178="","",INDEX(VALOR!$B$5:$B$8,MATCH(D178,VALOR!$A$5:$A$8,0)))</f>
        <v/>
      </c>
      <c r="H178" s="15">
        <f>IF(OR(G178="",F178=""),0,F178*G178)</f>
        <v/>
      </c>
      <c r="I178" s="20" t="n"/>
      <c r="J178" s="20" t="n"/>
      <c r="K178" s="24">
        <f>IF(OR(O178=0,J178=""),0,INDEX(MAPA!$C$5:$C$14,MATCH(J178,MAPA!$A$5:$A$14,0)))</f>
        <v/>
      </c>
      <c r="L178" s="25">
        <f>H178+K178</f>
        <v/>
      </c>
      <c r="M178" s="20" t="n"/>
      <c r="N178" s="20" t="n"/>
      <c r="O178" s="14">
        <f>IF(A178="",0,IF(COUNTIF($A$5:A178,A178)=1,1,0))</f>
        <v/>
      </c>
    </row>
    <row r="179">
      <c r="A179" s="20" t="n"/>
      <c r="B179" s="21" t="n"/>
      <c r="C179" s="20" t="n"/>
      <c r="D179" s="22">
        <f>IF(C179="","",INDEX(MERCADORIA!$B$5:$B$22,MATCH(C179,MERCADORIA!$A$5:$A$22,0)))</f>
        <v/>
      </c>
      <c r="E179" s="22">
        <f>IF(C179="","",INDEX(MERCADORIA!$C$5:$C$22,MATCH(C179,MERCADORIA!$A$5:$A$22,0)))</f>
        <v/>
      </c>
      <c r="F179" s="23" t="n"/>
      <c r="G179" s="24">
        <f>IF(D179="","",INDEX(VALOR!$B$5:$B$8,MATCH(D179,VALOR!$A$5:$A$8,0)))</f>
        <v/>
      </c>
      <c r="H179" s="15">
        <f>IF(OR(G179="",F179=""),0,F179*G179)</f>
        <v/>
      </c>
      <c r="I179" s="20" t="n"/>
      <c r="J179" s="20" t="n"/>
      <c r="K179" s="24">
        <f>IF(OR(O179=0,J179=""),0,INDEX(MAPA!$C$5:$C$14,MATCH(J179,MAPA!$A$5:$A$14,0)))</f>
        <v/>
      </c>
      <c r="L179" s="25">
        <f>H179+K179</f>
        <v/>
      </c>
      <c r="M179" s="20" t="n"/>
      <c r="N179" s="20" t="n"/>
      <c r="O179" s="14">
        <f>IF(A179="",0,IF(COUNTIF($A$5:A179,A179)=1,1,0))</f>
        <v/>
      </c>
    </row>
    <row r="180">
      <c r="A180" s="20" t="n"/>
      <c r="B180" s="21" t="n"/>
      <c r="C180" s="20" t="n"/>
      <c r="D180" s="22">
        <f>IF(C180="","",INDEX(MERCADORIA!$B$5:$B$22,MATCH(C180,MERCADORIA!$A$5:$A$22,0)))</f>
        <v/>
      </c>
      <c r="E180" s="22">
        <f>IF(C180="","",INDEX(MERCADORIA!$C$5:$C$22,MATCH(C180,MERCADORIA!$A$5:$A$22,0)))</f>
        <v/>
      </c>
      <c r="F180" s="23" t="n"/>
      <c r="G180" s="24">
        <f>IF(D180="","",INDEX(VALOR!$B$5:$B$8,MATCH(D180,VALOR!$A$5:$A$8,0)))</f>
        <v/>
      </c>
      <c r="H180" s="15">
        <f>IF(OR(G180="",F180=""),0,F180*G180)</f>
        <v/>
      </c>
      <c r="I180" s="20" t="n"/>
      <c r="J180" s="20" t="n"/>
      <c r="K180" s="24">
        <f>IF(OR(O180=0,J180=""),0,INDEX(MAPA!$C$5:$C$14,MATCH(J180,MAPA!$A$5:$A$14,0)))</f>
        <v/>
      </c>
      <c r="L180" s="25">
        <f>H180+K180</f>
        <v/>
      </c>
      <c r="M180" s="20" t="n"/>
      <c r="N180" s="20" t="n"/>
      <c r="O180" s="14">
        <f>IF(A180="",0,IF(COUNTIF($A$5:A180,A180)=1,1,0))</f>
        <v/>
      </c>
    </row>
    <row r="181">
      <c r="A181" s="20" t="n"/>
      <c r="B181" s="21" t="n"/>
      <c r="C181" s="20" t="n"/>
      <c r="D181" s="22">
        <f>IF(C181="","",INDEX(MERCADORIA!$B$5:$B$22,MATCH(C181,MERCADORIA!$A$5:$A$22,0)))</f>
        <v/>
      </c>
      <c r="E181" s="22">
        <f>IF(C181="","",INDEX(MERCADORIA!$C$5:$C$22,MATCH(C181,MERCADORIA!$A$5:$A$22,0)))</f>
        <v/>
      </c>
      <c r="F181" s="23" t="n"/>
      <c r="G181" s="24">
        <f>IF(D181="","",INDEX(VALOR!$B$5:$B$8,MATCH(D181,VALOR!$A$5:$A$8,0)))</f>
        <v/>
      </c>
      <c r="H181" s="15">
        <f>IF(OR(G181="",F181=""),0,F181*G181)</f>
        <v/>
      </c>
      <c r="I181" s="20" t="n"/>
      <c r="J181" s="20" t="n"/>
      <c r="K181" s="24">
        <f>IF(OR(O181=0,J181=""),0,INDEX(MAPA!$C$5:$C$14,MATCH(J181,MAPA!$A$5:$A$14,0)))</f>
        <v/>
      </c>
      <c r="L181" s="25">
        <f>H181+K181</f>
        <v/>
      </c>
      <c r="M181" s="20" t="n"/>
      <c r="N181" s="20" t="n"/>
      <c r="O181" s="14">
        <f>IF(A181="",0,IF(COUNTIF($A$5:A181,A181)=1,1,0))</f>
        <v/>
      </c>
    </row>
    <row r="182">
      <c r="A182" s="20" t="n"/>
      <c r="B182" s="21" t="n"/>
      <c r="C182" s="20" t="n"/>
      <c r="D182" s="22">
        <f>IF(C182="","",INDEX(MERCADORIA!$B$5:$B$22,MATCH(C182,MERCADORIA!$A$5:$A$22,0)))</f>
        <v/>
      </c>
      <c r="E182" s="22">
        <f>IF(C182="","",INDEX(MERCADORIA!$C$5:$C$22,MATCH(C182,MERCADORIA!$A$5:$A$22,0)))</f>
        <v/>
      </c>
      <c r="F182" s="23" t="n"/>
      <c r="G182" s="24">
        <f>IF(D182="","",INDEX(VALOR!$B$5:$B$8,MATCH(D182,VALOR!$A$5:$A$8,0)))</f>
        <v/>
      </c>
      <c r="H182" s="15">
        <f>IF(OR(G182="",F182=""),0,F182*G182)</f>
        <v/>
      </c>
      <c r="I182" s="20" t="n"/>
      <c r="J182" s="20" t="n"/>
      <c r="K182" s="24">
        <f>IF(OR(O182=0,J182=""),0,INDEX(MAPA!$C$5:$C$14,MATCH(J182,MAPA!$A$5:$A$14,0)))</f>
        <v/>
      </c>
      <c r="L182" s="25">
        <f>H182+K182</f>
        <v/>
      </c>
      <c r="M182" s="20" t="n"/>
      <c r="N182" s="20" t="n"/>
      <c r="O182" s="14">
        <f>IF(A182="",0,IF(COUNTIF($A$5:A182,A182)=1,1,0))</f>
        <v/>
      </c>
    </row>
    <row r="183">
      <c r="A183" s="20" t="n"/>
      <c r="B183" s="21" t="n"/>
      <c r="C183" s="20" t="n"/>
      <c r="D183" s="22">
        <f>IF(C183="","",INDEX(MERCADORIA!$B$5:$B$22,MATCH(C183,MERCADORIA!$A$5:$A$22,0)))</f>
        <v/>
      </c>
      <c r="E183" s="22">
        <f>IF(C183="","",INDEX(MERCADORIA!$C$5:$C$22,MATCH(C183,MERCADORIA!$A$5:$A$22,0)))</f>
        <v/>
      </c>
      <c r="F183" s="23" t="n"/>
      <c r="G183" s="24">
        <f>IF(D183="","",INDEX(VALOR!$B$5:$B$8,MATCH(D183,VALOR!$A$5:$A$8,0)))</f>
        <v/>
      </c>
      <c r="H183" s="15">
        <f>IF(OR(G183="",F183=""),0,F183*G183)</f>
        <v/>
      </c>
      <c r="I183" s="20" t="n"/>
      <c r="J183" s="20" t="n"/>
      <c r="K183" s="24">
        <f>IF(OR(O183=0,J183=""),0,INDEX(MAPA!$C$5:$C$14,MATCH(J183,MAPA!$A$5:$A$14,0)))</f>
        <v/>
      </c>
      <c r="L183" s="25">
        <f>H183+K183</f>
        <v/>
      </c>
      <c r="M183" s="20" t="n"/>
      <c r="N183" s="20" t="n"/>
      <c r="O183" s="14">
        <f>IF(A183="",0,IF(COUNTIF($A$5:A183,A183)=1,1,0))</f>
        <v/>
      </c>
    </row>
    <row r="184">
      <c r="A184" s="20" t="n"/>
      <c r="B184" s="21" t="n"/>
      <c r="C184" s="20" t="n"/>
      <c r="D184" s="22">
        <f>IF(C184="","",INDEX(MERCADORIA!$B$5:$B$22,MATCH(C184,MERCADORIA!$A$5:$A$22,0)))</f>
        <v/>
      </c>
      <c r="E184" s="22">
        <f>IF(C184="","",INDEX(MERCADORIA!$C$5:$C$22,MATCH(C184,MERCADORIA!$A$5:$A$22,0)))</f>
        <v/>
      </c>
      <c r="F184" s="23" t="n"/>
      <c r="G184" s="24">
        <f>IF(D184="","",INDEX(VALOR!$B$5:$B$8,MATCH(D184,VALOR!$A$5:$A$8,0)))</f>
        <v/>
      </c>
      <c r="H184" s="15">
        <f>IF(OR(G184="",F184=""),0,F184*G184)</f>
        <v/>
      </c>
      <c r="I184" s="20" t="n"/>
      <c r="J184" s="20" t="n"/>
      <c r="K184" s="24">
        <f>IF(OR(O184=0,J184=""),0,INDEX(MAPA!$C$5:$C$14,MATCH(J184,MAPA!$A$5:$A$14,0)))</f>
        <v/>
      </c>
      <c r="L184" s="25">
        <f>H184+K184</f>
        <v/>
      </c>
      <c r="M184" s="20" t="n"/>
      <c r="N184" s="20" t="n"/>
      <c r="O184" s="14">
        <f>IF(A184="",0,IF(COUNTIF($A$5:A184,A184)=1,1,0))</f>
        <v/>
      </c>
    </row>
    <row r="185">
      <c r="A185" s="20" t="n"/>
      <c r="B185" s="21" t="n"/>
      <c r="C185" s="20" t="n"/>
      <c r="D185" s="22">
        <f>IF(C185="","",INDEX(MERCADORIA!$B$5:$B$22,MATCH(C185,MERCADORIA!$A$5:$A$22,0)))</f>
        <v/>
      </c>
      <c r="E185" s="22">
        <f>IF(C185="","",INDEX(MERCADORIA!$C$5:$C$22,MATCH(C185,MERCADORIA!$A$5:$A$22,0)))</f>
        <v/>
      </c>
      <c r="F185" s="23" t="n"/>
      <c r="G185" s="24">
        <f>IF(D185="","",INDEX(VALOR!$B$5:$B$8,MATCH(D185,VALOR!$A$5:$A$8,0)))</f>
        <v/>
      </c>
      <c r="H185" s="15">
        <f>IF(OR(G185="",F185=""),0,F185*G185)</f>
        <v/>
      </c>
      <c r="I185" s="20" t="n"/>
      <c r="J185" s="20" t="n"/>
      <c r="K185" s="24">
        <f>IF(OR(O185=0,J185=""),0,INDEX(MAPA!$C$5:$C$14,MATCH(J185,MAPA!$A$5:$A$14,0)))</f>
        <v/>
      </c>
      <c r="L185" s="25">
        <f>H185+K185</f>
        <v/>
      </c>
      <c r="M185" s="20" t="n"/>
      <c r="N185" s="20" t="n"/>
      <c r="O185" s="14">
        <f>IF(A185="",0,IF(COUNTIF($A$5:A185,A185)=1,1,0))</f>
        <v/>
      </c>
    </row>
    <row r="186">
      <c r="A186" s="20" t="n"/>
      <c r="B186" s="21" t="n"/>
      <c r="C186" s="20" t="n"/>
      <c r="D186" s="22">
        <f>IF(C186="","",INDEX(MERCADORIA!$B$5:$B$22,MATCH(C186,MERCADORIA!$A$5:$A$22,0)))</f>
        <v/>
      </c>
      <c r="E186" s="22">
        <f>IF(C186="","",INDEX(MERCADORIA!$C$5:$C$22,MATCH(C186,MERCADORIA!$A$5:$A$22,0)))</f>
        <v/>
      </c>
      <c r="F186" s="23" t="n"/>
      <c r="G186" s="24">
        <f>IF(D186="","",INDEX(VALOR!$B$5:$B$8,MATCH(D186,VALOR!$A$5:$A$8,0)))</f>
        <v/>
      </c>
      <c r="H186" s="15">
        <f>IF(OR(G186="",F186=""),0,F186*G186)</f>
        <v/>
      </c>
      <c r="I186" s="20" t="n"/>
      <c r="J186" s="20" t="n"/>
      <c r="K186" s="24">
        <f>IF(OR(O186=0,J186=""),0,INDEX(MAPA!$C$5:$C$14,MATCH(J186,MAPA!$A$5:$A$14,0)))</f>
        <v/>
      </c>
      <c r="L186" s="25">
        <f>H186+K186</f>
        <v/>
      </c>
      <c r="M186" s="20" t="n"/>
      <c r="N186" s="20" t="n"/>
      <c r="O186" s="14">
        <f>IF(A186="",0,IF(COUNTIF($A$5:A186,A186)=1,1,0))</f>
        <v/>
      </c>
    </row>
    <row r="187">
      <c r="A187" s="20" t="n"/>
      <c r="B187" s="21" t="n"/>
      <c r="C187" s="20" t="n"/>
      <c r="D187" s="22">
        <f>IF(C187="","",INDEX(MERCADORIA!$B$5:$B$22,MATCH(C187,MERCADORIA!$A$5:$A$22,0)))</f>
        <v/>
      </c>
      <c r="E187" s="22">
        <f>IF(C187="","",INDEX(MERCADORIA!$C$5:$C$22,MATCH(C187,MERCADORIA!$A$5:$A$22,0)))</f>
        <v/>
      </c>
      <c r="F187" s="23" t="n"/>
      <c r="G187" s="24">
        <f>IF(D187="","",INDEX(VALOR!$B$5:$B$8,MATCH(D187,VALOR!$A$5:$A$8,0)))</f>
        <v/>
      </c>
      <c r="H187" s="15">
        <f>IF(OR(G187="",F187=""),0,F187*G187)</f>
        <v/>
      </c>
      <c r="I187" s="20" t="n"/>
      <c r="J187" s="20" t="n"/>
      <c r="K187" s="24">
        <f>IF(OR(O187=0,J187=""),0,INDEX(MAPA!$C$5:$C$14,MATCH(J187,MAPA!$A$5:$A$14,0)))</f>
        <v/>
      </c>
      <c r="L187" s="25">
        <f>H187+K187</f>
        <v/>
      </c>
      <c r="M187" s="20" t="n"/>
      <c r="N187" s="20" t="n"/>
      <c r="O187" s="14">
        <f>IF(A187="",0,IF(COUNTIF($A$5:A187,A187)=1,1,0))</f>
        <v/>
      </c>
    </row>
    <row r="188">
      <c r="A188" s="20" t="n"/>
      <c r="B188" s="21" t="n"/>
      <c r="C188" s="20" t="n"/>
      <c r="D188" s="22">
        <f>IF(C188="","",INDEX(MERCADORIA!$B$5:$B$22,MATCH(C188,MERCADORIA!$A$5:$A$22,0)))</f>
        <v/>
      </c>
      <c r="E188" s="22">
        <f>IF(C188="","",INDEX(MERCADORIA!$C$5:$C$22,MATCH(C188,MERCADORIA!$A$5:$A$22,0)))</f>
        <v/>
      </c>
      <c r="F188" s="23" t="n"/>
      <c r="G188" s="24">
        <f>IF(D188="","",INDEX(VALOR!$B$5:$B$8,MATCH(D188,VALOR!$A$5:$A$8,0)))</f>
        <v/>
      </c>
      <c r="H188" s="15">
        <f>IF(OR(G188="",F188=""),0,F188*G188)</f>
        <v/>
      </c>
      <c r="I188" s="20" t="n"/>
      <c r="J188" s="20" t="n"/>
      <c r="K188" s="24">
        <f>IF(OR(O188=0,J188=""),0,INDEX(MAPA!$C$5:$C$14,MATCH(J188,MAPA!$A$5:$A$14,0)))</f>
        <v/>
      </c>
      <c r="L188" s="25">
        <f>H188+K188</f>
        <v/>
      </c>
      <c r="M188" s="20" t="n"/>
      <c r="N188" s="20" t="n"/>
      <c r="O188" s="14">
        <f>IF(A188="",0,IF(COUNTIF($A$5:A188,A188)=1,1,0))</f>
        <v/>
      </c>
    </row>
    <row r="189">
      <c r="A189" s="20" t="n"/>
      <c r="B189" s="21" t="n"/>
      <c r="C189" s="20" t="n"/>
      <c r="D189" s="22">
        <f>IF(C189="","",INDEX(MERCADORIA!$B$5:$B$22,MATCH(C189,MERCADORIA!$A$5:$A$22,0)))</f>
        <v/>
      </c>
      <c r="E189" s="22">
        <f>IF(C189="","",INDEX(MERCADORIA!$C$5:$C$22,MATCH(C189,MERCADORIA!$A$5:$A$22,0)))</f>
        <v/>
      </c>
      <c r="F189" s="23" t="n"/>
      <c r="G189" s="24">
        <f>IF(D189="","",INDEX(VALOR!$B$5:$B$8,MATCH(D189,VALOR!$A$5:$A$8,0)))</f>
        <v/>
      </c>
      <c r="H189" s="15">
        <f>IF(OR(G189="",F189=""),0,F189*G189)</f>
        <v/>
      </c>
      <c r="I189" s="20" t="n"/>
      <c r="J189" s="20" t="n"/>
      <c r="K189" s="24">
        <f>IF(OR(O189=0,J189=""),0,INDEX(MAPA!$C$5:$C$14,MATCH(J189,MAPA!$A$5:$A$14,0)))</f>
        <v/>
      </c>
      <c r="L189" s="25">
        <f>H189+K189</f>
        <v/>
      </c>
      <c r="M189" s="20" t="n"/>
      <c r="N189" s="20" t="n"/>
      <c r="O189" s="14">
        <f>IF(A189="",0,IF(COUNTIF($A$5:A189,A189)=1,1,0))</f>
        <v/>
      </c>
    </row>
    <row r="190">
      <c r="A190" s="20" t="n"/>
      <c r="B190" s="21" t="n"/>
      <c r="C190" s="20" t="n"/>
      <c r="D190" s="22">
        <f>IF(C190="","",INDEX(MERCADORIA!$B$5:$B$22,MATCH(C190,MERCADORIA!$A$5:$A$22,0)))</f>
        <v/>
      </c>
      <c r="E190" s="22">
        <f>IF(C190="","",INDEX(MERCADORIA!$C$5:$C$22,MATCH(C190,MERCADORIA!$A$5:$A$22,0)))</f>
        <v/>
      </c>
      <c r="F190" s="23" t="n"/>
      <c r="G190" s="24">
        <f>IF(D190="","",INDEX(VALOR!$B$5:$B$8,MATCH(D190,VALOR!$A$5:$A$8,0)))</f>
        <v/>
      </c>
      <c r="H190" s="15">
        <f>IF(OR(G190="",F190=""),0,F190*G190)</f>
        <v/>
      </c>
      <c r="I190" s="20" t="n"/>
      <c r="J190" s="20" t="n"/>
      <c r="K190" s="24">
        <f>IF(OR(O190=0,J190=""),0,INDEX(MAPA!$C$5:$C$14,MATCH(J190,MAPA!$A$5:$A$14,0)))</f>
        <v/>
      </c>
      <c r="L190" s="25">
        <f>H190+K190</f>
        <v/>
      </c>
      <c r="M190" s="20" t="n"/>
      <c r="N190" s="20" t="n"/>
      <c r="O190" s="14">
        <f>IF(A190="",0,IF(COUNTIF($A$5:A190,A190)=1,1,0))</f>
        <v/>
      </c>
    </row>
    <row r="191">
      <c r="A191" s="20" t="n"/>
      <c r="B191" s="21" t="n"/>
      <c r="C191" s="20" t="n"/>
      <c r="D191" s="22">
        <f>IF(C191="","",INDEX(MERCADORIA!$B$5:$B$22,MATCH(C191,MERCADORIA!$A$5:$A$22,0)))</f>
        <v/>
      </c>
      <c r="E191" s="22">
        <f>IF(C191="","",INDEX(MERCADORIA!$C$5:$C$22,MATCH(C191,MERCADORIA!$A$5:$A$22,0)))</f>
        <v/>
      </c>
      <c r="F191" s="23" t="n"/>
      <c r="G191" s="24">
        <f>IF(D191="","",INDEX(VALOR!$B$5:$B$8,MATCH(D191,VALOR!$A$5:$A$8,0)))</f>
        <v/>
      </c>
      <c r="H191" s="15">
        <f>IF(OR(G191="",F191=""),0,F191*G191)</f>
        <v/>
      </c>
      <c r="I191" s="20" t="n"/>
      <c r="J191" s="20" t="n"/>
      <c r="K191" s="24">
        <f>IF(OR(O191=0,J191=""),0,INDEX(MAPA!$C$5:$C$14,MATCH(J191,MAPA!$A$5:$A$14,0)))</f>
        <v/>
      </c>
      <c r="L191" s="25">
        <f>H191+K191</f>
        <v/>
      </c>
      <c r="M191" s="20" t="n"/>
      <c r="N191" s="20" t="n"/>
      <c r="O191" s="14">
        <f>IF(A191="",0,IF(COUNTIF($A$5:A191,A191)=1,1,0))</f>
        <v/>
      </c>
    </row>
    <row r="192">
      <c r="A192" s="20" t="n"/>
      <c r="B192" s="21" t="n"/>
      <c r="C192" s="20" t="n"/>
      <c r="D192" s="22">
        <f>IF(C192="","",INDEX(MERCADORIA!$B$5:$B$22,MATCH(C192,MERCADORIA!$A$5:$A$22,0)))</f>
        <v/>
      </c>
      <c r="E192" s="22">
        <f>IF(C192="","",INDEX(MERCADORIA!$C$5:$C$22,MATCH(C192,MERCADORIA!$A$5:$A$22,0)))</f>
        <v/>
      </c>
      <c r="F192" s="23" t="n"/>
      <c r="G192" s="24">
        <f>IF(D192="","",INDEX(VALOR!$B$5:$B$8,MATCH(D192,VALOR!$A$5:$A$8,0)))</f>
        <v/>
      </c>
      <c r="H192" s="15">
        <f>IF(OR(G192="",F192=""),0,F192*G192)</f>
        <v/>
      </c>
      <c r="I192" s="20" t="n"/>
      <c r="J192" s="20" t="n"/>
      <c r="K192" s="24">
        <f>IF(OR(O192=0,J192=""),0,INDEX(MAPA!$C$5:$C$14,MATCH(J192,MAPA!$A$5:$A$14,0)))</f>
        <v/>
      </c>
      <c r="L192" s="25">
        <f>H192+K192</f>
        <v/>
      </c>
      <c r="M192" s="20" t="n"/>
      <c r="N192" s="20" t="n"/>
      <c r="O192" s="14">
        <f>IF(A192="",0,IF(COUNTIF($A$5:A192,A192)=1,1,0))</f>
        <v/>
      </c>
    </row>
    <row r="193">
      <c r="A193" s="20" t="n"/>
      <c r="B193" s="21" t="n"/>
      <c r="C193" s="20" t="n"/>
      <c r="D193" s="22">
        <f>IF(C193="","",INDEX(MERCADORIA!$B$5:$B$22,MATCH(C193,MERCADORIA!$A$5:$A$22,0)))</f>
        <v/>
      </c>
      <c r="E193" s="22">
        <f>IF(C193="","",INDEX(MERCADORIA!$C$5:$C$22,MATCH(C193,MERCADORIA!$A$5:$A$22,0)))</f>
        <v/>
      </c>
      <c r="F193" s="23" t="n"/>
      <c r="G193" s="24">
        <f>IF(D193="","",INDEX(VALOR!$B$5:$B$8,MATCH(D193,VALOR!$A$5:$A$8,0)))</f>
        <v/>
      </c>
      <c r="H193" s="15">
        <f>IF(OR(G193="",F193=""),0,F193*G193)</f>
        <v/>
      </c>
      <c r="I193" s="20" t="n"/>
      <c r="J193" s="20" t="n"/>
      <c r="K193" s="24">
        <f>IF(OR(O193=0,J193=""),0,INDEX(MAPA!$C$5:$C$14,MATCH(J193,MAPA!$A$5:$A$14,0)))</f>
        <v/>
      </c>
      <c r="L193" s="25">
        <f>H193+K193</f>
        <v/>
      </c>
      <c r="M193" s="20" t="n"/>
      <c r="N193" s="20" t="n"/>
      <c r="O193" s="14">
        <f>IF(A193="",0,IF(COUNTIF($A$5:A193,A193)=1,1,0))</f>
        <v/>
      </c>
    </row>
    <row r="194">
      <c r="A194" s="20" t="n"/>
      <c r="B194" s="21" t="n"/>
      <c r="C194" s="20" t="n"/>
      <c r="D194" s="22">
        <f>IF(C194="","",INDEX(MERCADORIA!$B$5:$B$22,MATCH(C194,MERCADORIA!$A$5:$A$22,0)))</f>
        <v/>
      </c>
      <c r="E194" s="22">
        <f>IF(C194="","",INDEX(MERCADORIA!$C$5:$C$22,MATCH(C194,MERCADORIA!$A$5:$A$22,0)))</f>
        <v/>
      </c>
      <c r="F194" s="23" t="n"/>
      <c r="G194" s="24">
        <f>IF(D194="","",INDEX(VALOR!$B$5:$B$8,MATCH(D194,VALOR!$A$5:$A$8,0)))</f>
        <v/>
      </c>
      <c r="H194" s="15">
        <f>IF(OR(G194="",F194=""),0,F194*G194)</f>
        <v/>
      </c>
      <c r="I194" s="20" t="n"/>
      <c r="J194" s="20" t="n"/>
      <c r="K194" s="24">
        <f>IF(OR(O194=0,J194=""),0,INDEX(MAPA!$C$5:$C$14,MATCH(J194,MAPA!$A$5:$A$14,0)))</f>
        <v/>
      </c>
      <c r="L194" s="25">
        <f>H194+K194</f>
        <v/>
      </c>
      <c r="M194" s="20" t="n"/>
      <c r="N194" s="20" t="n"/>
      <c r="O194" s="14">
        <f>IF(A194="",0,IF(COUNTIF($A$5:A194,A194)=1,1,0))</f>
        <v/>
      </c>
    </row>
    <row r="195">
      <c r="A195" s="20" t="n"/>
      <c r="B195" s="21" t="n"/>
      <c r="C195" s="20" t="n"/>
      <c r="D195" s="22">
        <f>IF(C195="","",INDEX(MERCADORIA!$B$5:$B$22,MATCH(C195,MERCADORIA!$A$5:$A$22,0)))</f>
        <v/>
      </c>
      <c r="E195" s="22">
        <f>IF(C195="","",INDEX(MERCADORIA!$C$5:$C$22,MATCH(C195,MERCADORIA!$A$5:$A$22,0)))</f>
        <v/>
      </c>
      <c r="F195" s="23" t="n"/>
      <c r="G195" s="24">
        <f>IF(D195="","",INDEX(VALOR!$B$5:$B$8,MATCH(D195,VALOR!$A$5:$A$8,0)))</f>
        <v/>
      </c>
      <c r="H195" s="15">
        <f>IF(OR(G195="",F195=""),0,F195*G195)</f>
        <v/>
      </c>
      <c r="I195" s="20" t="n"/>
      <c r="J195" s="20" t="n"/>
      <c r="K195" s="24">
        <f>IF(OR(O195=0,J195=""),0,INDEX(MAPA!$C$5:$C$14,MATCH(J195,MAPA!$A$5:$A$14,0)))</f>
        <v/>
      </c>
      <c r="L195" s="25">
        <f>H195+K195</f>
        <v/>
      </c>
      <c r="M195" s="20" t="n"/>
      <c r="N195" s="20" t="n"/>
      <c r="O195" s="14">
        <f>IF(A195="",0,IF(COUNTIF($A$5:A195,A195)=1,1,0))</f>
        <v/>
      </c>
    </row>
    <row r="196">
      <c r="A196" s="20" t="n"/>
      <c r="B196" s="21" t="n"/>
      <c r="C196" s="20" t="n"/>
      <c r="D196" s="22">
        <f>IF(C196="","",INDEX(MERCADORIA!$B$5:$B$22,MATCH(C196,MERCADORIA!$A$5:$A$22,0)))</f>
        <v/>
      </c>
      <c r="E196" s="22">
        <f>IF(C196="","",INDEX(MERCADORIA!$C$5:$C$22,MATCH(C196,MERCADORIA!$A$5:$A$22,0)))</f>
        <v/>
      </c>
      <c r="F196" s="23" t="n"/>
      <c r="G196" s="24">
        <f>IF(D196="","",INDEX(VALOR!$B$5:$B$8,MATCH(D196,VALOR!$A$5:$A$8,0)))</f>
        <v/>
      </c>
      <c r="H196" s="15">
        <f>IF(OR(G196="",F196=""),0,F196*G196)</f>
        <v/>
      </c>
      <c r="I196" s="20" t="n"/>
      <c r="J196" s="20" t="n"/>
      <c r="K196" s="24">
        <f>IF(OR(O196=0,J196=""),0,INDEX(MAPA!$C$5:$C$14,MATCH(J196,MAPA!$A$5:$A$14,0)))</f>
        <v/>
      </c>
      <c r="L196" s="25">
        <f>H196+K196</f>
        <v/>
      </c>
      <c r="M196" s="20" t="n"/>
      <c r="N196" s="20" t="n"/>
      <c r="O196" s="14">
        <f>IF(A196="",0,IF(COUNTIF($A$5:A196,A196)=1,1,0))</f>
        <v/>
      </c>
    </row>
    <row r="197">
      <c r="A197" s="20" t="n"/>
      <c r="B197" s="21" t="n"/>
      <c r="C197" s="20" t="n"/>
      <c r="D197" s="22">
        <f>IF(C197="","",INDEX(MERCADORIA!$B$5:$B$22,MATCH(C197,MERCADORIA!$A$5:$A$22,0)))</f>
        <v/>
      </c>
      <c r="E197" s="22">
        <f>IF(C197="","",INDEX(MERCADORIA!$C$5:$C$22,MATCH(C197,MERCADORIA!$A$5:$A$22,0)))</f>
        <v/>
      </c>
      <c r="F197" s="23" t="n"/>
      <c r="G197" s="24">
        <f>IF(D197="","",INDEX(VALOR!$B$5:$B$8,MATCH(D197,VALOR!$A$5:$A$8,0)))</f>
        <v/>
      </c>
      <c r="H197" s="15">
        <f>IF(OR(G197="",F197=""),0,F197*G197)</f>
        <v/>
      </c>
      <c r="I197" s="20" t="n"/>
      <c r="J197" s="20" t="n"/>
      <c r="K197" s="24">
        <f>IF(OR(O197=0,J197=""),0,INDEX(MAPA!$C$5:$C$14,MATCH(J197,MAPA!$A$5:$A$14,0)))</f>
        <v/>
      </c>
      <c r="L197" s="25">
        <f>H197+K197</f>
        <v/>
      </c>
      <c r="M197" s="20" t="n"/>
      <c r="N197" s="20" t="n"/>
      <c r="O197" s="14">
        <f>IF(A197="",0,IF(COUNTIF($A$5:A197,A197)=1,1,0))</f>
        <v/>
      </c>
    </row>
    <row r="198">
      <c r="A198" s="20" t="n"/>
      <c r="B198" s="21" t="n"/>
      <c r="C198" s="20" t="n"/>
      <c r="D198" s="22">
        <f>IF(C198="","",INDEX(MERCADORIA!$B$5:$B$22,MATCH(C198,MERCADORIA!$A$5:$A$22,0)))</f>
        <v/>
      </c>
      <c r="E198" s="22">
        <f>IF(C198="","",INDEX(MERCADORIA!$C$5:$C$22,MATCH(C198,MERCADORIA!$A$5:$A$22,0)))</f>
        <v/>
      </c>
      <c r="F198" s="23" t="n"/>
      <c r="G198" s="24">
        <f>IF(D198="","",INDEX(VALOR!$B$5:$B$8,MATCH(D198,VALOR!$A$5:$A$8,0)))</f>
        <v/>
      </c>
      <c r="H198" s="15">
        <f>IF(OR(G198="",F198=""),0,F198*G198)</f>
        <v/>
      </c>
      <c r="I198" s="20" t="n"/>
      <c r="J198" s="20" t="n"/>
      <c r="K198" s="24">
        <f>IF(OR(O198=0,J198=""),0,INDEX(MAPA!$C$5:$C$14,MATCH(J198,MAPA!$A$5:$A$14,0)))</f>
        <v/>
      </c>
      <c r="L198" s="25">
        <f>H198+K198</f>
        <v/>
      </c>
      <c r="M198" s="20" t="n"/>
      <c r="N198" s="20" t="n"/>
      <c r="O198" s="14">
        <f>IF(A198="",0,IF(COUNTIF($A$5:A198,A198)=1,1,0))</f>
        <v/>
      </c>
    </row>
    <row r="199">
      <c r="A199" s="20" t="n"/>
      <c r="B199" s="21" t="n"/>
      <c r="C199" s="20" t="n"/>
      <c r="D199" s="22">
        <f>IF(C199="","",INDEX(MERCADORIA!$B$5:$B$22,MATCH(C199,MERCADORIA!$A$5:$A$22,0)))</f>
        <v/>
      </c>
      <c r="E199" s="22">
        <f>IF(C199="","",INDEX(MERCADORIA!$C$5:$C$22,MATCH(C199,MERCADORIA!$A$5:$A$22,0)))</f>
        <v/>
      </c>
      <c r="F199" s="23" t="n"/>
      <c r="G199" s="24">
        <f>IF(D199="","",INDEX(VALOR!$B$5:$B$8,MATCH(D199,VALOR!$A$5:$A$8,0)))</f>
        <v/>
      </c>
      <c r="H199" s="15">
        <f>IF(OR(G199="",F199=""),0,F199*G199)</f>
        <v/>
      </c>
      <c r="I199" s="20" t="n"/>
      <c r="J199" s="20" t="n"/>
      <c r="K199" s="24">
        <f>IF(OR(O199=0,J199=""),0,INDEX(MAPA!$C$5:$C$14,MATCH(J199,MAPA!$A$5:$A$14,0)))</f>
        <v/>
      </c>
      <c r="L199" s="25">
        <f>H199+K199</f>
        <v/>
      </c>
      <c r="M199" s="20" t="n"/>
      <c r="N199" s="20" t="n"/>
      <c r="O199" s="14">
        <f>IF(A199="",0,IF(COUNTIF($A$5:A199,A199)=1,1,0))</f>
        <v/>
      </c>
    </row>
    <row r="200">
      <c r="A200" s="20" t="n"/>
      <c r="B200" s="21" t="n"/>
      <c r="C200" s="20" t="n"/>
      <c r="D200" s="22">
        <f>IF(C200="","",INDEX(MERCADORIA!$B$5:$B$22,MATCH(C200,MERCADORIA!$A$5:$A$22,0)))</f>
        <v/>
      </c>
      <c r="E200" s="22">
        <f>IF(C200="","",INDEX(MERCADORIA!$C$5:$C$22,MATCH(C200,MERCADORIA!$A$5:$A$22,0)))</f>
        <v/>
      </c>
      <c r="F200" s="23" t="n"/>
      <c r="G200" s="24">
        <f>IF(D200="","",INDEX(VALOR!$B$5:$B$8,MATCH(D200,VALOR!$A$5:$A$8,0)))</f>
        <v/>
      </c>
      <c r="H200" s="15">
        <f>IF(OR(G200="",F200=""),0,F200*G200)</f>
        <v/>
      </c>
      <c r="I200" s="20" t="n"/>
      <c r="J200" s="20" t="n"/>
      <c r="K200" s="24">
        <f>IF(OR(O200=0,J200=""),0,INDEX(MAPA!$C$5:$C$14,MATCH(J200,MAPA!$A$5:$A$14,0)))</f>
        <v/>
      </c>
      <c r="L200" s="25">
        <f>H200+K200</f>
        <v/>
      </c>
      <c r="M200" s="20" t="n"/>
      <c r="N200" s="20" t="n"/>
      <c r="O200" s="14">
        <f>IF(A200="",0,IF(COUNTIF($A$5:A200,A200)=1,1,0))</f>
        <v/>
      </c>
    </row>
    <row r="201">
      <c r="A201" s="20" t="n"/>
      <c r="B201" s="21" t="n"/>
      <c r="C201" s="20" t="n"/>
      <c r="D201" s="22">
        <f>IF(C201="","",INDEX(MERCADORIA!$B$5:$B$22,MATCH(C201,MERCADORIA!$A$5:$A$22,0)))</f>
        <v/>
      </c>
      <c r="E201" s="22">
        <f>IF(C201="","",INDEX(MERCADORIA!$C$5:$C$22,MATCH(C201,MERCADORIA!$A$5:$A$22,0)))</f>
        <v/>
      </c>
      <c r="F201" s="23" t="n"/>
      <c r="G201" s="24">
        <f>IF(D201="","",INDEX(VALOR!$B$5:$B$8,MATCH(D201,VALOR!$A$5:$A$8,0)))</f>
        <v/>
      </c>
      <c r="H201" s="15">
        <f>IF(OR(G201="",F201=""),0,F201*G201)</f>
        <v/>
      </c>
      <c r="I201" s="20" t="n"/>
      <c r="J201" s="20" t="n"/>
      <c r="K201" s="24">
        <f>IF(OR(O201=0,J201=""),0,INDEX(MAPA!$C$5:$C$14,MATCH(J201,MAPA!$A$5:$A$14,0)))</f>
        <v/>
      </c>
      <c r="L201" s="25">
        <f>H201+K201</f>
        <v/>
      </c>
      <c r="M201" s="20" t="n"/>
      <c r="N201" s="20" t="n"/>
      <c r="O201" s="14">
        <f>IF(A201="",0,IF(COUNTIF($A$5:A201,A201)=1,1,0))</f>
        <v/>
      </c>
    </row>
    <row r="202">
      <c r="A202" s="20" t="n"/>
      <c r="B202" s="21" t="n"/>
      <c r="C202" s="20" t="n"/>
      <c r="D202" s="22">
        <f>IF(C202="","",INDEX(MERCADORIA!$B$5:$B$22,MATCH(C202,MERCADORIA!$A$5:$A$22,0)))</f>
        <v/>
      </c>
      <c r="E202" s="22">
        <f>IF(C202="","",INDEX(MERCADORIA!$C$5:$C$22,MATCH(C202,MERCADORIA!$A$5:$A$22,0)))</f>
        <v/>
      </c>
      <c r="F202" s="23" t="n"/>
      <c r="G202" s="24">
        <f>IF(D202="","",INDEX(VALOR!$B$5:$B$8,MATCH(D202,VALOR!$A$5:$A$8,0)))</f>
        <v/>
      </c>
      <c r="H202" s="15">
        <f>IF(OR(G202="",F202=""),0,F202*G202)</f>
        <v/>
      </c>
      <c r="I202" s="20" t="n"/>
      <c r="J202" s="20" t="n"/>
      <c r="K202" s="24">
        <f>IF(OR(O202=0,J202=""),0,INDEX(MAPA!$C$5:$C$14,MATCH(J202,MAPA!$A$5:$A$14,0)))</f>
        <v/>
      </c>
      <c r="L202" s="25">
        <f>H202+K202</f>
        <v/>
      </c>
      <c r="M202" s="20" t="n"/>
      <c r="N202" s="20" t="n"/>
      <c r="O202" s="14">
        <f>IF(A202="",0,IF(COUNTIF($A$5:A202,A202)=1,1,0))</f>
        <v/>
      </c>
    </row>
    <row r="203">
      <c r="A203" s="20" t="n"/>
      <c r="B203" s="21" t="n"/>
      <c r="C203" s="20" t="n"/>
      <c r="D203" s="22">
        <f>IF(C203="","",INDEX(MERCADORIA!$B$5:$B$22,MATCH(C203,MERCADORIA!$A$5:$A$22,0)))</f>
        <v/>
      </c>
      <c r="E203" s="22">
        <f>IF(C203="","",INDEX(MERCADORIA!$C$5:$C$22,MATCH(C203,MERCADORIA!$A$5:$A$22,0)))</f>
        <v/>
      </c>
      <c r="F203" s="23" t="n"/>
      <c r="G203" s="24">
        <f>IF(D203="","",INDEX(VALOR!$B$5:$B$8,MATCH(D203,VALOR!$A$5:$A$8,0)))</f>
        <v/>
      </c>
      <c r="H203" s="15">
        <f>IF(OR(G203="",F203=""),0,F203*G203)</f>
        <v/>
      </c>
      <c r="I203" s="20" t="n"/>
      <c r="J203" s="20" t="n"/>
      <c r="K203" s="24">
        <f>IF(OR(O203=0,J203=""),0,INDEX(MAPA!$C$5:$C$14,MATCH(J203,MAPA!$A$5:$A$14,0)))</f>
        <v/>
      </c>
      <c r="L203" s="25">
        <f>H203+K203</f>
        <v/>
      </c>
      <c r="M203" s="20" t="n"/>
      <c r="N203" s="20" t="n"/>
      <c r="O203" s="14">
        <f>IF(A203="",0,IF(COUNTIF($A$5:A203,A203)=1,1,0))</f>
        <v/>
      </c>
    </row>
    <row r="204">
      <c r="A204" s="20" t="n"/>
      <c r="B204" s="21" t="n"/>
      <c r="C204" s="20" t="n"/>
      <c r="D204" s="22">
        <f>IF(C204="","",INDEX(MERCADORIA!$B$5:$B$22,MATCH(C204,MERCADORIA!$A$5:$A$22,0)))</f>
        <v/>
      </c>
      <c r="E204" s="22">
        <f>IF(C204="","",INDEX(MERCADORIA!$C$5:$C$22,MATCH(C204,MERCADORIA!$A$5:$A$22,0)))</f>
        <v/>
      </c>
      <c r="F204" s="23" t="n"/>
      <c r="G204" s="24">
        <f>IF(D204="","",INDEX(VALOR!$B$5:$B$8,MATCH(D204,VALOR!$A$5:$A$8,0)))</f>
        <v/>
      </c>
      <c r="H204" s="15">
        <f>IF(OR(G204="",F204=""),0,F204*G204)</f>
        <v/>
      </c>
      <c r="I204" s="20" t="n"/>
      <c r="J204" s="20" t="n"/>
      <c r="K204" s="24">
        <f>IF(OR(O204=0,J204=""),0,INDEX(MAPA!$C$5:$C$14,MATCH(J204,MAPA!$A$5:$A$14,0)))</f>
        <v/>
      </c>
      <c r="L204" s="25">
        <f>H204+K204</f>
        <v/>
      </c>
      <c r="M204" s="20" t="n"/>
      <c r="N204" s="20" t="n"/>
      <c r="O204" s="14">
        <f>IF(A204="",0,IF(COUNTIF($A$5:A204,A204)=1,1,0))</f>
        <v/>
      </c>
    </row>
    <row r="205">
      <c r="A205" s="20" t="n"/>
      <c r="B205" s="21" t="n"/>
      <c r="C205" s="20" t="n"/>
      <c r="D205" s="22">
        <f>IF(C205="","",INDEX(MERCADORIA!$B$5:$B$22,MATCH(C205,MERCADORIA!$A$5:$A$22,0)))</f>
        <v/>
      </c>
      <c r="E205" s="22">
        <f>IF(C205="","",INDEX(MERCADORIA!$C$5:$C$22,MATCH(C205,MERCADORIA!$A$5:$A$22,0)))</f>
        <v/>
      </c>
      <c r="F205" s="23" t="n"/>
      <c r="G205" s="24">
        <f>IF(D205="","",INDEX(VALOR!$B$5:$B$8,MATCH(D205,VALOR!$A$5:$A$8,0)))</f>
        <v/>
      </c>
      <c r="H205" s="15">
        <f>IF(OR(G205="",F205=""),0,F205*G205)</f>
        <v/>
      </c>
      <c r="I205" s="20" t="n"/>
      <c r="J205" s="20" t="n"/>
      <c r="K205" s="24">
        <f>IF(OR(O205=0,J205=""),0,INDEX(MAPA!$C$5:$C$14,MATCH(J205,MAPA!$A$5:$A$14,0)))</f>
        <v/>
      </c>
      <c r="L205" s="25">
        <f>H205+K205</f>
        <v/>
      </c>
      <c r="M205" s="20" t="n"/>
      <c r="N205" s="20" t="n"/>
      <c r="O205" s="14">
        <f>IF(A205="",0,IF(COUNTIF($A$5:A205,A205)=1,1,0))</f>
        <v/>
      </c>
    </row>
    <row r="206">
      <c r="A206" s="20" t="n"/>
      <c r="B206" s="21" t="n"/>
      <c r="C206" s="20" t="n"/>
      <c r="D206" s="22">
        <f>IF(C206="","",INDEX(MERCADORIA!$B$5:$B$22,MATCH(C206,MERCADORIA!$A$5:$A$22,0)))</f>
        <v/>
      </c>
      <c r="E206" s="22">
        <f>IF(C206="","",INDEX(MERCADORIA!$C$5:$C$22,MATCH(C206,MERCADORIA!$A$5:$A$22,0)))</f>
        <v/>
      </c>
      <c r="F206" s="23" t="n"/>
      <c r="G206" s="24">
        <f>IF(D206="","",INDEX(VALOR!$B$5:$B$8,MATCH(D206,VALOR!$A$5:$A$8,0)))</f>
        <v/>
      </c>
      <c r="H206" s="15">
        <f>IF(OR(G206="",F206=""),0,F206*G206)</f>
        <v/>
      </c>
      <c r="I206" s="20" t="n"/>
      <c r="J206" s="20" t="n"/>
      <c r="K206" s="24">
        <f>IF(OR(O206=0,J206=""),0,INDEX(MAPA!$C$5:$C$14,MATCH(J206,MAPA!$A$5:$A$14,0)))</f>
        <v/>
      </c>
      <c r="L206" s="25">
        <f>H206+K206</f>
        <v/>
      </c>
      <c r="M206" s="20" t="n"/>
      <c r="N206" s="20" t="n"/>
      <c r="O206" s="14">
        <f>IF(A206="",0,IF(COUNTIF($A$5:A206,A206)=1,1,0))</f>
        <v/>
      </c>
    </row>
    <row r="207">
      <c r="A207" s="20" t="n"/>
      <c r="B207" s="21" t="n"/>
      <c r="C207" s="20" t="n"/>
      <c r="D207" s="22">
        <f>IF(C207="","",INDEX(MERCADORIA!$B$5:$B$22,MATCH(C207,MERCADORIA!$A$5:$A$22,0)))</f>
        <v/>
      </c>
      <c r="E207" s="22">
        <f>IF(C207="","",INDEX(MERCADORIA!$C$5:$C$22,MATCH(C207,MERCADORIA!$A$5:$A$22,0)))</f>
        <v/>
      </c>
      <c r="F207" s="23" t="n"/>
      <c r="G207" s="24">
        <f>IF(D207="","",INDEX(VALOR!$B$5:$B$8,MATCH(D207,VALOR!$A$5:$A$8,0)))</f>
        <v/>
      </c>
      <c r="H207" s="15">
        <f>IF(OR(G207="",F207=""),0,F207*G207)</f>
        <v/>
      </c>
      <c r="I207" s="20" t="n"/>
      <c r="J207" s="20" t="n"/>
      <c r="K207" s="24">
        <f>IF(OR(O207=0,J207=""),0,INDEX(MAPA!$C$5:$C$14,MATCH(J207,MAPA!$A$5:$A$14,0)))</f>
        <v/>
      </c>
      <c r="L207" s="25">
        <f>H207+K207</f>
        <v/>
      </c>
      <c r="M207" s="20" t="n"/>
      <c r="N207" s="20" t="n"/>
      <c r="O207" s="14">
        <f>IF(A207="",0,IF(COUNTIF($A$5:A207,A207)=1,1,0))</f>
        <v/>
      </c>
    </row>
    <row r="208">
      <c r="A208" s="20" t="n"/>
      <c r="B208" s="21" t="n"/>
      <c r="C208" s="20" t="n"/>
      <c r="D208" s="22">
        <f>IF(C208="","",INDEX(MERCADORIA!$B$5:$B$22,MATCH(C208,MERCADORIA!$A$5:$A$22,0)))</f>
        <v/>
      </c>
      <c r="E208" s="22">
        <f>IF(C208="","",INDEX(MERCADORIA!$C$5:$C$22,MATCH(C208,MERCADORIA!$A$5:$A$22,0)))</f>
        <v/>
      </c>
      <c r="F208" s="23" t="n"/>
      <c r="G208" s="24">
        <f>IF(D208="","",INDEX(VALOR!$B$5:$B$8,MATCH(D208,VALOR!$A$5:$A$8,0)))</f>
        <v/>
      </c>
      <c r="H208" s="15">
        <f>IF(OR(G208="",F208=""),0,F208*G208)</f>
        <v/>
      </c>
      <c r="I208" s="20" t="n"/>
      <c r="J208" s="20" t="n"/>
      <c r="K208" s="24">
        <f>IF(OR(O208=0,J208=""),0,INDEX(MAPA!$C$5:$C$14,MATCH(J208,MAPA!$A$5:$A$14,0)))</f>
        <v/>
      </c>
      <c r="L208" s="25">
        <f>H208+K208</f>
        <v/>
      </c>
      <c r="M208" s="20" t="n"/>
      <c r="N208" s="20" t="n"/>
      <c r="O208" s="14">
        <f>IF(A208="",0,IF(COUNTIF($A$5:A208,A208)=1,1,0))</f>
        <v/>
      </c>
    </row>
    <row r="209">
      <c r="A209" s="20" t="n"/>
      <c r="B209" s="21" t="n"/>
      <c r="C209" s="20" t="n"/>
      <c r="D209" s="22">
        <f>IF(C209="","",INDEX(MERCADORIA!$B$5:$B$22,MATCH(C209,MERCADORIA!$A$5:$A$22,0)))</f>
        <v/>
      </c>
      <c r="E209" s="22">
        <f>IF(C209="","",INDEX(MERCADORIA!$C$5:$C$22,MATCH(C209,MERCADORIA!$A$5:$A$22,0)))</f>
        <v/>
      </c>
      <c r="F209" s="23" t="n"/>
      <c r="G209" s="24">
        <f>IF(D209="","",INDEX(VALOR!$B$5:$B$8,MATCH(D209,VALOR!$A$5:$A$8,0)))</f>
        <v/>
      </c>
      <c r="H209" s="15">
        <f>IF(OR(G209="",F209=""),0,F209*G209)</f>
        <v/>
      </c>
      <c r="I209" s="20" t="n"/>
      <c r="J209" s="20" t="n"/>
      <c r="K209" s="24">
        <f>IF(OR(O209=0,J209=""),0,INDEX(MAPA!$C$5:$C$14,MATCH(J209,MAPA!$A$5:$A$14,0)))</f>
        <v/>
      </c>
      <c r="L209" s="25">
        <f>H209+K209</f>
        <v/>
      </c>
      <c r="M209" s="20" t="n"/>
      <c r="N209" s="20" t="n"/>
      <c r="O209" s="14">
        <f>IF(A209="",0,IF(COUNTIF($A$5:A209,A209)=1,1,0))</f>
        <v/>
      </c>
    </row>
    <row r="210">
      <c r="A210" s="20" t="n"/>
      <c r="B210" s="21" t="n"/>
      <c r="C210" s="20" t="n"/>
      <c r="D210" s="22">
        <f>IF(C210="","",INDEX(MERCADORIA!$B$5:$B$22,MATCH(C210,MERCADORIA!$A$5:$A$22,0)))</f>
        <v/>
      </c>
      <c r="E210" s="22">
        <f>IF(C210="","",INDEX(MERCADORIA!$C$5:$C$22,MATCH(C210,MERCADORIA!$A$5:$A$22,0)))</f>
        <v/>
      </c>
      <c r="F210" s="23" t="n"/>
      <c r="G210" s="24">
        <f>IF(D210="","",INDEX(VALOR!$B$5:$B$8,MATCH(D210,VALOR!$A$5:$A$8,0)))</f>
        <v/>
      </c>
      <c r="H210" s="15">
        <f>IF(OR(G210="",F210=""),0,F210*G210)</f>
        <v/>
      </c>
      <c r="I210" s="20" t="n"/>
      <c r="J210" s="20" t="n"/>
      <c r="K210" s="24">
        <f>IF(OR(O210=0,J210=""),0,INDEX(MAPA!$C$5:$C$14,MATCH(J210,MAPA!$A$5:$A$14,0)))</f>
        <v/>
      </c>
      <c r="L210" s="25">
        <f>H210+K210</f>
        <v/>
      </c>
      <c r="M210" s="20" t="n"/>
      <c r="N210" s="20" t="n"/>
      <c r="O210" s="14">
        <f>IF(A210="",0,IF(COUNTIF($A$5:A210,A210)=1,1,0))</f>
        <v/>
      </c>
    </row>
    <row r="211">
      <c r="A211" s="20" t="n"/>
      <c r="B211" s="21" t="n"/>
      <c r="C211" s="20" t="n"/>
      <c r="D211" s="22">
        <f>IF(C211="","",INDEX(MERCADORIA!$B$5:$B$22,MATCH(C211,MERCADORIA!$A$5:$A$22,0)))</f>
        <v/>
      </c>
      <c r="E211" s="22">
        <f>IF(C211="","",INDEX(MERCADORIA!$C$5:$C$22,MATCH(C211,MERCADORIA!$A$5:$A$22,0)))</f>
        <v/>
      </c>
      <c r="F211" s="23" t="n"/>
      <c r="G211" s="24">
        <f>IF(D211="","",INDEX(VALOR!$B$5:$B$8,MATCH(D211,VALOR!$A$5:$A$8,0)))</f>
        <v/>
      </c>
      <c r="H211" s="15">
        <f>IF(OR(G211="",F211=""),0,F211*G211)</f>
        <v/>
      </c>
      <c r="I211" s="20" t="n"/>
      <c r="J211" s="20" t="n"/>
      <c r="K211" s="24">
        <f>IF(OR(O211=0,J211=""),0,INDEX(MAPA!$C$5:$C$14,MATCH(J211,MAPA!$A$5:$A$14,0)))</f>
        <v/>
      </c>
      <c r="L211" s="25">
        <f>H211+K211</f>
        <v/>
      </c>
      <c r="M211" s="20" t="n"/>
      <c r="N211" s="20" t="n"/>
      <c r="O211" s="14">
        <f>IF(A211="",0,IF(COUNTIF($A$5:A211,A211)=1,1,0))</f>
        <v/>
      </c>
    </row>
    <row r="212">
      <c r="A212" s="20" t="n"/>
      <c r="B212" s="21" t="n"/>
      <c r="C212" s="20" t="n"/>
      <c r="D212" s="22">
        <f>IF(C212="","",INDEX(MERCADORIA!$B$5:$B$22,MATCH(C212,MERCADORIA!$A$5:$A$22,0)))</f>
        <v/>
      </c>
      <c r="E212" s="22">
        <f>IF(C212="","",INDEX(MERCADORIA!$C$5:$C$22,MATCH(C212,MERCADORIA!$A$5:$A$22,0)))</f>
        <v/>
      </c>
      <c r="F212" s="23" t="n"/>
      <c r="G212" s="24">
        <f>IF(D212="","",INDEX(VALOR!$B$5:$B$8,MATCH(D212,VALOR!$A$5:$A$8,0)))</f>
        <v/>
      </c>
      <c r="H212" s="15">
        <f>IF(OR(G212="",F212=""),0,F212*G212)</f>
        <v/>
      </c>
      <c r="I212" s="20" t="n"/>
      <c r="J212" s="20" t="n"/>
      <c r="K212" s="24">
        <f>IF(OR(O212=0,J212=""),0,INDEX(MAPA!$C$5:$C$14,MATCH(J212,MAPA!$A$5:$A$14,0)))</f>
        <v/>
      </c>
      <c r="L212" s="25">
        <f>H212+K212</f>
        <v/>
      </c>
      <c r="M212" s="20" t="n"/>
      <c r="N212" s="20" t="n"/>
      <c r="O212" s="14">
        <f>IF(A212="",0,IF(COUNTIF($A$5:A212,A212)=1,1,0))</f>
        <v/>
      </c>
    </row>
    <row r="213">
      <c r="A213" s="20" t="n"/>
      <c r="B213" s="21" t="n"/>
      <c r="C213" s="20" t="n"/>
      <c r="D213" s="22">
        <f>IF(C213="","",INDEX(MERCADORIA!$B$5:$B$22,MATCH(C213,MERCADORIA!$A$5:$A$22,0)))</f>
        <v/>
      </c>
      <c r="E213" s="22">
        <f>IF(C213="","",INDEX(MERCADORIA!$C$5:$C$22,MATCH(C213,MERCADORIA!$A$5:$A$22,0)))</f>
        <v/>
      </c>
      <c r="F213" s="23" t="n"/>
      <c r="G213" s="24">
        <f>IF(D213="","",INDEX(VALOR!$B$5:$B$8,MATCH(D213,VALOR!$A$5:$A$8,0)))</f>
        <v/>
      </c>
      <c r="H213" s="15">
        <f>IF(OR(G213="",F213=""),0,F213*G213)</f>
        <v/>
      </c>
      <c r="I213" s="20" t="n"/>
      <c r="J213" s="20" t="n"/>
      <c r="K213" s="24">
        <f>IF(OR(O213=0,J213=""),0,INDEX(MAPA!$C$5:$C$14,MATCH(J213,MAPA!$A$5:$A$14,0)))</f>
        <v/>
      </c>
      <c r="L213" s="25">
        <f>H213+K213</f>
        <v/>
      </c>
      <c r="M213" s="20" t="n"/>
      <c r="N213" s="20" t="n"/>
      <c r="O213" s="14">
        <f>IF(A213="",0,IF(COUNTIF($A$5:A213,A213)=1,1,0))</f>
        <v/>
      </c>
    </row>
    <row r="214">
      <c r="A214" s="20" t="n"/>
      <c r="B214" s="21" t="n"/>
      <c r="C214" s="20" t="n"/>
      <c r="D214" s="22">
        <f>IF(C214="","",INDEX(MERCADORIA!$B$5:$B$22,MATCH(C214,MERCADORIA!$A$5:$A$22,0)))</f>
        <v/>
      </c>
      <c r="E214" s="22">
        <f>IF(C214="","",INDEX(MERCADORIA!$C$5:$C$22,MATCH(C214,MERCADORIA!$A$5:$A$22,0)))</f>
        <v/>
      </c>
      <c r="F214" s="23" t="n"/>
      <c r="G214" s="24">
        <f>IF(D214="","",INDEX(VALOR!$B$5:$B$8,MATCH(D214,VALOR!$A$5:$A$8,0)))</f>
        <v/>
      </c>
      <c r="H214" s="15">
        <f>IF(OR(G214="",F214=""),0,F214*G214)</f>
        <v/>
      </c>
      <c r="I214" s="20" t="n"/>
      <c r="J214" s="20" t="n"/>
      <c r="K214" s="24">
        <f>IF(OR(O214=0,J214=""),0,INDEX(MAPA!$C$5:$C$14,MATCH(J214,MAPA!$A$5:$A$14,0)))</f>
        <v/>
      </c>
      <c r="L214" s="25">
        <f>H214+K214</f>
        <v/>
      </c>
      <c r="M214" s="20" t="n"/>
      <c r="N214" s="20" t="n"/>
      <c r="O214" s="14">
        <f>IF(A214="",0,IF(COUNTIF($A$5:A214,A214)=1,1,0))</f>
        <v/>
      </c>
    </row>
    <row r="215">
      <c r="A215" s="20" t="n"/>
      <c r="B215" s="21" t="n"/>
      <c r="C215" s="20" t="n"/>
      <c r="D215" s="22">
        <f>IF(C215="","",INDEX(MERCADORIA!$B$5:$B$22,MATCH(C215,MERCADORIA!$A$5:$A$22,0)))</f>
        <v/>
      </c>
      <c r="E215" s="22">
        <f>IF(C215="","",INDEX(MERCADORIA!$C$5:$C$22,MATCH(C215,MERCADORIA!$A$5:$A$22,0)))</f>
        <v/>
      </c>
      <c r="F215" s="23" t="n"/>
      <c r="G215" s="24">
        <f>IF(D215="","",INDEX(VALOR!$B$5:$B$8,MATCH(D215,VALOR!$A$5:$A$8,0)))</f>
        <v/>
      </c>
      <c r="H215" s="15">
        <f>IF(OR(G215="",F215=""),0,F215*G215)</f>
        <v/>
      </c>
      <c r="I215" s="20" t="n"/>
      <c r="J215" s="20" t="n"/>
      <c r="K215" s="24">
        <f>IF(OR(O215=0,J215=""),0,INDEX(MAPA!$C$5:$C$14,MATCH(J215,MAPA!$A$5:$A$14,0)))</f>
        <v/>
      </c>
      <c r="L215" s="25">
        <f>H215+K215</f>
        <v/>
      </c>
      <c r="M215" s="20" t="n"/>
      <c r="N215" s="20" t="n"/>
      <c r="O215" s="14">
        <f>IF(A215="",0,IF(COUNTIF($A$5:A215,A215)=1,1,0))</f>
        <v/>
      </c>
    </row>
    <row r="216">
      <c r="A216" s="20" t="n"/>
      <c r="B216" s="21" t="n"/>
      <c r="C216" s="20" t="n"/>
      <c r="D216" s="22">
        <f>IF(C216="","",INDEX(MERCADORIA!$B$5:$B$22,MATCH(C216,MERCADORIA!$A$5:$A$22,0)))</f>
        <v/>
      </c>
      <c r="E216" s="22">
        <f>IF(C216="","",INDEX(MERCADORIA!$C$5:$C$22,MATCH(C216,MERCADORIA!$A$5:$A$22,0)))</f>
        <v/>
      </c>
      <c r="F216" s="23" t="n"/>
      <c r="G216" s="24">
        <f>IF(D216="","",INDEX(VALOR!$B$5:$B$8,MATCH(D216,VALOR!$A$5:$A$8,0)))</f>
        <v/>
      </c>
      <c r="H216" s="15">
        <f>IF(OR(G216="",F216=""),0,F216*G216)</f>
        <v/>
      </c>
      <c r="I216" s="20" t="n"/>
      <c r="J216" s="20" t="n"/>
      <c r="K216" s="24">
        <f>IF(OR(O216=0,J216=""),0,INDEX(MAPA!$C$5:$C$14,MATCH(J216,MAPA!$A$5:$A$14,0)))</f>
        <v/>
      </c>
      <c r="L216" s="25">
        <f>H216+K216</f>
        <v/>
      </c>
      <c r="M216" s="20" t="n"/>
      <c r="N216" s="20" t="n"/>
      <c r="O216" s="14">
        <f>IF(A216="",0,IF(COUNTIF($A$5:A216,A216)=1,1,0))</f>
        <v/>
      </c>
    </row>
    <row r="217">
      <c r="A217" s="20" t="n"/>
      <c r="B217" s="21" t="n"/>
      <c r="C217" s="20" t="n"/>
      <c r="D217" s="22">
        <f>IF(C217="","",INDEX(MERCADORIA!$B$5:$B$22,MATCH(C217,MERCADORIA!$A$5:$A$22,0)))</f>
        <v/>
      </c>
      <c r="E217" s="22">
        <f>IF(C217="","",INDEX(MERCADORIA!$C$5:$C$22,MATCH(C217,MERCADORIA!$A$5:$A$22,0)))</f>
        <v/>
      </c>
      <c r="F217" s="23" t="n"/>
      <c r="G217" s="24">
        <f>IF(D217="","",INDEX(VALOR!$B$5:$B$8,MATCH(D217,VALOR!$A$5:$A$8,0)))</f>
        <v/>
      </c>
      <c r="H217" s="15">
        <f>IF(OR(G217="",F217=""),0,F217*G217)</f>
        <v/>
      </c>
      <c r="I217" s="20" t="n"/>
      <c r="J217" s="20" t="n"/>
      <c r="K217" s="24">
        <f>IF(OR(O217=0,J217=""),0,INDEX(MAPA!$C$5:$C$14,MATCH(J217,MAPA!$A$5:$A$14,0)))</f>
        <v/>
      </c>
      <c r="L217" s="25">
        <f>H217+K217</f>
        <v/>
      </c>
      <c r="M217" s="20" t="n"/>
      <c r="N217" s="20" t="n"/>
      <c r="O217" s="14">
        <f>IF(A217="",0,IF(COUNTIF($A$5:A217,A217)=1,1,0))</f>
        <v/>
      </c>
    </row>
    <row r="218">
      <c r="A218" s="20" t="n"/>
      <c r="B218" s="21" t="n"/>
      <c r="C218" s="20" t="n"/>
      <c r="D218" s="22">
        <f>IF(C218="","",INDEX(MERCADORIA!$B$5:$B$22,MATCH(C218,MERCADORIA!$A$5:$A$22,0)))</f>
        <v/>
      </c>
      <c r="E218" s="22">
        <f>IF(C218="","",INDEX(MERCADORIA!$C$5:$C$22,MATCH(C218,MERCADORIA!$A$5:$A$22,0)))</f>
        <v/>
      </c>
      <c r="F218" s="23" t="n"/>
      <c r="G218" s="24">
        <f>IF(D218="","",INDEX(VALOR!$B$5:$B$8,MATCH(D218,VALOR!$A$5:$A$8,0)))</f>
        <v/>
      </c>
      <c r="H218" s="15">
        <f>IF(OR(G218="",F218=""),0,F218*G218)</f>
        <v/>
      </c>
      <c r="I218" s="20" t="n"/>
      <c r="J218" s="20" t="n"/>
      <c r="K218" s="24">
        <f>IF(OR(O218=0,J218=""),0,INDEX(MAPA!$C$5:$C$14,MATCH(J218,MAPA!$A$5:$A$14,0)))</f>
        <v/>
      </c>
      <c r="L218" s="25">
        <f>H218+K218</f>
        <v/>
      </c>
      <c r="M218" s="20" t="n"/>
      <c r="N218" s="20" t="n"/>
      <c r="O218" s="14">
        <f>IF(A218="",0,IF(COUNTIF($A$5:A218,A218)=1,1,0))</f>
        <v/>
      </c>
    </row>
    <row r="219">
      <c r="A219" s="20" t="n"/>
      <c r="B219" s="21" t="n"/>
      <c r="C219" s="20" t="n"/>
      <c r="D219" s="22">
        <f>IF(C219="","",INDEX(MERCADORIA!$B$5:$B$22,MATCH(C219,MERCADORIA!$A$5:$A$22,0)))</f>
        <v/>
      </c>
      <c r="E219" s="22">
        <f>IF(C219="","",INDEX(MERCADORIA!$C$5:$C$22,MATCH(C219,MERCADORIA!$A$5:$A$22,0)))</f>
        <v/>
      </c>
      <c r="F219" s="23" t="n"/>
      <c r="G219" s="24">
        <f>IF(D219="","",INDEX(VALOR!$B$5:$B$8,MATCH(D219,VALOR!$A$5:$A$8,0)))</f>
        <v/>
      </c>
      <c r="H219" s="15">
        <f>IF(OR(G219="",F219=""),0,F219*G219)</f>
        <v/>
      </c>
      <c r="I219" s="20" t="n"/>
      <c r="J219" s="20" t="n"/>
      <c r="K219" s="24">
        <f>IF(OR(O219=0,J219=""),0,INDEX(MAPA!$C$5:$C$14,MATCH(J219,MAPA!$A$5:$A$14,0)))</f>
        <v/>
      </c>
      <c r="L219" s="25">
        <f>H219+K219</f>
        <v/>
      </c>
      <c r="M219" s="20" t="n"/>
      <c r="N219" s="20" t="n"/>
      <c r="O219" s="14">
        <f>IF(A219="",0,IF(COUNTIF($A$5:A219,A219)=1,1,0))</f>
        <v/>
      </c>
    </row>
    <row r="220">
      <c r="A220" s="20" t="n"/>
      <c r="B220" s="21" t="n"/>
      <c r="C220" s="20" t="n"/>
      <c r="D220" s="22">
        <f>IF(C220="","",INDEX(MERCADORIA!$B$5:$B$22,MATCH(C220,MERCADORIA!$A$5:$A$22,0)))</f>
        <v/>
      </c>
      <c r="E220" s="22">
        <f>IF(C220="","",INDEX(MERCADORIA!$C$5:$C$22,MATCH(C220,MERCADORIA!$A$5:$A$22,0)))</f>
        <v/>
      </c>
      <c r="F220" s="23" t="n"/>
      <c r="G220" s="24">
        <f>IF(D220="","",INDEX(VALOR!$B$5:$B$8,MATCH(D220,VALOR!$A$5:$A$8,0)))</f>
        <v/>
      </c>
      <c r="H220" s="15">
        <f>IF(OR(G220="",F220=""),0,F220*G220)</f>
        <v/>
      </c>
      <c r="I220" s="20" t="n"/>
      <c r="J220" s="20" t="n"/>
      <c r="K220" s="24">
        <f>IF(OR(O220=0,J220=""),0,INDEX(MAPA!$C$5:$C$14,MATCH(J220,MAPA!$A$5:$A$14,0)))</f>
        <v/>
      </c>
      <c r="L220" s="25">
        <f>H220+K220</f>
        <v/>
      </c>
      <c r="M220" s="20" t="n"/>
      <c r="N220" s="20" t="n"/>
      <c r="O220" s="14">
        <f>IF(A220="",0,IF(COUNTIF($A$5:A220,A220)=1,1,0))</f>
        <v/>
      </c>
    </row>
    <row r="221">
      <c r="A221" s="20" t="n"/>
      <c r="B221" s="21" t="n"/>
      <c r="C221" s="20" t="n"/>
      <c r="D221" s="22">
        <f>IF(C221="","",INDEX(MERCADORIA!$B$5:$B$22,MATCH(C221,MERCADORIA!$A$5:$A$22,0)))</f>
        <v/>
      </c>
      <c r="E221" s="22">
        <f>IF(C221="","",INDEX(MERCADORIA!$C$5:$C$22,MATCH(C221,MERCADORIA!$A$5:$A$22,0)))</f>
        <v/>
      </c>
      <c r="F221" s="23" t="n"/>
      <c r="G221" s="24">
        <f>IF(D221="","",INDEX(VALOR!$B$5:$B$8,MATCH(D221,VALOR!$A$5:$A$8,0)))</f>
        <v/>
      </c>
      <c r="H221" s="15">
        <f>IF(OR(G221="",F221=""),0,F221*G221)</f>
        <v/>
      </c>
      <c r="I221" s="20" t="n"/>
      <c r="J221" s="20" t="n"/>
      <c r="K221" s="24">
        <f>IF(OR(O221=0,J221=""),0,INDEX(MAPA!$C$5:$C$14,MATCH(J221,MAPA!$A$5:$A$14,0)))</f>
        <v/>
      </c>
      <c r="L221" s="25">
        <f>H221+K221</f>
        <v/>
      </c>
      <c r="M221" s="20" t="n"/>
      <c r="N221" s="20" t="n"/>
      <c r="O221" s="14">
        <f>IF(A221="",0,IF(COUNTIF($A$5:A221,A221)=1,1,0))</f>
        <v/>
      </c>
    </row>
    <row r="222">
      <c r="A222" s="20" t="n"/>
      <c r="B222" s="21" t="n"/>
      <c r="C222" s="20" t="n"/>
      <c r="D222" s="22">
        <f>IF(C222="","",INDEX(MERCADORIA!$B$5:$B$22,MATCH(C222,MERCADORIA!$A$5:$A$22,0)))</f>
        <v/>
      </c>
      <c r="E222" s="22">
        <f>IF(C222="","",INDEX(MERCADORIA!$C$5:$C$22,MATCH(C222,MERCADORIA!$A$5:$A$22,0)))</f>
        <v/>
      </c>
      <c r="F222" s="23" t="n"/>
      <c r="G222" s="24">
        <f>IF(D222="","",INDEX(VALOR!$B$5:$B$8,MATCH(D222,VALOR!$A$5:$A$8,0)))</f>
        <v/>
      </c>
      <c r="H222" s="15">
        <f>IF(OR(G222="",F222=""),0,F222*G222)</f>
        <v/>
      </c>
      <c r="I222" s="20" t="n"/>
      <c r="J222" s="20" t="n"/>
      <c r="K222" s="24">
        <f>IF(OR(O222=0,J222=""),0,INDEX(MAPA!$C$5:$C$14,MATCH(J222,MAPA!$A$5:$A$14,0)))</f>
        <v/>
      </c>
      <c r="L222" s="25">
        <f>H222+K222</f>
        <v/>
      </c>
      <c r="M222" s="20" t="n"/>
      <c r="N222" s="20" t="n"/>
      <c r="O222" s="14">
        <f>IF(A222="",0,IF(COUNTIF($A$5:A222,A222)=1,1,0))</f>
        <v/>
      </c>
    </row>
    <row r="223">
      <c r="A223" s="20" t="n"/>
      <c r="B223" s="21" t="n"/>
      <c r="C223" s="20" t="n"/>
      <c r="D223" s="22">
        <f>IF(C223="","",INDEX(MERCADORIA!$B$5:$B$22,MATCH(C223,MERCADORIA!$A$5:$A$22,0)))</f>
        <v/>
      </c>
      <c r="E223" s="22">
        <f>IF(C223="","",INDEX(MERCADORIA!$C$5:$C$22,MATCH(C223,MERCADORIA!$A$5:$A$22,0)))</f>
        <v/>
      </c>
      <c r="F223" s="23" t="n"/>
      <c r="G223" s="24">
        <f>IF(D223="","",INDEX(VALOR!$B$5:$B$8,MATCH(D223,VALOR!$A$5:$A$8,0)))</f>
        <v/>
      </c>
      <c r="H223" s="15">
        <f>IF(OR(G223="",F223=""),0,F223*G223)</f>
        <v/>
      </c>
      <c r="I223" s="20" t="n"/>
      <c r="J223" s="20" t="n"/>
      <c r="K223" s="24">
        <f>IF(OR(O223=0,J223=""),0,INDEX(MAPA!$C$5:$C$14,MATCH(J223,MAPA!$A$5:$A$14,0)))</f>
        <v/>
      </c>
      <c r="L223" s="25">
        <f>H223+K223</f>
        <v/>
      </c>
      <c r="M223" s="20" t="n"/>
      <c r="N223" s="20" t="n"/>
      <c r="O223" s="14">
        <f>IF(A223="",0,IF(COUNTIF($A$5:A223,A223)=1,1,0))</f>
        <v/>
      </c>
    </row>
    <row r="224">
      <c r="A224" s="20" t="n"/>
      <c r="B224" s="21" t="n"/>
      <c r="C224" s="20" t="n"/>
      <c r="D224" s="22">
        <f>IF(C224="","",INDEX(MERCADORIA!$B$5:$B$22,MATCH(C224,MERCADORIA!$A$5:$A$22,0)))</f>
        <v/>
      </c>
      <c r="E224" s="22">
        <f>IF(C224="","",INDEX(MERCADORIA!$C$5:$C$22,MATCH(C224,MERCADORIA!$A$5:$A$22,0)))</f>
        <v/>
      </c>
      <c r="F224" s="23" t="n"/>
      <c r="G224" s="24">
        <f>IF(D224="","",INDEX(VALOR!$B$5:$B$8,MATCH(D224,VALOR!$A$5:$A$8,0)))</f>
        <v/>
      </c>
      <c r="H224" s="15">
        <f>IF(OR(G224="",F224=""),0,F224*G224)</f>
        <v/>
      </c>
      <c r="I224" s="20" t="n"/>
      <c r="J224" s="20" t="n"/>
      <c r="K224" s="24">
        <f>IF(OR(O224=0,J224=""),0,INDEX(MAPA!$C$5:$C$14,MATCH(J224,MAPA!$A$5:$A$14,0)))</f>
        <v/>
      </c>
      <c r="L224" s="25">
        <f>H224+K224</f>
        <v/>
      </c>
      <c r="M224" s="20" t="n"/>
      <c r="N224" s="20" t="n"/>
      <c r="O224" s="14">
        <f>IF(A224="",0,IF(COUNTIF($A$5:A224,A224)=1,1,0))</f>
        <v/>
      </c>
    </row>
    <row r="225">
      <c r="A225" s="20" t="n"/>
      <c r="B225" s="21" t="n"/>
      <c r="C225" s="20" t="n"/>
      <c r="D225" s="22">
        <f>IF(C225="","",INDEX(MERCADORIA!$B$5:$B$22,MATCH(C225,MERCADORIA!$A$5:$A$22,0)))</f>
        <v/>
      </c>
      <c r="E225" s="22">
        <f>IF(C225="","",INDEX(MERCADORIA!$C$5:$C$22,MATCH(C225,MERCADORIA!$A$5:$A$22,0)))</f>
        <v/>
      </c>
      <c r="F225" s="23" t="n"/>
      <c r="G225" s="24">
        <f>IF(D225="","",INDEX(VALOR!$B$5:$B$8,MATCH(D225,VALOR!$A$5:$A$8,0)))</f>
        <v/>
      </c>
      <c r="H225" s="15">
        <f>IF(OR(G225="",F225=""),0,F225*G225)</f>
        <v/>
      </c>
      <c r="I225" s="20" t="n"/>
      <c r="J225" s="20" t="n"/>
      <c r="K225" s="24">
        <f>IF(OR(O225=0,J225=""),0,INDEX(MAPA!$C$5:$C$14,MATCH(J225,MAPA!$A$5:$A$14,0)))</f>
        <v/>
      </c>
      <c r="L225" s="25">
        <f>H225+K225</f>
        <v/>
      </c>
      <c r="M225" s="20" t="n"/>
      <c r="N225" s="20" t="n"/>
      <c r="O225" s="14">
        <f>IF(A225="",0,IF(COUNTIF($A$5:A225,A225)=1,1,0))</f>
        <v/>
      </c>
    </row>
    <row r="226">
      <c r="A226" s="20" t="n"/>
      <c r="B226" s="21" t="n"/>
      <c r="C226" s="20" t="n"/>
      <c r="D226" s="22">
        <f>IF(C226="","",INDEX(MERCADORIA!$B$5:$B$22,MATCH(C226,MERCADORIA!$A$5:$A$22,0)))</f>
        <v/>
      </c>
      <c r="E226" s="22">
        <f>IF(C226="","",INDEX(MERCADORIA!$C$5:$C$22,MATCH(C226,MERCADORIA!$A$5:$A$22,0)))</f>
        <v/>
      </c>
      <c r="F226" s="23" t="n"/>
      <c r="G226" s="24">
        <f>IF(D226="","",INDEX(VALOR!$B$5:$B$8,MATCH(D226,VALOR!$A$5:$A$8,0)))</f>
        <v/>
      </c>
      <c r="H226" s="15">
        <f>IF(OR(G226="",F226=""),0,F226*G226)</f>
        <v/>
      </c>
      <c r="I226" s="20" t="n"/>
      <c r="J226" s="20" t="n"/>
      <c r="K226" s="24">
        <f>IF(OR(O226=0,J226=""),0,INDEX(MAPA!$C$5:$C$14,MATCH(J226,MAPA!$A$5:$A$14,0)))</f>
        <v/>
      </c>
      <c r="L226" s="25">
        <f>H226+K226</f>
        <v/>
      </c>
      <c r="M226" s="20" t="n"/>
      <c r="N226" s="20" t="n"/>
      <c r="O226" s="14">
        <f>IF(A226="",0,IF(COUNTIF($A$5:A226,A226)=1,1,0))</f>
        <v/>
      </c>
    </row>
    <row r="227">
      <c r="A227" s="20" t="n"/>
      <c r="B227" s="21" t="n"/>
      <c r="C227" s="20" t="n"/>
      <c r="D227" s="22">
        <f>IF(C227="","",INDEX(MERCADORIA!$B$5:$B$22,MATCH(C227,MERCADORIA!$A$5:$A$22,0)))</f>
        <v/>
      </c>
      <c r="E227" s="22">
        <f>IF(C227="","",INDEX(MERCADORIA!$C$5:$C$22,MATCH(C227,MERCADORIA!$A$5:$A$22,0)))</f>
        <v/>
      </c>
      <c r="F227" s="23" t="n"/>
      <c r="G227" s="24">
        <f>IF(D227="","",INDEX(VALOR!$B$5:$B$8,MATCH(D227,VALOR!$A$5:$A$8,0)))</f>
        <v/>
      </c>
      <c r="H227" s="15">
        <f>IF(OR(G227="",F227=""),0,F227*G227)</f>
        <v/>
      </c>
      <c r="I227" s="20" t="n"/>
      <c r="J227" s="20" t="n"/>
      <c r="K227" s="24">
        <f>IF(OR(O227=0,J227=""),0,INDEX(MAPA!$C$5:$C$14,MATCH(J227,MAPA!$A$5:$A$14,0)))</f>
        <v/>
      </c>
      <c r="L227" s="25">
        <f>H227+K227</f>
        <v/>
      </c>
      <c r="M227" s="20" t="n"/>
      <c r="N227" s="20" t="n"/>
      <c r="O227" s="14">
        <f>IF(A227="",0,IF(COUNTIF($A$5:A227,A227)=1,1,0))</f>
        <v/>
      </c>
    </row>
    <row r="228">
      <c r="A228" s="20" t="n"/>
      <c r="B228" s="21" t="n"/>
      <c r="C228" s="20" t="n"/>
      <c r="D228" s="22">
        <f>IF(C228="","",INDEX(MERCADORIA!$B$5:$B$22,MATCH(C228,MERCADORIA!$A$5:$A$22,0)))</f>
        <v/>
      </c>
      <c r="E228" s="22">
        <f>IF(C228="","",INDEX(MERCADORIA!$C$5:$C$22,MATCH(C228,MERCADORIA!$A$5:$A$22,0)))</f>
        <v/>
      </c>
      <c r="F228" s="23" t="n"/>
      <c r="G228" s="24">
        <f>IF(D228="","",INDEX(VALOR!$B$5:$B$8,MATCH(D228,VALOR!$A$5:$A$8,0)))</f>
        <v/>
      </c>
      <c r="H228" s="15">
        <f>IF(OR(G228="",F228=""),0,F228*G228)</f>
        <v/>
      </c>
      <c r="I228" s="20" t="n"/>
      <c r="J228" s="20" t="n"/>
      <c r="K228" s="24">
        <f>IF(OR(O228=0,J228=""),0,INDEX(MAPA!$C$5:$C$14,MATCH(J228,MAPA!$A$5:$A$14,0)))</f>
        <v/>
      </c>
      <c r="L228" s="25">
        <f>H228+K228</f>
        <v/>
      </c>
      <c r="M228" s="20" t="n"/>
      <c r="N228" s="20" t="n"/>
      <c r="O228" s="14">
        <f>IF(A228="",0,IF(COUNTIF($A$5:A228,A228)=1,1,0))</f>
        <v/>
      </c>
    </row>
    <row r="229">
      <c r="A229" s="20" t="n"/>
      <c r="B229" s="21" t="n"/>
      <c r="C229" s="20" t="n"/>
      <c r="D229" s="22">
        <f>IF(C229="","",INDEX(MERCADORIA!$B$5:$B$22,MATCH(C229,MERCADORIA!$A$5:$A$22,0)))</f>
        <v/>
      </c>
      <c r="E229" s="22">
        <f>IF(C229="","",INDEX(MERCADORIA!$C$5:$C$22,MATCH(C229,MERCADORIA!$A$5:$A$22,0)))</f>
        <v/>
      </c>
      <c r="F229" s="23" t="n"/>
      <c r="G229" s="24">
        <f>IF(D229="","",INDEX(VALOR!$B$5:$B$8,MATCH(D229,VALOR!$A$5:$A$8,0)))</f>
        <v/>
      </c>
      <c r="H229" s="15">
        <f>IF(OR(G229="",F229=""),0,F229*G229)</f>
        <v/>
      </c>
      <c r="I229" s="20" t="n"/>
      <c r="J229" s="20" t="n"/>
      <c r="K229" s="24">
        <f>IF(OR(O229=0,J229=""),0,INDEX(MAPA!$C$5:$C$14,MATCH(J229,MAPA!$A$5:$A$14,0)))</f>
        <v/>
      </c>
      <c r="L229" s="25">
        <f>H229+K229</f>
        <v/>
      </c>
      <c r="M229" s="20" t="n"/>
      <c r="N229" s="20" t="n"/>
      <c r="O229" s="14">
        <f>IF(A229="",0,IF(COUNTIF($A$5:A229,A229)=1,1,0))</f>
        <v/>
      </c>
    </row>
    <row r="230">
      <c r="A230" s="20" t="n"/>
      <c r="B230" s="21" t="n"/>
      <c r="C230" s="20" t="n"/>
      <c r="D230" s="22">
        <f>IF(C230="","",INDEX(MERCADORIA!$B$5:$B$22,MATCH(C230,MERCADORIA!$A$5:$A$22,0)))</f>
        <v/>
      </c>
      <c r="E230" s="22">
        <f>IF(C230="","",INDEX(MERCADORIA!$C$5:$C$22,MATCH(C230,MERCADORIA!$A$5:$A$22,0)))</f>
        <v/>
      </c>
      <c r="F230" s="23" t="n"/>
      <c r="G230" s="24">
        <f>IF(D230="","",INDEX(VALOR!$B$5:$B$8,MATCH(D230,VALOR!$A$5:$A$8,0)))</f>
        <v/>
      </c>
      <c r="H230" s="15">
        <f>IF(OR(G230="",F230=""),0,F230*G230)</f>
        <v/>
      </c>
      <c r="I230" s="20" t="n"/>
      <c r="J230" s="20" t="n"/>
      <c r="K230" s="24">
        <f>IF(OR(O230=0,J230=""),0,INDEX(MAPA!$C$5:$C$14,MATCH(J230,MAPA!$A$5:$A$14,0)))</f>
        <v/>
      </c>
      <c r="L230" s="25">
        <f>H230+K230</f>
        <v/>
      </c>
      <c r="M230" s="20" t="n"/>
      <c r="N230" s="20" t="n"/>
      <c r="O230" s="14">
        <f>IF(A230="",0,IF(COUNTIF($A$5:A230,A230)=1,1,0))</f>
        <v/>
      </c>
    </row>
    <row r="231">
      <c r="A231" s="20" t="n"/>
      <c r="B231" s="21" t="n"/>
      <c r="C231" s="20" t="n"/>
      <c r="D231" s="22">
        <f>IF(C231="","",INDEX(MERCADORIA!$B$5:$B$22,MATCH(C231,MERCADORIA!$A$5:$A$22,0)))</f>
        <v/>
      </c>
      <c r="E231" s="22">
        <f>IF(C231="","",INDEX(MERCADORIA!$C$5:$C$22,MATCH(C231,MERCADORIA!$A$5:$A$22,0)))</f>
        <v/>
      </c>
      <c r="F231" s="23" t="n"/>
      <c r="G231" s="24">
        <f>IF(D231="","",INDEX(VALOR!$B$5:$B$8,MATCH(D231,VALOR!$A$5:$A$8,0)))</f>
        <v/>
      </c>
      <c r="H231" s="15">
        <f>IF(OR(G231="",F231=""),0,F231*G231)</f>
        <v/>
      </c>
      <c r="I231" s="20" t="n"/>
      <c r="J231" s="20" t="n"/>
      <c r="K231" s="24">
        <f>IF(OR(O231=0,J231=""),0,INDEX(MAPA!$C$5:$C$14,MATCH(J231,MAPA!$A$5:$A$14,0)))</f>
        <v/>
      </c>
      <c r="L231" s="25">
        <f>H231+K231</f>
        <v/>
      </c>
      <c r="M231" s="20" t="n"/>
      <c r="N231" s="20" t="n"/>
      <c r="O231" s="14">
        <f>IF(A231="",0,IF(COUNTIF($A$5:A231,A231)=1,1,0))</f>
        <v/>
      </c>
    </row>
    <row r="232">
      <c r="A232" s="20" t="n"/>
      <c r="B232" s="21" t="n"/>
      <c r="C232" s="20" t="n"/>
      <c r="D232" s="22">
        <f>IF(C232="","",INDEX(MERCADORIA!$B$5:$B$22,MATCH(C232,MERCADORIA!$A$5:$A$22,0)))</f>
        <v/>
      </c>
      <c r="E232" s="22">
        <f>IF(C232="","",INDEX(MERCADORIA!$C$5:$C$22,MATCH(C232,MERCADORIA!$A$5:$A$22,0)))</f>
        <v/>
      </c>
      <c r="F232" s="23" t="n"/>
      <c r="G232" s="24">
        <f>IF(D232="","",INDEX(VALOR!$B$5:$B$8,MATCH(D232,VALOR!$A$5:$A$8,0)))</f>
        <v/>
      </c>
      <c r="H232" s="15">
        <f>IF(OR(G232="",F232=""),0,F232*G232)</f>
        <v/>
      </c>
      <c r="I232" s="20" t="n"/>
      <c r="J232" s="20" t="n"/>
      <c r="K232" s="24">
        <f>IF(OR(O232=0,J232=""),0,INDEX(MAPA!$C$5:$C$14,MATCH(J232,MAPA!$A$5:$A$14,0)))</f>
        <v/>
      </c>
      <c r="L232" s="25">
        <f>H232+K232</f>
        <v/>
      </c>
      <c r="M232" s="20" t="n"/>
      <c r="N232" s="20" t="n"/>
      <c r="O232" s="14">
        <f>IF(A232="",0,IF(COUNTIF($A$5:A232,A232)=1,1,0))</f>
        <v/>
      </c>
    </row>
    <row r="233">
      <c r="A233" s="20" t="n"/>
      <c r="B233" s="21" t="n"/>
      <c r="C233" s="20" t="n"/>
      <c r="D233" s="22">
        <f>IF(C233="","",INDEX(MERCADORIA!$B$5:$B$22,MATCH(C233,MERCADORIA!$A$5:$A$22,0)))</f>
        <v/>
      </c>
      <c r="E233" s="22">
        <f>IF(C233="","",INDEX(MERCADORIA!$C$5:$C$22,MATCH(C233,MERCADORIA!$A$5:$A$22,0)))</f>
        <v/>
      </c>
      <c r="F233" s="23" t="n"/>
      <c r="G233" s="24">
        <f>IF(D233="","",INDEX(VALOR!$B$5:$B$8,MATCH(D233,VALOR!$A$5:$A$8,0)))</f>
        <v/>
      </c>
      <c r="H233" s="15">
        <f>IF(OR(G233="",F233=""),0,F233*G233)</f>
        <v/>
      </c>
      <c r="I233" s="20" t="n"/>
      <c r="J233" s="20" t="n"/>
      <c r="K233" s="24">
        <f>IF(OR(O233=0,J233=""),0,INDEX(MAPA!$C$5:$C$14,MATCH(J233,MAPA!$A$5:$A$14,0)))</f>
        <v/>
      </c>
      <c r="L233" s="25">
        <f>H233+K233</f>
        <v/>
      </c>
      <c r="M233" s="20" t="n"/>
      <c r="N233" s="20" t="n"/>
      <c r="O233" s="14">
        <f>IF(A233="",0,IF(COUNTIF($A$5:A233,A233)=1,1,0))</f>
        <v/>
      </c>
    </row>
    <row r="234">
      <c r="A234" s="20" t="n"/>
      <c r="B234" s="21" t="n"/>
      <c r="C234" s="20" t="n"/>
      <c r="D234" s="22">
        <f>IF(C234="","",INDEX(MERCADORIA!$B$5:$B$22,MATCH(C234,MERCADORIA!$A$5:$A$22,0)))</f>
        <v/>
      </c>
      <c r="E234" s="22">
        <f>IF(C234="","",INDEX(MERCADORIA!$C$5:$C$22,MATCH(C234,MERCADORIA!$A$5:$A$22,0)))</f>
        <v/>
      </c>
      <c r="F234" s="23" t="n"/>
      <c r="G234" s="24">
        <f>IF(D234="","",INDEX(VALOR!$B$5:$B$8,MATCH(D234,VALOR!$A$5:$A$8,0)))</f>
        <v/>
      </c>
      <c r="H234" s="15">
        <f>IF(OR(G234="",F234=""),0,F234*G234)</f>
        <v/>
      </c>
      <c r="I234" s="20" t="n"/>
      <c r="J234" s="20" t="n"/>
      <c r="K234" s="24">
        <f>IF(OR(O234=0,J234=""),0,INDEX(MAPA!$C$5:$C$14,MATCH(J234,MAPA!$A$5:$A$14,0)))</f>
        <v/>
      </c>
      <c r="L234" s="25">
        <f>H234+K234</f>
        <v/>
      </c>
      <c r="M234" s="20" t="n"/>
      <c r="N234" s="20" t="n"/>
      <c r="O234" s="14">
        <f>IF(A234="",0,IF(COUNTIF($A$5:A234,A234)=1,1,0))</f>
        <v/>
      </c>
    </row>
    <row r="235">
      <c r="A235" s="20" t="n"/>
      <c r="B235" s="21" t="n"/>
      <c r="C235" s="20" t="n"/>
      <c r="D235" s="22">
        <f>IF(C235="","",INDEX(MERCADORIA!$B$5:$B$22,MATCH(C235,MERCADORIA!$A$5:$A$22,0)))</f>
        <v/>
      </c>
      <c r="E235" s="22">
        <f>IF(C235="","",INDEX(MERCADORIA!$C$5:$C$22,MATCH(C235,MERCADORIA!$A$5:$A$22,0)))</f>
        <v/>
      </c>
      <c r="F235" s="23" t="n"/>
      <c r="G235" s="24">
        <f>IF(D235="","",INDEX(VALOR!$B$5:$B$8,MATCH(D235,VALOR!$A$5:$A$8,0)))</f>
        <v/>
      </c>
      <c r="H235" s="15">
        <f>IF(OR(G235="",F235=""),0,F235*G235)</f>
        <v/>
      </c>
      <c r="I235" s="20" t="n"/>
      <c r="J235" s="20" t="n"/>
      <c r="K235" s="24">
        <f>IF(OR(O235=0,J235=""),0,INDEX(MAPA!$C$5:$C$14,MATCH(J235,MAPA!$A$5:$A$14,0)))</f>
        <v/>
      </c>
      <c r="L235" s="25">
        <f>H235+K235</f>
        <v/>
      </c>
      <c r="M235" s="20" t="n"/>
      <c r="N235" s="20" t="n"/>
      <c r="O235" s="14">
        <f>IF(A235="",0,IF(COUNTIF($A$5:A235,A235)=1,1,0))</f>
        <v/>
      </c>
    </row>
    <row r="236">
      <c r="A236" s="20" t="n"/>
      <c r="B236" s="21" t="n"/>
      <c r="C236" s="20" t="n"/>
      <c r="D236" s="22">
        <f>IF(C236="","",INDEX(MERCADORIA!$B$5:$B$22,MATCH(C236,MERCADORIA!$A$5:$A$22,0)))</f>
        <v/>
      </c>
      <c r="E236" s="22">
        <f>IF(C236="","",INDEX(MERCADORIA!$C$5:$C$22,MATCH(C236,MERCADORIA!$A$5:$A$22,0)))</f>
        <v/>
      </c>
      <c r="F236" s="23" t="n"/>
      <c r="G236" s="24">
        <f>IF(D236="","",INDEX(VALOR!$B$5:$B$8,MATCH(D236,VALOR!$A$5:$A$8,0)))</f>
        <v/>
      </c>
      <c r="H236" s="15">
        <f>IF(OR(G236="",F236=""),0,F236*G236)</f>
        <v/>
      </c>
      <c r="I236" s="20" t="n"/>
      <c r="J236" s="20" t="n"/>
      <c r="K236" s="24">
        <f>IF(OR(O236=0,J236=""),0,INDEX(MAPA!$C$5:$C$14,MATCH(J236,MAPA!$A$5:$A$14,0)))</f>
        <v/>
      </c>
      <c r="L236" s="25">
        <f>H236+K236</f>
        <v/>
      </c>
      <c r="M236" s="20" t="n"/>
      <c r="N236" s="20" t="n"/>
      <c r="O236" s="14">
        <f>IF(A236="",0,IF(COUNTIF($A$5:A236,A236)=1,1,0))</f>
        <v/>
      </c>
    </row>
    <row r="237">
      <c r="A237" s="20" t="n"/>
      <c r="B237" s="21" t="n"/>
      <c r="C237" s="20" t="n"/>
      <c r="D237" s="22">
        <f>IF(C237="","",INDEX(MERCADORIA!$B$5:$B$22,MATCH(C237,MERCADORIA!$A$5:$A$22,0)))</f>
        <v/>
      </c>
      <c r="E237" s="22">
        <f>IF(C237="","",INDEX(MERCADORIA!$C$5:$C$22,MATCH(C237,MERCADORIA!$A$5:$A$22,0)))</f>
        <v/>
      </c>
      <c r="F237" s="23" t="n"/>
      <c r="G237" s="24">
        <f>IF(D237="","",INDEX(VALOR!$B$5:$B$8,MATCH(D237,VALOR!$A$5:$A$8,0)))</f>
        <v/>
      </c>
      <c r="H237" s="15">
        <f>IF(OR(G237="",F237=""),0,F237*G237)</f>
        <v/>
      </c>
      <c r="I237" s="20" t="n"/>
      <c r="J237" s="20" t="n"/>
      <c r="K237" s="24">
        <f>IF(OR(O237=0,J237=""),0,INDEX(MAPA!$C$5:$C$14,MATCH(J237,MAPA!$A$5:$A$14,0)))</f>
        <v/>
      </c>
      <c r="L237" s="25">
        <f>H237+K237</f>
        <v/>
      </c>
      <c r="M237" s="20" t="n"/>
      <c r="N237" s="20" t="n"/>
      <c r="O237" s="14">
        <f>IF(A237="",0,IF(COUNTIF($A$5:A237,A237)=1,1,0))</f>
        <v/>
      </c>
    </row>
    <row r="238">
      <c r="A238" s="20" t="n"/>
      <c r="B238" s="21" t="n"/>
      <c r="C238" s="20" t="n"/>
      <c r="D238" s="22">
        <f>IF(C238="","",INDEX(MERCADORIA!$B$5:$B$22,MATCH(C238,MERCADORIA!$A$5:$A$22,0)))</f>
        <v/>
      </c>
      <c r="E238" s="22">
        <f>IF(C238="","",INDEX(MERCADORIA!$C$5:$C$22,MATCH(C238,MERCADORIA!$A$5:$A$22,0)))</f>
        <v/>
      </c>
      <c r="F238" s="23" t="n"/>
      <c r="G238" s="24">
        <f>IF(D238="","",INDEX(VALOR!$B$5:$B$8,MATCH(D238,VALOR!$A$5:$A$8,0)))</f>
        <v/>
      </c>
      <c r="H238" s="15">
        <f>IF(OR(G238="",F238=""),0,F238*G238)</f>
        <v/>
      </c>
      <c r="I238" s="20" t="n"/>
      <c r="J238" s="20" t="n"/>
      <c r="K238" s="24">
        <f>IF(OR(O238=0,J238=""),0,INDEX(MAPA!$C$5:$C$14,MATCH(J238,MAPA!$A$5:$A$14,0)))</f>
        <v/>
      </c>
      <c r="L238" s="25">
        <f>H238+K238</f>
        <v/>
      </c>
      <c r="M238" s="20" t="n"/>
      <c r="N238" s="20" t="n"/>
      <c r="O238" s="14">
        <f>IF(A238="",0,IF(COUNTIF($A$5:A238,A238)=1,1,0))</f>
        <v/>
      </c>
    </row>
    <row r="239">
      <c r="A239" s="20" t="n"/>
      <c r="B239" s="21" t="n"/>
      <c r="C239" s="20" t="n"/>
      <c r="D239" s="22">
        <f>IF(C239="","",INDEX(MERCADORIA!$B$5:$B$22,MATCH(C239,MERCADORIA!$A$5:$A$22,0)))</f>
        <v/>
      </c>
      <c r="E239" s="22">
        <f>IF(C239="","",INDEX(MERCADORIA!$C$5:$C$22,MATCH(C239,MERCADORIA!$A$5:$A$22,0)))</f>
        <v/>
      </c>
      <c r="F239" s="23" t="n"/>
      <c r="G239" s="24">
        <f>IF(D239="","",INDEX(VALOR!$B$5:$B$8,MATCH(D239,VALOR!$A$5:$A$8,0)))</f>
        <v/>
      </c>
      <c r="H239" s="15">
        <f>IF(OR(G239="",F239=""),0,F239*G239)</f>
        <v/>
      </c>
      <c r="I239" s="20" t="n"/>
      <c r="J239" s="20" t="n"/>
      <c r="K239" s="24">
        <f>IF(OR(O239=0,J239=""),0,INDEX(MAPA!$C$5:$C$14,MATCH(J239,MAPA!$A$5:$A$14,0)))</f>
        <v/>
      </c>
      <c r="L239" s="25">
        <f>H239+K239</f>
        <v/>
      </c>
      <c r="M239" s="20" t="n"/>
      <c r="N239" s="20" t="n"/>
      <c r="O239" s="14">
        <f>IF(A239="",0,IF(COUNTIF($A$5:A239,A239)=1,1,0))</f>
        <v/>
      </c>
    </row>
    <row r="240">
      <c r="A240" s="20" t="n"/>
      <c r="B240" s="21" t="n"/>
      <c r="C240" s="20" t="n"/>
      <c r="D240" s="22">
        <f>IF(C240="","",INDEX(MERCADORIA!$B$5:$B$22,MATCH(C240,MERCADORIA!$A$5:$A$22,0)))</f>
        <v/>
      </c>
      <c r="E240" s="22">
        <f>IF(C240="","",INDEX(MERCADORIA!$C$5:$C$22,MATCH(C240,MERCADORIA!$A$5:$A$22,0)))</f>
        <v/>
      </c>
      <c r="F240" s="23" t="n"/>
      <c r="G240" s="24">
        <f>IF(D240="","",INDEX(VALOR!$B$5:$B$8,MATCH(D240,VALOR!$A$5:$A$8,0)))</f>
        <v/>
      </c>
      <c r="H240" s="15">
        <f>IF(OR(G240="",F240=""),0,F240*G240)</f>
        <v/>
      </c>
      <c r="I240" s="20" t="n"/>
      <c r="J240" s="20" t="n"/>
      <c r="K240" s="24">
        <f>IF(OR(O240=0,J240=""),0,INDEX(MAPA!$C$5:$C$14,MATCH(J240,MAPA!$A$5:$A$14,0)))</f>
        <v/>
      </c>
      <c r="L240" s="25">
        <f>H240+K240</f>
        <v/>
      </c>
      <c r="M240" s="20" t="n"/>
      <c r="N240" s="20" t="n"/>
      <c r="O240" s="14">
        <f>IF(A240="",0,IF(COUNTIF($A$5:A240,A240)=1,1,0))</f>
        <v/>
      </c>
    </row>
    <row r="241">
      <c r="A241" s="20" t="n"/>
      <c r="B241" s="21" t="n"/>
      <c r="C241" s="20" t="n"/>
      <c r="D241" s="22">
        <f>IF(C241="","",INDEX(MERCADORIA!$B$5:$B$22,MATCH(C241,MERCADORIA!$A$5:$A$22,0)))</f>
        <v/>
      </c>
      <c r="E241" s="22">
        <f>IF(C241="","",INDEX(MERCADORIA!$C$5:$C$22,MATCH(C241,MERCADORIA!$A$5:$A$22,0)))</f>
        <v/>
      </c>
      <c r="F241" s="23" t="n"/>
      <c r="G241" s="24">
        <f>IF(D241="","",INDEX(VALOR!$B$5:$B$8,MATCH(D241,VALOR!$A$5:$A$8,0)))</f>
        <v/>
      </c>
      <c r="H241" s="15">
        <f>IF(OR(G241="",F241=""),0,F241*G241)</f>
        <v/>
      </c>
      <c r="I241" s="20" t="n"/>
      <c r="J241" s="20" t="n"/>
      <c r="K241" s="24">
        <f>IF(OR(O241=0,J241=""),0,INDEX(MAPA!$C$5:$C$14,MATCH(J241,MAPA!$A$5:$A$14,0)))</f>
        <v/>
      </c>
      <c r="L241" s="25">
        <f>H241+K241</f>
        <v/>
      </c>
      <c r="M241" s="20" t="n"/>
      <c r="N241" s="20" t="n"/>
      <c r="O241" s="14">
        <f>IF(A241="",0,IF(COUNTIF($A$5:A241,A241)=1,1,0))</f>
        <v/>
      </c>
    </row>
    <row r="242">
      <c r="A242" s="20" t="n"/>
      <c r="B242" s="21" t="n"/>
      <c r="C242" s="20" t="n"/>
      <c r="D242" s="22">
        <f>IF(C242="","",INDEX(MERCADORIA!$B$5:$B$22,MATCH(C242,MERCADORIA!$A$5:$A$22,0)))</f>
        <v/>
      </c>
      <c r="E242" s="22">
        <f>IF(C242="","",INDEX(MERCADORIA!$C$5:$C$22,MATCH(C242,MERCADORIA!$A$5:$A$22,0)))</f>
        <v/>
      </c>
      <c r="F242" s="23" t="n"/>
      <c r="G242" s="24">
        <f>IF(D242="","",INDEX(VALOR!$B$5:$B$8,MATCH(D242,VALOR!$A$5:$A$8,0)))</f>
        <v/>
      </c>
      <c r="H242" s="15">
        <f>IF(OR(G242="",F242=""),0,F242*G242)</f>
        <v/>
      </c>
      <c r="I242" s="20" t="n"/>
      <c r="J242" s="20" t="n"/>
      <c r="K242" s="24">
        <f>IF(OR(O242=0,J242=""),0,INDEX(MAPA!$C$5:$C$14,MATCH(J242,MAPA!$A$5:$A$14,0)))</f>
        <v/>
      </c>
      <c r="L242" s="25">
        <f>H242+K242</f>
        <v/>
      </c>
      <c r="M242" s="20" t="n"/>
      <c r="N242" s="20" t="n"/>
      <c r="O242" s="14">
        <f>IF(A242="",0,IF(COUNTIF($A$5:A242,A242)=1,1,0))</f>
        <v/>
      </c>
    </row>
    <row r="243">
      <c r="A243" s="20" t="n"/>
      <c r="B243" s="21" t="n"/>
      <c r="C243" s="20" t="n"/>
      <c r="D243" s="22">
        <f>IF(C243="","",INDEX(MERCADORIA!$B$5:$B$22,MATCH(C243,MERCADORIA!$A$5:$A$22,0)))</f>
        <v/>
      </c>
      <c r="E243" s="22">
        <f>IF(C243="","",INDEX(MERCADORIA!$C$5:$C$22,MATCH(C243,MERCADORIA!$A$5:$A$22,0)))</f>
        <v/>
      </c>
      <c r="F243" s="23" t="n"/>
      <c r="G243" s="24">
        <f>IF(D243="","",INDEX(VALOR!$B$5:$B$8,MATCH(D243,VALOR!$A$5:$A$8,0)))</f>
        <v/>
      </c>
      <c r="H243" s="15">
        <f>IF(OR(G243="",F243=""),0,F243*G243)</f>
        <v/>
      </c>
      <c r="I243" s="20" t="n"/>
      <c r="J243" s="20" t="n"/>
      <c r="K243" s="24">
        <f>IF(OR(O243=0,J243=""),0,INDEX(MAPA!$C$5:$C$14,MATCH(J243,MAPA!$A$5:$A$14,0)))</f>
        <v/>
      </c>
      <c r="L243" s="25">
        <f>H243+K243</f>
        <v/>
      </c>
      <c r="M243" s="20" t="n"/>
      <c r="N243" s="20" t="n"/>
      <c r="O243" s="14">
        <f>IF(A243="",0,IF(COUNTIF($A$5:A243,A243)=1,1,0))</f>
        <v/>
      </c>
    </row>
    <row r="244">
      <c r="A244" s="20" t="n"/>
      <c r="B244" s="21" t="n"/>
      <c r="C244" s="20" t="n"/>
      <c r="D244" s="22">
        <f>IF(C244="","",INDEX(MERCADORIA!$B$5:$B$22,MATCH(C244,MERCADORIA!$A$5:$A$22,0)))</f>
        <v/>
      </c>
      <c r="E244" s="22">
        <f>IF(C244="","",INDEX(MERCADORIA!$C$5:$C$22,MATCH(C244,MERCADORIA!$A$5:$A$22,0)))</f>
        <v/>
      </c>
      <c r="F244" s="23" t="n"/>
      <c r="G244" s="24">
        <f>IF(D244="","",INDEX(VALOR!$B$5:$B$8,MATCH(D244,VALOR!$A$5:$A$8,0)))</f>
        <v/>
      </c>
      <c r="H244" s="15">
        <f>IF(OR(G244="",F244=""),0,F244*G244)</f>
        <v/>
      </c>
      <c r="I244" s="20" t="n"/>
      <c r="J244" s="20" t="n"/>
      <c r="K244" s="24">
        <f>IF(OR(O244=0,J244=""),0,INDEX(MAPA!$C$5:$C$14,MATCH(J244,MAPA!$A$5:$A$14,0)))</f>
        <v/>
      </c>
      <c r="L244" s="25">
        <f>H244+K244</f>
        <v/>
      </c>
      <c r="M244" s="20" t="n"/>
      <c r="N244" s="20" t="n"/>
      <c r="O244" s="14">
        <f>IF(A244="",0,IF(COUNTIF($A$5:A244,A244)=1,1,0))</f>
        <v/>
      </c>
    </row>
    <row r="245">
      <c r="A245" s="20" t="n"/>
      <c r="B245" s="21" t="n"/>
      <c r="C245" s="20" t="n"/>
      <c r="D245" s="22">
        <f>IF(C245="","",INDEX(MERCADORIA!$B$5:$B$22,MATCH(C245,MERCADORIA!$A$5:$A$22,0)))</f>
        <v/>
      </c>
      <c r="E245" s="22">
        <f>IF(C245="","",INDEX(MERCADORIA!$C$5:$C$22,MATCH(C245,MERCADORIA!$A$5:$A$22,0)))</f>
        <v/>
      </c>
      <c r="F245" s="23" t="n"/>
      <c r="G245" s="24">
        <f>IF(D245="","",INDEX(VALOR!$B$5:$B$8,MATCH(D245,VALOR!$A$5:$A$8,0)))</f>
        <v/>
      </c>
      <c r="H245" s="15">
        <f>IF(OR(G245="",F245=""),0,F245*G245)</f>
        <v/>
      </c>
      <c r="I245" s="20" t="n"/>
      <c r="J245" s="20" t="n"/>
      <c r="K245" s="24">
        <f>IF(OR(O245=0,J245=""),0,INDEX(MAPA!$C$5:$C$14,MATCH(J245,MAPA!$A$5:$A$14,0)))</f>
        <v/>
      </c>
      <c r="L245" s="25">
        <f>H245+K245</f>
        <v/>
      </c>
      <c r="M245" s="20" t="n"/>
      <c r="N245" s="20" t="n"/>
      <c r="O245" s="14">
        <f>IF(A245="",0,IF(COUNTIF($A$5:A245,A245)=1,1,0))</f>
        <v/>
      </c>
    </row>
    <row r="246">
      <c r="A246" s="20" t="n"/>
      <c r="B246" s="21" t="n"/>
      <c r="C246" s="20" t="n"/>
      <c r="D246" s="22">
        <f>IF(C246="","",INDEX(MERCADORIA!$B$5:$B$22,MATCH(C246,MERCADORIA!$A$5:$A$22,0)))</f>
        <v/>
      </c>
      <c r="E246" s="22">
        <f>IF(C246="","",INDEX(MERCADORIA!$C$5:$C$22,MATCH(C246,MERCADORIA!$A$5:$A$22,0)))</f>
        <v/>
      </c>
      <c r="F246" s="23" t="n"/>
      <c r="G246" s="24">
        <f>IF(D246="","",INDEX(VALOR!$B$5:$B$8,MATCH(D246,VALOR!$A$5:$A$8,0)))</f>
        <v/>
      </c>
      <c r="H246" s="15">
        <f>IF(OR(G246="",F246=""),0,F246*G246)</f>
        <v/>
      </c>
      <c r="I246" s="20" t="n"/>
      <c r="J246" s="20" t="n"/>
      <c r="K246" s="24">
        <f>IF(OR(O246=0,J246=""),0,INDEX(MAPA!$C$5:$C$14,MATCH(J246,MAPA!$A$5:$A$14,0)))</f>
        <v/>
      </c>
      <c r="L246" s="25">
        <f>H246+K246</f>
        <v/>
      </c>
      <c r="M246" s="20" t="n"/>
      <c r="N246" s="20" t="n"/>
      <c r="O246" s="14">
        <f>IF(A246="",0,IF(COUNTIF($A$5:A246,A246)=1,1,0))</f>
        <v/>
      </c>
    </row>
    <row r="247">
      <c r="A247" s="20" t="n"/>
      <c r="B247" s="21" t="n"/>
      <c r="C247" s="20" t="n"/>
      <c r="D247" s="22">
        <f>IF(C247="","",INDEX(MERCADORIA!$B$5:$B$22,MATCH(C247,MERCADORIA!$A$5:$A$22,0)))</f>
        <v/>
      </c>
      <c r="E247" s="22">
        <f>IF(C247="","",INDEX(MERCADORIA!$C$5:$C$22,MATCH(C247,MERCADORIA!$A$5:$A$22,0)))</f>
        <v/>
      </c>
      <c r="F247" s="23" t="n"/>
      <c r="G247" s="24">
        <f>IF(D247="","",INDEX(VALOR!$B$5:$B$8,MATCH(D247,VALOR!$A$5:$A$8,0)))</f>
        <v/>
      </c>
      <c r="H247" s="15">
        <f>IF(OR(G247="",F247=""),0,F247*G247)</f>
        <v/>
      </c>
      <c r="I247" s="20" t="n"/>
      <c r="J247" s="20" t="n"/>
      <c r="K247" s="24">
        <f>IF(OR(O247=0,J247=""),0,INDEX(MAPA!$C$5:$C$14,MATCH(J247,MAPA!$A$5:$A$14,0)))</f>
        <v/>
      </c>
      <c r="L247" s="25">
        <f>H247+K247</f>
        <v/>
      </c>
      <c r="M247" s="20" t="n"/>
      <c r="N247" s="20" t="n"/>
      <c r="O247" s="14">
        <f>IF(A247="",0,IF(COUNTIF($A$5:A247,A247)=1,1,0))</f>
        <v/>
      </c>
    </row>
    <row r="248">
      <c r="A248" s="20" t="n"/>
      <c r="B248" s="21" t="n"/>
      <c r="C248" s="20" t="n"/>
      <c r="D248" s="22">
        <f>IF(C248="","",INDEX(MERCADORIA!$B$5:$B$22,MATCH(C248,MERCADORIA!$A$5:$A$22,0)))</f>
        <v/>
      </c>
      <c r="E248" s="22">
        <f>IF(C248="","",INDEX(MERCADORIA!$C$5:$C$22,MATCH(C248,MERCADORIA!$A$5:$A$22,0)))</f>
        <v/>
      </c>
      <c r="F248" s="23" t="n"/>
      <c r="G248" s="24">
        <f>IF(D248="","",INDEX(VALOR!$B$5:$B$8,MATCH(D248,VALOR!$A$5:$A$8,0)))</f>
        <v/>
      </c>
      <c r="H248" s="15">
        <f>IF(OR(G248="",F248=""),0,F248*G248)</f>
        <v/>
      </c>
      <c r="I248" s="20" t="n"/>
      <c r="J248" s="20" t="n"/>
      <c r="K248" s="24">
        <f>IF(OR(O248=0,J248=""),0,INDEX(MAPA!$C$5:$C$14,MATCH(J248,MAPA!$A$5:$A$14,0)))</f>
        <v/>
      </c>
      <c r="L248" s="25">
        <f>H248+K248</f>
        <v/>
      </c>
      <c r="M248" s="20" t="n"/>
      <c r="N248" s="20" t="n"/>
      <c r="O248" s="14">
        <f>IF(A248="",0,IF(COUNTIF($A$5:A248,A248)=1,1,0))</f>
        <v/>
      </c>
    </row>
    <row r="249">
      <c r="A249" s="20" t="n"/>
      <c r="B249" s="21" t="n"/>
      <c r="C249" s="20" t="n"/>
      <c r="D249" s="22">
        <f>IF(C249="","",INDEX(MERCADORIA!$B$5:$B$22,MATCH(C249,MERCADORIA!$A$5:$A$22,0)))</f>
        <v/>
      </c>
      <c r="E249" s="22">
        <f>IF(C249="","",INDEX(MERCADORIA!$C$5:$C$22,MATCH(C249,MERCADORIA!$A$5:$A$22,0)))</f>
        <v/>
      </c>
      <c r="F249" s="23" t="n"/>
      <c r="G249" s="24">
        <f>IF(D249="","",INDEX(VALOR!$B$5:$B$8,MATCH(D249,VALOR!$A$5:$A$8,0)))</f>
        <v/>
      </c>
      <c r="H249" s="15">
        <f>IF(OR(G249="",F249=""),0,F249*G249)</f>
        <v/>
      </c>
      <c r="I249" s="20" t="n"/>
      <c r="J249" s="20" t="n"/>
      <c r="K249" s="24">
        <f>IF(OR(O249=0,J249=""),0,INDEX(MAPA!$C$5:$C$14,MATCH(J249,MAPA!$A$5:$A$14,0)))</f>
        <v/>
      </c>
      <c r="L249" s="25">
        <f>H249+K249</f>
        <v/>
      </c>
      <c r="M249" s="20" t="n"/>
      <c r="N249" s="20" t="n"/>
      <c r="O249" s="14">
        <f>IF(A249="",0,IF(COUNTIF($A$5:A249,A249)=1,1,0))</f>
        <v/>
      </c>
    </row>
    <row r="250">
      <c r="A250" s="20" t="n"/>
      <c r="B250" s="21" t="n"/>
      <c r="C250" s="20" t="n"/>
      <c r="D250" s="22">
        <f>IF(C250="","",INDEX(MERCADORIA!$B$5:$B$22,MATCH(C250,MERCADORIA!$A$5:$A$22,0)))</f>
        <v/>
      </c>
      <c r="E250" s="22">
        <f>IF(C250="","",INDEX(MERCADORIA!$C$5:$C$22,MATCH(C250,MERCADORIA!$A$5:$A$22,0)))</f>
        <v/>
      </c>
      <c r="F250" s="23" t="n"/>
      <c r="G250" s="24">
        <f>IF(D250="","",INDEX(VALOR!$B$5:$B$8,MATCH(D250,VALOR!$A$5:$A$8,0)))</f>
        <v/>
      </c>
      <c r="H250" s="15">
        <f>IF(OR(G250="",F250=""),0,F250*G250)</f>
        <v/>
      </c>
      <c r="I250" s="20" t="n"/>
      <c r="J250" s="20" t="n"/>
      <c r="K250" s="24">
        <f>IF(OR(O250=0,J250=""),0,INDEX(MAPA!$C$5:$C$14,MATCH(J250,MAPA!$A$5:$A$14,0)))</f>
        <v/>
      </c>
      <c r="L250" s="25">
        <f>H250+K250</f>
        <v/>
      </c>
      <c r="M250" s="20" t="n"/>
      <c r="N250" s="20" t="n"/>
      <c r="O250" s="14">
        <f>IF(A250="",0,IF(COUNTIF($A$5:A250,A250)=1,1,0))</f>
        <v/>
      </c>
    </row>
    <row r="251">
      <c r="A251" s="20" t="n"/>
      <c r="B251" s="21" t="n"/>
      <c r="C251" s="20" t="n"/>
      <c r="D251" s="22">
        <f>IF(C251="","",INDEX(MERCADORIA!$B$5:$B$22,MATCH(C251,MERCADORIA!$A$5:$A$22,0)))</f>
        <v/>
      </c>
      <c r="E251" s="22">
        <f>IF(C251="","",INDEX(MERCADORIA!$C$5:$C$22,MATCH(C251,MERCADORIA!$A$5:$A$22,0)))</f>
        <v/>
      </c>
      <c r="F251" s="23" t="n"/>
      <c r="G251" s="24">
        <f>IF(D251="","",INDEX(VALOR!$B$5:$B$8,MATCH(D251,VALOR!$A$5:$A$8,0)))</f>
        <v/>
      </c>
      <c r="H251" s="15">
        <f>IF(OR(G251="",F251=""),0,F251*G251)</f>
        <v/>
      </c>
      <c r="I251" s="20" t="n"/>
      <c r="J251" s="20" t="n"/>
      <c r="K251" s="24">
        <f>IF(OR(O251=0,J251=""),0,INDEX(MAPA!$C$5:$C$14,MATCH(J251,MAPA!$A$5:$A$14,0)))</f>
        <v/>
      </c>
      <c r="L251" s="25">
        <f>H251+K251</f>
        <v/>
      </c>
      <c r="M251" s="20" t="n"/>
      <c r="N251" s="20" t="n"/>
      <c r="O251" s="14">
        <f>IF(A251="",0,IF(COUNTIF($A$5:A251,A251)=1,1,0))</f>
        <v/>
      </c>
    </row>
    <row r="252">
      <c r="A252" s="20" t="n"/>
      <c r="B252" s="21" t="n"/>
      <c r="C252" s="20" t="n"/>
      <c r="D252" s="22">
        <f>IF(C252="","",INDEX(MERCADORIA!$B$5:$B$22,MATCH(C252,MERCADORIA!$A$5:$A$22,0)))</f>
        <v/>
      </c>
      <c r="E252" s="22">
        <f>IF(C252="","",INDEX(MERCADORIA!$C$5:$C$22,MATCH(C252,MERCADORIA!$A$5:$A$22,0)))</f>
        <v/>
      </c>
      <c r="F252" s="23" t="n"/>
      <c r="G252" s="24">
        <f>IF(D252="","",INDEX(VALOR!$B$5:$B$8,MATCH(D252,VALOR!$A$5:$A$8,0)))</f>
        <v/>
      </c>
      <c r="H252" s="15">
        <f>IF(OR(G252="",F252=""),0,F252*G252)</f>
        <v/>
      </c>
      <c r="I252" s="20" t="n"/>
      <c r="J252" s="20" t="n"/>
      <c r="K252" s="24">
        <f>IF(OR(O252=0,J252=""),0,INDEX(MAPA!$C$5:$C$14,MATCH(J252,MAPA!$A$5:$A$14,0)))</f>
        <v/>
      </c>
      <c r="L252" s="25">
        <f>H252+K252</f>
        <v/>
      </c>
      <c r="M252" s="20" t="n"/>
      <c r="N252" s="20" t="n"/>
      <c r="O252" s="14">
        <f>IF(A252="",0,IF(COUNTIF($A$5:A252,A252)=1,1,0))</f>
        <v/>
      </c>
    </row>
    <row r="253">
      <c r="A253" s="20" t="n"/>
      <c r="B253" s="21" t="n"/>
      <c r="C253" s="20" t="n"/>
      <c r="D253" s="22">
        <f>IF(C253="","",INDEX(MERCADORIA!$B$5:$B$22,MATCH(C253,MERCADORIA!$A$5:$A$22,0)))</f>
        <v/>
      </c>
      <c r="E253" s="22">
        <f>IF(C253="","",INDEX(MERCADORIA!$C$5:$C$22,MATCH(C253,MERCADORIA!$A$5:$A$22,0)))</f>
        <v/>
      </c>
      <c r="F253" s="23" t="n"/>
      <c r="G253" s="24">
        <f>IF(D253="","",INDEX(VALOR!$B$5:$B$8,MATCH(D253,VALOR!$A$5:$A$8,0)))</f>
        <v/>
      </c>
      <c r="H253" s="15">
        <f>IF(OR(G253="",F253=""),0,F253*G253)</f>
        <v/>
      </c>
      <c r="I253" s="20" t="n"/>
      <c r="J253" s="20" t="n"/>
      <c r="K253" s="24">
        <f>IF(OR(O253=0,J253=""),0,INDEX(MAPA!$C$5:$C$14,MATCH(J253,MAPA!$A$5:$A$14,0)))</f>
        <v/>
      </c>
      <c r="L253" s="25">
        <f>H253+K253</f>
        <v/>
      </c>
      <c r="M253" s="20" t="n"/>
      <c r="N253" s="20" t="n"/>
      <c r="O253" s="14">
        <f>IF(A253="",0,IF(COUNTIF($A$5:A253,A253)=1,1,0))</f>
        <v/>
      </c>
    </row>
    <row r="254">
      <c r="A254" s="20" t="n"/>
      <c r="B254" s="21" t="n"/>
      <c r="C254" s="20" t="n"/>
      <c r="D254" s="22">
        <f>IF(C254="","",INDEX(MERCADORIA!$B$5:$B$22,MATCH(C254,MERCADORIA!$A$5:$A$22,0)))</f>
        <v/>
      </c>
      <c r="E254" s="22">
        <f>IF(C254="","",INDEX(MERCADORIA!$C$5:$C$22,MATCH(C254,MERCADORIA!$A$5:$A$22,0)))</f>
        <v/>
      </c>
      <c r="F254" s="23" t="n"/>
      <c r="G254" s="24">
        <f>IF(D254="","",INDEX(VALOR!$B$5:$B$8,MATCH(D254,VALOR!$A$5:$A$8,0)))</f>
        <v/>
      </c>
      <c r="H254" s="15">
        <f>IF(OR(G254="",F254=""),0,F254*G254)</f>
        <v/>
      </c>
      <c r="I254" s="20" t="n"/>
      <c r="J254" s="20" t="n"/>
      <c r="K254" s="24">
        <f>IF(OR(O254=0,J254=""),0,INDEX(MAPA!$C$5:$C$14,MATCH(J254,MAPA!$A$5:$A$14,0)))</f>
        <v/>
      </c>
      <c r="L254" s="25">
        <f>H254+K254</f>
        <v/>
      </c>
      <c r="M254" s="20" t="n"/>
      <c r="N254" s="20" t="n"/>
      <c r="O254" s="14">
        <f>IF(A254="",0,IF(COUNTIF($A$5:A254,A254)=1,1,0))</f>
        <v/>
      </c>
    </row>
    <row r="255">
      <c r="A255" s="20" t="n"/>
      <c r="B255" s="21" t="n"/>
      <c r="C255" s="20" t="n"/>
      <c r="D255" s="22">
        <f>IF(C255="","",INDEX(MERCADORIA!$B$5:$B$22,MATCH(C255,MERCADORIA!$A$5:$A$22,0)))</f>
        <v/>
      </c>
      <c r="E255" s="22">
        <f>IF(C255="","",INDEX(MERCADORIA!$C$5:$C$22,MATCH(C255,MERCADORIA!$A$5:$A$22,0)))</f>
        <v/>
      </c>
      <c r="F255" s="23" t="n"/>
      <c r="G255" s="24">
        <f>IF(D255="","",INDEX(VALOR!$B$5:$B$8,MATCH(D255,VALOR!$A$5:$A$8,0)))</f>
        <v/>
      </c>
      <c r="H255" s="15">
        <f>IF(OR(G255="",F255=""),0,F255*G255)</f>
        <v/>
      </c>
      <c r="I255" s="20" t="n"/>
      <c r="J255" s="20" t="n"/>
      <c r="K255" s="24">
        <f>IF(OR(O255=0,J255=""),0,INDEX(MAPA!$C$5:$C$14,MATCH(J255,MAPA!$A$5:$A$14,0)))</f>
        <v/>
      </c>
      <c r="L255" s="25">
        <f>H255+K255</f>
        <v/>
      </c>
      <c r="M255" s="20" t="n"/>
      <c r="N255" s="20" t="n"/>
      <c r="O255" s="14">
        <f>IF(A255="",0,IF(COUNTIF($A$5:A255,A255)=1,1,0))</f>
        <v/>
      </c>
    </row>
    <row r="256">
      <c r="A256" s="20" t="n"/>
      <c r="B256" s="21" t="n"/>
      <c r="C256" s="20" t="n"/>
      <c r="D256" s="22">
        <f>IF(C256="","",INDEX(MERCADORIA!$B$5:$B$22,MATCH(C256,MERCADORIA!$A$5:$A$22,0)))</f>
        <v/>
      </c>
      <c r="E256" s="22">
        <f>IF(C256="","",INDEX(MERCADORIA!$C$5:$C$22,MATCH(C256,MERCADORIA!$A$5:$A$22,0)))</f>
        <v/>
      </c>
      <c r="F256" s="23" t="n"/>
      <c r="G256" s="24">
        <f>IF(D256="","",INDEX(VALOR!$B$5:$B$8,MATCH(D256,VALOR!$A$5:$A$8,0)))</f>
        <v/>
      </c>
      <c r="H256" s="15">
        <f>IF(OR(G256="",F256=""),0,F256*G256)</f>
        <v/>
      </c>
      <c r="I256" s="20" t="n"/>
      <c r="J256" s="20" t="n"/>
      <c r="K256" s="24">
        <f>IF(OR(O256=0,J256=""),0,INDEX(MAPA!$C$5:$C$14,MATCH(J256,MAPA!$A$5:$A$14,0)))</f>
        <v/>
      </c>
      <c r="L256" s="25">
        <f>H256+K256</f>
        <v/>
      </c>
      <c r="M256" s="20" t="n"/>
      <c r="N256" s="20" t="n"/>
      <c r="O256" s="14">
        <f>IF(A256="",0,IF(COUNTIF($A$5:A256,A256)=1,1,0))</f>
        <v/>
      </c>
    </row>
    <row r="257">
      <c r="A257" s="20" t="n"/>
      <c r="B257" s="21" t="n"/>
      <c r="C257" s="20" t="n"/>
      <c r="D257" s="22">
        <f>IF(C257="","",INDEX(MERCADORIA!$B$5:$B$22,MATCH(C257,MERCADORIA!$A$5:$A$22,0)))</f>
        <v/>
      </c>
      <c r="E257" s="22">
        <f>IF(C257="","",INDEX(MERCADORIA!$C$5:$C$22,MATCH(C257,MERCADORIA!$A$5:$A$22,0)))</f>
        <v/>
      </c>
      <c r="F257" s="23" t="n"/>
      <c r="G257" s="24">
        <f>IF(D257="","",INDEX(VALOR!$B$5:$B$8,MATCH(D257,VALOR!$A$5:$A$8,0)))</f>
        <v/>
      </c>
      <c r="H257" s="15">
        <f>IF(OR(G257="",F257=""),0,F257*G257)</f>
        <v/>
      </c>
      <c r="I257" s="20" t="n"/>
      <c r="J257" s="20" t="n"/>
      <c r="K257" s="24">
        <f>IF(OR(O257=0,J257=""),0,INDEX(MAPA!$C$5:$C$14,MATCH(J257,MAPA!$A$5:$A$14,0)))</f>
        <v/>
      </c>
      <c r="L257" s="25">
        <f>H257+K257</f>
        <v/>
      </c>
      <c r="M257" s="20" t="n"/>
      <c r="N257" s="20" t="n"/>
      <c r="O257" s="14">
        <f>IF(A257="",0,IF(COUNTIF($A$5:A257,A257)=1,1,0))</f>
        <v/>
      </c>
    </row>
    <row r="258">
      <c r="A258" s="20" t="n"/>
      <c r="B258" s="21" t="n"/>
      <c r="C258" s="20" t="n"/>
      <c r="D258" s="22">
        <f>IF(C258="","",INDEX(MERCADORIA!$B$5:$B$22,MATCH(C258,MERCADORIA!$A$5:$A$22,0)))</f>
        <v/>
      </c>
      <c r="E258" s="22">
        <f>IF(C258="","",INDEX(MERCADORIA!$C$5:$C$22,MATCH(C258,MERCADORIA!$A$5:$A$22,0)))</f>
        <v/>
      </c>
      <c r="F258" s="23" t="n"/>
      <c r="G258" s="24">
        <f>IF(D258="","",INDEX(VALOR!$B$5:$B$8,MATCH(D258,VALOR!$A$5:$A$8,0)))</f>
        <v/>
      </c>
      <c r="H258" s="15">
        <f>IF(OR(G258="",F258=""),0,F258*G258)</f>
        <v/>
      </c>
      <c r="I258" s="20" t="n"/>
      <c r="J258" s="20" t="n"/>
      <c r="K258" s="24">
        <f>IF(OR(O258=0,J258=""),0,INDEX(MAPA!$C$5:$C$14,MATCH(J258,MAPA!$A$5:$A$14,0)))</f>
        <v/>
      </c>
      <c r="L258" s="25">
        <f>H258+K258</f>
        <v/>
      </c>
      <c r="M258" s="20" t="n"/>
      <c r="N258" s="20" t="n"/>
      <c r="O258" s="14">
        <f>IF(A258="",0,IF(COUNTIF($A$5:A258,A258)=1,1,0))</f>
        <v/>
      </c>
    </row>
    <row r="259">
      <c r="A259" s="20" t="n"/>
      <c r="B259" s="21" t="n"/>
      <c r="C259" s="20" t="n"/>
      <c r="D259" s="22">
        <f>IF(C259="","",INDEX(MERCADORIA!$B$5:$B$22,MATCH(C259,MERCADORIA!$A$5:$A$22,0)))</f>
        <v/>
      </c>
      <c r="E259" s="22">
        <f>IF(C259="","",INDEX(MERCADORIA!$C$5:$C$22,MATCH(C259,MERCADORIA!$A$5:$A$22,0)))</f>
        <v/>
      </c>
      <c r="F259" s="23" t="n"/>
      <c r="G259" s="24">
        <f>IF(D259="","",INDEX(VALOR!$B$5:$B$8,MATCH(D259,VALOR!$A$5:$A$8,0)))</f>
        <v/>
      </c>
      <c r="H259" s="15">
        <f>IF(OR(G259="",F259=""),0,F259*G259)</f>
        <v/>
      </c>
      <c r="I259" s="20" t="n"/>
      <c r="J259" s="20" t="n"/>
      <c r="K259" s="24">
        <f>IF(OR(O259=0,J259=""),0,INDEX(MAPA!$C$5:$C$14,MATCH(J259,MAPA!$A$5:$A$14,0)))</f>
        <v/>
      </c>
      <c r="L259" s="25">
        <f>H259+K259</f>
        <v/>
      </c>
      <c r="M259" s="20" t="n"/>
      <c r="N259" s="20" t="n"/>
      <c r="O259" s="14">
        <f>IF(A259="",0,IF(COUNTIF($A$5:A259,A259)=1,1,0))</f>
        <v/>
      </c>
    </row>
    <row r="260">
      <c r="A260" s="20" t="n"/>
      <c r="B260" s="21" t="n"/>
      <c r="C260" s="20" t="n"/>
      <c r="D260" s="22">
        <f>IF(C260="","",INDEX(MERCADORIA!$B$5:$B$22,MATCH(C260,MERCADORIA!$A$5:$A$22,0)))</f>
        <v/>
      </c>
      <c r="E260" s="22">
        <f>IF(C260="","",INDEX(MERCADORIA!$C$5:$C$22,MATCH(C260,MERCADORIA!$A$5:$A$22,0)))</f>
        <v/>
      </c>
      <c r="F260" s="23" t="n"/>
      <c r="G260" s="24">
        <f>IF(D260="","",INDEX(VALOR!$B$5:$B$8,MATCH(D260,VALOR!$A$5:$A$8,0)))</f>
        <v/>
      </c>
      <c r="H260" s="15">
        <f>IF(OR(G260="",F260=""),0,F260*G260)</f>
        <v/>
      </c>
      <c r="I260" s="20" t="n"/>
      <c r="J260" s="20" t="n"/>
      <c r="K260" s="24">
        <f>IF(OR(O260=0,J260=""),0,INDEX(MAPA!$C$5:$C$14,MATCH(J260,MAPA!$A$5:$A$14,0)))</f>
        <v/>
      </c>
      <c r="L260" s="25">
        <f>H260+K260</f>
        <v/>
      </c>
      <c r="M260" s="20" t="n"/>
      <c r="N260" s="20" t="n"/>
      <c r="O260" s="14">
        <f>IF(A260="",0,IF(COUNTIF($A$5:A260,A260)=1,1,0))</f>
        <v/>
      </c>
    </row>
    <row r="261">
      <c r="A261" s="20" t="n"/>
      <c r="B261" s="21" t="n"/>
      <c r="C261" s="20" t="n"/>
      <c r="D261" s="22">
        <f>IF(C261="","",INDEX(MERCADORIA!$B$5:$B$22,MATCH(C261,MERCADORIA!$A$5:$A$22,0)))</f>
        <v/>
      </c>
      <c r="E261" s="22">
        <f>IF(C261="","",INDEX(MERCADORIA!$C$5:$C$22,MATCH(C261,MERCADORIA!$A$5:$A$22,0)))</f>
        <v/>
      </c>
      <c r="F261" s="23" t="n"/>
      <c r="G261" s="24">
        <f>IF(D261="","",INDEX(VALOR!$B$5:$B$8,MATCH(D261,VALOR!$A$5:$A$8,0)))</f>
        <v/>
      </c>
      <c r="H261" s="15">
        <f>IF(OR(G261="",F261=""),0,F261*G261)</f>
        <v/>
      </c>
      <c r="I261" s="20" t="n"/>
      <c r="J261" s="20" t="n"/>
      <c r="K261" s="24">
        <f>IF(OR(O261=0,J261=""),0,INDEX(MAPA!$C$5:$C$14,MATCH(J261,MAPA!$A$5:$A$14,0)))</f>
        <v/>
      </c>
      <c r="L261" s="25">
        <f>H261+K261</f>
        <v/>
      </c>
      <c r="M261" s="20" t="n"/>
      <c r="N261" s="20" t="n"/>
      <c r="O261" s="14">
        <f>IF(A261="",0,IF(COUNTIF($A$5:A261,A261)=1,1,0))</f>
        <v/>
      </c>
    </row>
    <row r="262">
      <c r="A262" s="20" t="n"/>
      <c r="B262" s="21" t="n"/>
      <c r="C262" s="20" t="n"/>
      <c r="D262" s="22">
        <f>IF(C262="","",INDEX(MERCADORIA!$B$5:$B$22,MATCH(C262,MERCADORIA!$A$5:$A$22,0)))</f>
        <v/>
      </c>
      <c r="E262" s="22">
        <f>IF(C262="","",INDEX(MERCADORIA!$C$5:$C$22,MATCH(C262,MERCADORIA!$A$5:$A$22,0)))</f>
        <v/>
      </c>
      <c r="F262" s="23" t="n"/>
      <c r="G262" s="24">
        <f>IF(D262="","",INDEX(VALOR!$B$5:$B$8,MATCH(D262,VALOR!$A$5:$A$8,0)))</f>
        <v/>
      </c>
      <c r="H262" s="15">
        <f>IF(OR(G262="",F262=""),0,F262*G262)</f>
        <v/>
      </c>
      <c r="I262" s="20" t="n"/>
      <c r="J262" s="20" t="n"/>
      <c r="K262" s="24">
        <f>IF(OR(O262=0,J262=""),0,INDEX(MAPA!$C$5:$C$14,MATCH(J262,MAPA!$A$5:$A$14,0)))</f>
        <v/>
      </c>
      <c r="L262" s="25">
        <f>H262+K262</f>
        <v/>
      </c>
      <c r="M262" s="20" t="n"/>
      <c r="N262" s="20" t="n"/>
      <c r="O262" s="14">
        <f>IF(A262="",0,IF(COUNTIF($A$5:A262,A262)=1,1,0))</f>
        <v/>
      </c>
    </row>
    <row r="263">
      <c r="A263" s="20" t="n"/>
      <c r="B263" s="21" t="n"/>
      <c r="C263" s="20" t="n"/>
      <c r="D263" s="22">
        <f>IF(C263="","",INDEX(MERCADORIA!$B$5:$B$22,MATCH(C263,MERCADORIA!$A$5:$A$22,0)))</f>
        <v/>
      </c>
      <c r="E263" s="22">
        <f>IF(C263="","",INDEX(MERCADORIA!$C$5:$C$22,MATCH(C263,MERCADORIA!$A$5:$A$22,0)))</f>
        <v/>
      </c>
      <c r="F263" s="23" t="n"/>
      <c r="G263" s="24">
        <f>IF(D263="","",INDEX(VALOR!$B$5:$B$8,MATCH(D263,VALOR!$A$5:$A$8,0)))</f>
        <v/>
      </c>
      <c r="H263" s="15">
        <f>IF(OR(G263="",F263=""),0,F263*G263)</f>
        <v/>
      </c>
      <c r="I263" s="20" t="n"/>
      <c r="J263" s="20" t="n"/>
      <c r="K263" s="24">
        <f>IF(OR(O263=0,J263=""),0,INDEX(MAPA!$C$5:$C$14,MATCH(J263,MAPA!$A$5:$A$14,0)))</f>
        <v/>
      </c>
      <c r="L263" s="25">
        <f>H263+K263</f>
        <v/>
      </c>
      <c r="M263" s="20" t="n"/>
      <c r="N263" s="20" t="n"/>
      <c r="O263" s="14">
        <f>IF(A263="",0,IF(COUNTIF($A$5:A263,A263)=1,1,0))</f>
        <v/>
      </c>
    </row>
    <row r="264">
      <c r="A264" s="20" t="n"/>
      <c r="B264" s="21" t="n"/>
      <c r="C264" s="20" t="n"/>
      <c r="D264" s="22">
        <f>IF(C264="","",INDEX(MERCADORIA!$B$5:$B$22,MATCH(C264,MERCADORIA!$A$5:$A$22,0)))</f>
        <v/>
      </c>
      <c r="E264" s="22">
        <f>IF(C264="","",INDEX(MERCADORIA!$C$5:$C$22,MATCH(C264,MERCADORIA!$A$5:$A$22,0)))</f>
        <v/>
      </c>
      <c r="F264" s="23" t="n"/>
      <c r="G264" s="24">
        <f>IF(D264="","",INDEX(VALOR!$B$5:$B$8,MATCH(D264,VALOR!$A$5:$A$8,0)))</f>
        <v/>
      </c>
      <c r="H264" s="15">
        <f>IF(OR(G264="",F264=""),0,F264*G264)</f>
        <v/>
      </c>
      <c r="I264" s="20" t="n"/>
      <c r="J264" s="20" t="n"/>
      <c r="K264" s="24">
        <f>IF(OR(O264=0,J264=""),0,INDEX(MAPA!$C$5:$C$14,MATCH(J264,MAPA!$A$5:$A$14,0)))</f>
        <v/>
      </c>
      <c r="L264" s="25">
        <f>H264+K264</f>
        <v/>
      </c>
      <c r="M264" s="20" t="n"/>
      <c r="N264" s="20" t="n"/>
      <c r="O264" s="14">
        <f>IF(A264="",0,IF(COUNTIF($A$5:A264,A264)=1,1,0))</f>
        <v/>
      </c>
    </row>
    <row r="265">
      <c r="A265" s="20" t="n"/>
      <c r="B265" s="21" t="n"/>
      <c r="C265" s="20" t="n"/>
      <c r="D265" s="22">
        <f>IF(C265="","",INDEX(MERCADORIA!$B$5:$B$22,MATCH(C265,MERCADORIA!$A$5:$A$22,0)))</f>
        <v/>
      </c>
      <c r="E265" s="22">
        <f>IF(C265="","",INDEX(MERCADORIA!$C$5:$C$22,MATCH(C265,MERCADORIA!$A$5:$A$22,0)))</f>
        <v/>
      </c>
      <c r="F265" s="23" t="n"/>
      <c r="G265" s="24">
        <f>IF(D265="","",INDEX(VALOR!$B$5:$B$8,MATCH(D265,VALOR!$A$5:$A$8,0)))</f>
        <v/>
      </c>
      <c r="H265" s="15">
        <f>IF(OR(G265="",F265=""),0,F265*G265)</f>
        <v/>
      </c>
      <c r="I265" s="20" t="n"/>
      <c r="J265" s="20" t="n"/>
      <c r="K265" s="24">
        <f>IF(OR(O265=0,J265=""),0,INDEX(MAPA!$C$5:$C$14,MATCH(J265,MAPA!$A$5:$A$14,0)))</f>
        <v/>
      </c>
      <c r="L265" s="25">
        <f>H265+K265</f>
        <v/>
      </c>
      <c r="M265" s="20" t="n"/>
      <c r="N265" s="20" t="n"/>
      <c r="O265" s="14">
        <f>IF(A265="",0,IF(COUNTIF($A$5:A265,A265)=1,1,0))</f>
        <v/>
      </c>
    </row>
    <row r="266">
      <c r="A266" s="20" t="n"/>
      <c r="B266" s="21" t="n"/>
      <c r="C266" s="20" t="n"/>
      <c r="D266" s="22">
        <f>IF(C266="","",INDEX(MERCADORIA!$B$5:$B$22,MATCH(C266,MERCADORIA!$A$5:$A$22,0)))</f>
        <v/>
      </c>
      <c r="E266" s="22">
        <f>IF(C266="","",INDEX(MERCADORIA!$C$5:$C$22,MATCH(C266,MERCADORIA!$A$5:$A$22,0)))</f>
        <v/>
      </c>
      <c r="F266" s="23" t="n"/>
      <c r="G266" s="24">
        <f>IF(D266="","",INDEX(VALOR!$B$5:$B$8,MATCH(D266,VALOR!$A$5:$A$8,0)))</f>
        <v/>
      </c>
      <c r="H266" s="15">
        <f>IF(OR(G266="",F266=""),0,F266*G266)</f>
        <v/>
      </c>
      <c r="I266" s="20" t="n"/>
      <c r="J266" s="20" t="n"/>
      <c r="K266" s="24">
        <f>IF(OR(O266=0,J266=""),0,INDEX(MAPA!$C$5:$C$14,MATCH(J266,MAPA!$A$5:$A$14,0)))</f>
        <v/>
      </c>
      <c r="L266" s="25">
        <f>H266+K266</f>
        <v/>
      </c>
      <c r="M266" s="20" t="n"/>
      <c r="N266" s="20" t="n"/>
      <c r="O266" s="14">
        <f>IF(A266="",0,IF(COUNTIF($A$5:A266,A266)=1,1,0))</f>
        <v/>
      </c>
    </row>
    <row r="267">
      <c r="A267" s="20" t="n"/>
      <c r="B267" s="21" t="n"/>
      <c r="C267" s="20" t="n"/>
      <c r="D267" s="22">
        <f>IF(C267="","",INDEX(MERCADORIA!$B$5:$B$22,MATCH(C267,MERCADORIA!$A$5:$A$22,0)))</f>
        <v/>
      </c>
      <c r="E267" s="22">
        <f>IF(C267="","",INDEX(MERCADORIA!$C$5:$C$22,MATCH(C267,MERCADORIA!$A$5:$A$22,0)))</f>
        <v/>
      </c>
      <c r="F267" s="23" t="n"/>
      <c r="G267" s="24">
        <f>IF(D267="","",INDEX(VALOR!$B$5:$B$8,MATCH(D267,VALOR!$A$5:$A$8,0)))</f>
        <v/>
      </c>
      <c r="H267" s="15">
        <f>IF(OR(G267="",F267=""),0,F267*G267)</f>
        <v/>
      </c>
      <c r="I267" s="20" t="n"/>
      <c r="J267" s="20" t="n"/>
      <c r="K267" s="24">
        <f>IF(OR(O267=0,J267=""),0,INDEX(MAPA!$C$5:$C$14,MATCH(J267,MAPA!$A$5:$A$14,0)))</f>
        <v/>
      </c>
      <c r="L267" s="25">
        <f>H267+K267</f>
        <v/>
      </c>
      <c r="M267" s="20" t="n"/>
      <c r="N267" s="20" t="n"/>
      <c r="O267" s="14">
        <f>IF(A267="",0,IF(COUNTIF($A$5:A267,A267)=1,1,0))</f>
        <v/>
      </c>
    </row>
    <row r="268">
      <c r="A268" s="20" t="n"/>
      <c r="B268" s="21" t="n"/>
      <c r="C268" s="20" t="n"/>
      <c r="D268" s="22">
        <f>IF(C268="","",INDEX(MERCADORIA!$B$5:$B$22,MATCH(C268,MERCADORIA!$A$5:$A$22,0)))</f>
        <v/>
      </c>
      <c r="E268" s="22">
        <f>IF(C268="","",INDEX(MERCADORIA!$C$5:$C$22,MATCH(C268,MERCADORIA!$A$5:$A$22,0)))</f>
        <v/>
      </c>
      <c r="F268" s="23" t="n"/>
      <c r="G268" s="24">
        <f>IF(D268="","",INDEX(VALOR!$B$5:$B$8,MATCH(D268,VALOR!$A$5:$A$8,0)))</f>
        <v/>
      </c>
      <c r="H268" s="15">
        <f>IF(OR(G268="",F268=""),0,F268*G268)</f>
        <v/>
      </c>
      <c r="I268" s="20" t="n"/>
      <c r="J268" s="20" t="n"/>
      <c r="K268" s="24">
        <f>IF(OR(O268=0,J268=""),0,INDEX(MAPA!$C$5:$C$14,MATCH(J268,MAPA!$A$5:$A$14,0)))</f>
        <v/>
      </c>
      <c r="L268" s="25">
        <f>H268+K268</f>
        <v/>
      </c>
      <c r="M268" s="20" t="n"/>
      <c r="N268" s="20" t="n"/>
      <c r="O268" s="14">
        <f>IF(A268="",0,IF(COUNTIF($A$5:A268,A268)=1,1,0))</f>
        <v/>
      </c>
    </row>
    <row r="269">
      <c r="A269" s="20" t="n"/>
      <c r="B269" s="21" t="n"/>
      <c r="C269" s="20" t="n"/>
      <c r="D269" s="22">
        <f>IF(C269="","",INDEX(MERCADORIA!$B$5:$B$22,MATCH(C269,MERCADORIA!$A$5:$A$22,0)))</f>
        <v/>
      </c>
      <c r="E269" s="22">
        <f>IF(C269="","",INDEX(MERCADORIA!$C$5:$C$22,MATCH(C269,MERCADORIA!$A$5:$A$22,0)))</f>
        <v/>
      </c>
      <c r="F269" s="23" t="n"/>
      <c r="G269" s="24">
        <f>IF(D269="","",INDEX(VALOR!$B$5:$B$8,MATCH(D269,VALOR!$A$5:$A$8,0)))</f>
        <v/>
      </c>
      <c r="H269" s="15">
        <f>IF(OR(G269="",F269=""),0,F269*G269)</f>
        <v/>
      </c>
      <c r="I269" s="20" t="n"/>
      <c r="J269" s="20" t="n"/>
      <c r="K269" s="24">
        <f>IF(OR(O269=0,J269=""),0,INDEX(MAPA!$C$5:$C$14,MATCH(J269,MAPA!$A$5:$A$14,0)))</f>
        <v/>
      </c>
      <c r="L269" s="25">
        <f>H269+K269</f>
        <v/>
      </c>
      <c r="M269" s="20" t="n"/>
      <c r="N269" s="20" t="n"/>
      <c r="O269" s="14">
        <f>IF(A269="",0,IF(COUNTIF($A$5:A269,A269)=1,1,0))</f>
        <v/>
      </c>
    </row>
    <row r="270">
      <c r="A270" s="20" t="n"/>
      <c r="B270" s="21" t="n"/>
      <c r="C270" s="20" t="n"/>
      <c r="D270" s="22">
        <f>IF(C270="","",INDEX(MERCADORIA!$B$5:$B$22,MATCH(C270,MERCADORIA!$A$5:$A$22,0)))</f>
        <v/>
      </c>
      <c r="E270" s="22">
        <f>IF(C270="","",INDEX(MERCADORIA!$C$5:$C$22,MATCH(C270,MERCADORIA!$A$5:$A$22,0)))</f>
        <v/>
      </c>
      <c r="F270" s="23" t="n"/>
      <c r="G270" s="24">
        <f>IF(D270="","",INDEX(VALOR!$B$5:$B$8,MATCH(D270,VALOR!$A$5:$A$8,0)))</f>
        <v/>
      </c>
      <c r="H270" s="15">
        <f>IF(OR(G270="",F270=""),0,F270*G270)</f>
        <v/>
      </c>
      <c r="I270" s="20" t="n"/>
      <c r="J270" s="20" t="n"/>
      <c r="K270" s="24">
        <f>IF(OR(O270=0,J270=""),0,INDEX(MAPA!$C$5:$C$14,MATCH(J270,MAPA!$A$5:$A$14,0)))</f>
        <v/>
      </c>
      <c r="L270" s="25">
        <f>H270+K270</f>
        <v/>
      </c>
      <c r="M270" s="20" t="n"/>
      <c r="N270" s="20" t="n"/>
      <c r="O270" s="14">
        <f>IF(A270="",0,IF(COUNTIF($A$5:A270,A270)=1,1,0))</f>
        <v/>
      </c>
    </row>
    <row r="271">
      <c r="A271" s="20" t="n"/>
      <c r="B271" s="21" t="n"/>
      <c r="C271" s="20" t="n"/>
      <c r="D271" s="22">
        <f>IF(C271="","",INDEX(MERCADORIA!$B$5:$B$22,MATCH(C271,MERCADORIA!$A$5:$A$22,0)))</f>
        <v/>
      </c>
      <c r="E271" s="22">
        <f>IF(C271="","",INDEX(MERCADORIA!$C$5:$C$22,MATCH(C271,MERCADORIA!$A$5:$A$22,0)))</f>
        <v/>
      </c>
      <c r="F271" s="23" t="n"/>
      <c r="G271" s="24">
        <f>IF(D271="","",INDEX(VALOR!$B$5:$B$8,MATCH(D271,VALOR!$A$5:$A$8,0)))</f>
        <v/>
      </c>
      <c r="H271" s="15">
        <f>IF(OR(G271="",F271=""),0,F271*G271)</f>
        <v/>
      </c>
      <c r="I271" s="20" t="n"/>
      <c r="J271" s="20" t="n"/>
      <c r="K271" s="24">
        <f>IF(OR(O271=0,J271=""),0,INDEX(MAPA!$C$5:$C$14,MATCH(J271,MAPA!$A$5:$A$14,0)))</f>
        <v/>
      </c>
      <c r="L271" s="25">
        <f>H271+K271</f>
        <v/>
      </c>
      <c r="M271" s="20" t="n"/>
      <c r="N271" s="20" t="n"/>
      <c r="O271" s="14">
        <f>IF(A271="",0,IF(COUNTIF($A$5:A271,A271)=1,1,0))</f>
        <v/>
      </c>
    </row>
    <row r="272">
      <c r="A272" s="20" t="n"/>
      <c r="B272" s="21" t="n"/>
      <c r="C272" s="20" t="n"/>
      <c r="D272" s="22">
        <f>IF(C272="","",INDEX(MERCADORIA!$B$5:$B$22,MATCH(C272,MERCADORIA!$A$5:$A$22,0)))</f>
        <v/>
      </c>
      <c r="E272" s="22">
        <f>IF(C272="","",INDEX(MERCADORIA!$C$5:$C$22,MATCH(C272,MERCADORIA!$A$5:$A$22,0)))</f>
        <v/>
      </c>
      <c r="F272" s="23" t="n"/>
      <c r="G272" s="24">
        <f>IF(D272="","",INDEX(VALOR!$B$5:$B$8,MATCH(D272,VALOR!$A$5:$A$8,0)))</f>
        <v/>
      </c>
      <c r="H272" s="15">
        <f>IF(OR(G272="",F272=""),0,F272*G272)</f>
        <v/>
      </c>
      <c r="I272" s="20" t="n"/>
      <c r="J272" s="20" t="n"/>
      <c r="K272" s="24">
        <f>IF(OR(O272=0,J272=""),0,INDEX(MAPA!$C$5:$C$14,MATCH(J272,MAPA!$A$5:$A$14,0)))</f>
        <v/>
      </c>
      <c r="L272" s="25">
        <f>H272+K272</f>
        <v/>
      </c>
      <c r="M272" s="20" t="n"/>
      <c r="N272" s="20" t="n"/>
      <c r="O272" s="14">
        <f>IF(A272="",0,IF(COUNTIF($A$5:A272,A272)=1,1,0))</f>
        <v/>
      </c>
    </row>
    <row r="273">
      <c r="A273" s="20" t="n"/>
      <c r="B273" s="21" t="n"/>
      <c r="C273" s="20" t="n"/>
      <c r="D273" s="22">
        <f>IF(C273="","",INDEX(MERCADORIA!$B$5:$B$22,MATCH(C273,MERCADORIA!$A$5:$A$22,0)))</f>
        <v/>
      </c>
      <c r="E273" s="22">
        <f>IF(C273="","",INDEX(MERCADORIA!$C$5:$C$22,MATCH(C273,MERCADORIA!$A$5:$A$22,0)))</f>
        <v/>
      </c>
      <c r="F273" s="23" t="n"/>
      <c r="G273" s="24">
        <f>IF(D273="","",INDEX(VALOR!$B$5:$B$8,MATCH(D273,VALOR!$A$5:$A$8,0)))</f>
        <v/>
      </c>
      <c r="H273" s="15">
        <f>IF(OR(G273="",F273=""),0,F273*G273)</f>
        <v/>
      </c>
      <c r="I273" s="20" t="n"/>
      <c r="J273" s="20" t="n"/>
      <c r="K273" s="24">
        <f>IF(OR(O273=0,J273=""),0,INDEX(MAPA!$C$5:$C$14,MATCH(J273,MAPA!$A$5:$A$14,0)))</f>
        <v/>
      </c>
      <c r="L273" s="25">
        <f>H273+K273</f>
        <v/>
      </c>
      <c r="M273" s="20" t="n"/>
      <c r="N273" s="20" t="n"/>
      <c r="O273" s="14">
        <f>IF(A273="",0,IF(COUNTIF($A$5:A273,A273)=1,1,0))</f>
        <v/>
      </c>
    </row>
    <row r="274">
      <c r="A274" s="20" t="n"/>
      <c r="B274" s="21" t="n"/>
      <c r="C274" s="20" t="n"/>
      <c r="D274" s="22">
        <f>IF(C274="","",INDEX(MERCADORIA!$B$5:$B$22,MATCH(C274,MERCADORIA!$A$5:$A$22,0)))</f>
        <v/>
      </c>
      <c r="E274" s="22">
        <f>IF(C274="","",INDEX(MERCADORIA!$C$5:$C$22,MATCH(C274,MERCADORIA!$A$5:$A$22,0)))</f>
        <v/>
      </c>
      <c r="F274" s="23" t="n"/>
      <c r="G274" s="24">
        <f>IF(D274="","",INDEX(VALOR!$B$5:$B$8,MATCH(D274,VALOR!$A$5:$A$8,0)))</f>
        <v/>
      </c>
      <c r="H274" s="15">
        <f>IF(OR(G274="",F274=""),0,F274*G274)</f>
        <v/>
      </c>
      <c r="I274" s="20" t="n"/>
      <c r="J274" s="20" t="n"/>
      <c r="K274" s="24">
        <f>IF(OR(O274=0,J274=""),0,INDEX(MAPA!$C$5:$C$14,MATCH(J274,MAPA!$A$5:$A$14,0)))</f>
        <v/>
      </c>
      <c r="L274" s="25">
        <f>H274+K274</f>
        <v/>
      </c>
      <c r="M274" s="20" t="n"/>
      <c r="N274" s="20" t="n"/>
      <c r="O274" s="14">
        <f>IF(A274="",0,IF(COUNTIF($A$5:A274,A274)=1,1,0))</f>
        <v/>
      </c>
    </row>
    <row r="275">
      <c r="A275" s="20" t="n"/>
      <c r="B275" s="21" t="n"/>
      <c r="C275" s="20" t="n"/>
      <c r="D275" s="22">
        <f>IF(C275="","",INDEX(MERCADORIA!$B$5:$B$22,MATCH(C275,MERCADORIA!$A$5:$A$22,0)))</f>
        <v/>
      </c>
      <c r="E275" s="22">
        <f>IF(C275="","",INDEX(MERCADORIA!$C$5:$C$22,MATCH(C275,MERCADORIA!$A$5:$A$22,0)))</f>
        <v/>
      </c>
      <c r="F275" s="23" t="n"/>
      <c r="G275" s="24">
        <f>IF(D275="","",INDEX(VALOR!$B$5:$B$8,MATCH(D275,VALOR!$A$5:$A$8,0)))</f>
        <v/>
      </c>
      <c r="H275" s="15">
        <f>IF(OR(G275="",F275=""),0,F275*G275)</f>
        <v/>
      </c>
      <c r="I275" s="20" t="n"/>
      <c r="J275" s="20" t="n"/>
      <c r="K275" s="24">
        <f>IF(OR(O275=0,J275=""),0,INDEX(MAPA!$C$5:$C$14,MATCH(J275,MAPA!$A$5:$A$14,0)))</f>
        <v/>
      </c>
      <c r="L275" s="25">
        <f>H275+K275</f>
        <v/>
      </c>
      <c r="M275" s="20" t="n"/>
      <c r="N275" s="20" t="n"/>
      <c r="O275" s="14">
        <f>IF(A275="",0,IF(COUNTIF($A$5:A275,A275)=1,1,0))</f>
        <v/>
      </c>
    </row>
    <row r="276">
      <c r="A276" s="20" t="n"/>
      <c r="B276" s="21" t="n"/>
      <c r="C276" s="20" t="n"/>
      <c r="D276" s="22">
        <f>IF(C276="","",INDEX(MERCADORIA!$B$5:$B$22,MATCH(C276,MERCADORIA!$A$5:$A$22,0)))</f>
        <v/>
      </c>
      <c r="E276" s="22">
        <f>IF(C276="","",INDEX(MERCADORIA!$C$5:$C$22,MATCH(C276,MERCADORIA!$A$5:$A$22,0)))</f>
        <v/>
      </c>
      <c r="F276" s="23" t="n"/>
      <c r="G276" s="24">
        <f>IF(D276="","",INDEX(VALOR!$B$5:$B$8,MATCH(D276,VALOR!$A$5:$A$8,0)))</f>
        <v/>
      </c>
      <c r="H276" s="15">
        <f>IF(OR(G276="",F276=""),0,F276*G276)</f>
        <v/>
      </c>
      <c r="I276" s="20" t="n"/>
      <c r="J276" s="20" t="n"/>
      <c r="K276" s="24">
        <f>IF(OR(O276=0,J276=""),0,INDEX(MAPA!$C$5:$C$14,MATCH(J276,MAPA!$A$5:$A$14,0)))</f>
        <v/>
      </c>
      <c r="L276" s="25">
        <f>H276+K276</f>
        <v/>
      </c>
      <c r="M276" s="20" t="n"/>
      <c r="N276" s="20" t="n"/>
      <c r="O276" s="14">
        <f>IF(A276="",0,IF(COUNTIF($A$5:A276,A276)=1,1,0))</f>
        <v/>
      </c>
    </row>
    <row r="277">
      <c r="A277" s="20" t="n"/>
      <c r="B277" s="21" t="n"/>
      <c r="C277" s="20" t="n"/>
      <c r="D277" s="22">
        <f>IF(C277="","",INDEX(MERCADORIA!$B$5:$B$22,MATCH(C277,MERCADORIA!$A$5:$A$22,0)))</f>
        <v/>
      </c>
      <c r="E277" s="22">
        <f>IF(C277="","",INDEX(MERCADORIA!$C$5:$C$22,MATCH(C277,MERCADORIA!$A$5:$A$22,0)))</f>
        <v/>
      </c>
      <c r="F277" s="23" t="n"/>
      <c r="G277" s="24">
        <f>IF(D277="","",INDEX(VALOR!$B$5:$B$8,MATCH(D277,VALOR!$A$5:$A$8,0)))</f>
        <v/>
      </c>
      <c r="H277" s="15">
        <f>IF(OR(G277="",F277=""),0,F277*G277)</f>
        <v/>
      </c>
      <c r="I277" s="20" t="n"/>
      <c r="J277" s="20" t="n"/>
      <c r="K277" s="24">
        <f>IF(OR(O277=0,J277=""),0,INDEX(MAPA!$C$5:$C$14,MATCH(J277,MAPA!$A$5:$A$14,0)))</f>
        <v/>
      </c>
      <c r="L277" s="25">
        <f>H277+K277</f>
        <v/>
      </c>
      <c r="M277" s="20" t="n"/>
      <c r="N277" s="20" t="n"/>
      <c r="O277" s="14">
        <f>IF(A277="",0,IF(COUNTIF($A$5:A277,A277)=1,1,0))</f>
        <v/>
      </c>
    </row>
    <row r="278">
      <c r="A278" s="20" t="n"/>
      <c r="B278" s="21" t="n"/>
      <c r="C278" s="20" t="n"/>
      <c r="D278" s="22">
        <f>IF(C278="","",INDEX(MERCADORIA!$B$5:$B$22,MATCH(C278,MERCADORIA!$A$5:$A$22,0)))</f>
        <v/>
      </c>
      <c r="E278" s="22">
        <f>IF(C278="","",INDEX(MERCADORIA!$C$5:$C$22,MATCH(C278,MERCADORIA!$A$5:$A$22,0)))</f>
        <v/>
      </c>
      <c r="F278" s="23" t="n"/>
      <c r="G278" s="24">
        <f>IF(D278="","",INDEX(VALOR!$B$5:$B$8,MATCH(D278,VALOR!$A$5:$A$8,0)))</f>
        <v/>
      </c>
      <c r="H278" s="15">
        <f>IF(OR(G278="",F278=""),0,F278*G278)</f>
        <v/>
      </c>
      <c r="I278" s="20" t="n"/>
      <c r="J278" s="20" t="n"/>
      <c r="K278" s="24">
        <f>IF(OR(O278=0,J278=""),0,INDEX(MAPA!$C$5:$C$14,MATCH(J278,MAPA!$A$5:$A$14,0)))</f>
        <v/>
      </c>
      <c r="L278" s="25">
        <f>H278+K278</f>
        <v/>
      </c>
      <c r="M278" s="20" t="n"/>
      <c r="N278" s="20" t="n"/>
      <c r="O278" s="14">
        <f>IF(A278="",0,IF(COUNTIF($A$5:A278,A278)=1,1,0))</f>
        <v/>
      </c>
    </row>
    <row r="279">
      <c r="A279" s="20" t="n"/>
      <c r="B279" s="21" t="n"/>
      <c r="C279" s="20" t="n"/>
      <c r="D279" s="22">
        <f>IF(C279="","",INDEX(MERCADORIA!$B$5:$B$22,MATCH(C279,MERCADORIA!$A$5:$A$22,0)))</f>
        <v/>
      </c>
      <c r="E279" s="22">
        <f>IF(C279="","",INDEX(MERCADORIA!$C$5:$C$22,MATCH(C279,MERCADORIA!$A$5:$A$22,0)))</f>
        <v/>
      </c>
      <c r="F279" s="23" t="n"/>
      <c r="G279" s="24">
        <f>IF(D279="","",INDEX(VALOR!$B$5:$B$8,MATCH(D279,VALOR!$A$5:$A$8,0)))</f>
        <v/>
      </c>
      <c r="H279" s="15">
        <f>IF(OR(G279="",F279=""),0,F279*G279)</f>
        <v/>
      </c>
      <c r="I279" s="20" t="n"/>
      <c r="J279" s="20" t="n"/>
      <c r="K279" s="24">
        <f>IF(OR(O279=0,J279=""),0,INDEX(MAPA!$C$5:$C$14,MATCH(J279,MAPA!$A$5:$A$14,0)))</f>
        <v/>
      </c>
      <c r="L279" s="25">
        <f>H279+K279</f>
        <v/>
      </c>
      <c r="M279" s="20" t="n"/>
      <c r="N279" s="20" t="n"/>
      <c r="O279" s="14">
        <f>IF(A279="",0,IF(COUNTIF($A$5:A279,A279)=1,1,0))</f>
        <v/>
      </c>
    </row>
    <row r="280">
      <c r="A280" s="20" t="n"/>
      <c r="B280" s="21" t="n"/>
      <c r="C280" s="20" t="n"/>
      <c r="D280" s="22">
        <f>IF(C280="","",INDEX(MERCADORIA!$B$5:$B$22,MATCH(C280,MERCADORIA!$A$5:$A$22,0)))</f>
        <v/>
      </c>
      <c r="E280" s="22">
        <f>IF(C280="","",INDEX(MERCADORIA!$C$5:$C$22,MATCH(C280,MERCADORIA!$A$5:$A$22,0)))</f>
        <v/>
      </c>
      <c r="F280" s="23" t="n"/>
      <c r="G280" s="24">
        <f>IF(D280="","",INDEX(VALOR!$B$5:$B$8,MATCH(D280,VALOR!$A$5:$A$8,0)))</f>
        <v/>
      </c>
      <c r="H280" s="15">
        <f>IF(OR(G280="",F280=""),0,F280*G280)</f>
        <v/>
      </c>
      <c r="I280" s="20" t="n"/>
      <c r="J280" s="20" t="n"/>
      <c r="K280" s="24">
        <f>IF(OR(O280=0,J280=""),0,INDEX(MAPA!$C$5:$C$14,MATCH(J280,MAPA!$A$5:$A$14,0)))</f>
        <v/>
      </c>
      <c r="L280" s="25">
        <f>H280+K280</f>
        <v/>
      </c>
      <c r="M280" s="20" t="n"/>
      <c r="N280" s="20" t="n"/>
      <c r="O280" s="14">
        <f>IF(A280="",0,IF(COUNTIF($A$5:A280,A280)=1,1,0))</f>
        <v/>
      </c>
    </row>
    <row r="281">
      <c r="A281" s="20" t="n"/>
      <c r="B281" s="21" t="n"/>
      <c r="C281" s="20" t="n"/>
      <c r="D281" s="22">
        <f>IF(C281="","",INDEX(MERCADORIA!$B$5:$B$22,MATCH(C281,MERCADORIA!$A$5:$A$22,0)))</f>
        <v/>
      </c>
      <c r="E281" s="22">
        <f>IF(C281="","",INDEX(MERCADORIA!$C$5:$C$22,MATCH(C281,MERCADORIA!$A$5:$A$22,0)))</f>
        <v/>
      </c>
      <c r="F281" s="23" t="n"/>
      <c r="G281" s="24">
        <f>IF(D281="","",INDEX(VALOR!$B$5:$B$8,MATCH(D281,VALOR!$A$5:$A$8,0)))</f>
        <v/>
      </c>
      <c r="H281" s="15">
        <f>IF(OR(G281="",F281=""),0,F281*G281)</f>
        <v/>
      </c>
      <c r="I281" s="20" t="n"/>
      <c r="J281" s="20" t="n"/>
      <c r="K281" s="24">
        <f>IF(OR(O281=0,J281=""),0,INDEX(MAPA!$C$5:$C$14,MATCH(J281,MAPA!$A$5:$A$14,0)))</f>
        <v/>
      </c>
      <c r="L281" s="25">
        <f>H281+K281</f>
        <v/>
      </c>
      <c r="M281" s="20" t="n"/>
      <c r="N281" s="20" t="n"/>
      <c r="O281" s="14">
        <f>IF(A281="",0,IF(COUNTIF($A$5:A281,A281)=1,1,0))</f>
        <v/>
      </c>
    </row>
    <row r="282">
      <c r="A282" s="20" t="n"/>
      <c r="B282" s="21" t="n"/>
      <c r="C282" s="20" t="n"/>
      <c r="D282" s="22">
        <f>IF(C282="","",INDEX(MERCADORIA!$B$5:$B$22,MATCH(C282,MERCADORIA!$A$5:$A$22,0)))</f>
        <v/>
      </c>
      <c r="E282" s="22">
        <f>IF(C282="","",INDEX(MERCADORIA!$C$5:$C$22,MATCH(C282,MERCADORIA!$A$5:$A$22,0)))</f>
        <v/>
      </c>
      <c r="F282" s="23" t="n"/>
      <c r="G282" s="24">
        <f>IF(D282="","",INDEX(VALOR!$B$5:$B$8,MATCH(D282,VALOR!$A$5:$A$8,0)))</f>
        <v/>
      </c>
      <c r="H282" s="15">
        <f>IF(OR(G282="",F282=""),0,F282*G282)</f>
        <v/>
      </c>
      <c r="I282" s="20" t="n"/>
      <c r="J282" s="20" t="n"/>
      <c r="K282" s="24">
        <f>IF(OR(O282=0,J282=""),0,INDEX(MAPA!$C$5:$C$14,MATCH(J282,MAPA!$A$5:$A$14,0)))</f>
        <v/>
      </c>
      <c r="L282" s="25">
        <f>H282+K282</f>
        <v/>
      </c>
      <c r="M282" s="20" t="n"/>
      <c r="N282" s="20" t="n"/>
      <c r="O282" s="14">
        <f>IF(A282="",0,IF(COUNTIF($A$5:A282,A282)=1,1,0))</f>
        <v/>
      </c>
    </row>
    <row r="283">
      <c r="A283" s="20" t="n"/>
      <c r="B283" s="21" t="n"/>
      <c r="C283" s="20" t="n"/>
      <c r="D283" s="22">
        <f>IF(C283="","",INDEX(MERCADORIA!$B$5:$B$22,MATCH(C283,MERCADORIA!$A$5:$A$22,0)))</f>
        <v/>
      </c>
      <c r="E283" s="22">
        <f>IF(C283="","",INDEX(MERCADORIA!$C$5:$C$22,MATCH(C283,MERCADORIA!$A$5:$A$22,0)))</f>
        <v/>
      </c>
      <c r="F283" s="23" t="n"/>
      <c r="G283" s="24">
        <f>IF(D283="","",INDEX(VALOR!$B$5:$B$8,MATCH(D283,VALOR!$A$5:$A$8,0)))</f>
        <v/>
      </c>
      <c r="H283" s="15">
        <f>IF(OR(G283="",F283=""),0,F283*G283)</f>
        <v/>
      </c>
      <c r="I283" s="20" t="n"/>
      <c r="J283" s="20" t="n"/>
      <c r="K283" s="24">
        <f>IF(OR(O283=0,J283=""),0,INDEX(MAPA!$C$5:$C$14,MATCH(J283,MAPA!$A$5:$A$14,0)))</f>
        <v/>
      </c>
      <c r="L283" s="25">
        <f>H283+K283</f>
        <v/>
      </c>
      <c r="M283" s="20" t="n"/>
      <c r="N283" s="20" t="n"/>
      <c r="O283" s="14">
        <f>IF(A283="",0,IF(COUNTIF($A$5:A283,A283)=1,1,0))</f>
        <v/>
      </c>
    </row>
    <row r="284">
      <c r="A284" s="20" t="n"/>
      <c r="B284" s="21" t="n"/>
      <c r="C284" s="20" t="n"/>
      <c r="D284" s="22">
        <f>IF(C284="","",INDEX(MERCADORIA!$B$5:$B$22,MATCH(C284,MERCADORIA!$A$5:$A$22,0)))</f>
        <v/>
      </c>
      <c r="E284" s="22">
        <f>IF(C284="","",INDEX(MERCADORIA!$C$5:$C$22,MATCH(C284,MERCADORIA!$A$5:$A$22,0)))</f>
        <v/>
      </c>
      <c r="F284" s="23" t="n"/>
      <c r="G284" s="24">
        <f>IF(D284="","",INDEX(VALOR!$B$5:$B$8,MATCH(D284,VALOR!$A$5:$A$8,0)))</f>
        <v/>
      </c>
      <c r="H284" s="15">
        <f>IF(OR(G284="",F284=""),0,F284*G284)</f>
        <v/>
      </c>
      <c r="I284" s="20" t="n"/>
      <c r="J284" s="20" t="n"/>
      <c r="K284" s="24">
        <f>IF(OR(O284=0,J284=""),0,INDEX(MAPA!$C$5:$C$14,MATCH(J284,MAPA!$A$5:$A$14,0)))</f>
        <v/>
      </c>
      <c r="L284" s="25">
        <f>H284+K284</f>
        <v/>
      </c>
      <c r="M284" s="20" t="n"/>
      <c r="N284" s="20" t="n"/>
      <c r="O284" s="14">
        <f>IF(A284="",0,IF(COUNTIF($A$5:A284,A284)=1,1,0))</f>
        <v/>
      </c>
    </row>
    <row r="285">
      <c r="A285" s="20" t="n"/>
      <c r="B285" s="21" t="n"/>
      <c r="C285" s="20" t="n"/>
      <c r="D285" s="22">
        <f>IF(C285="","",INDEX(MERCADORIA!$B$5:$B$22,MATCH(C285,MERCADORIA!$A$5:$A$22,0)))</f>
        <v/>
      </c>
      <c r="E285" s="22">
        <f>IF(C285="","",INDEX(MERCADORIA!$C$5:$C$22,MATCH(C285,MERCADORIA!$A$5:$A$22,0)))</f>
        <v/>
      </c>
      <c r="F285" s="23" t="n"/>
      <c r="G285" s="24">
        <f>IF(D285="","",INDEX(VALOR!$B$5:$B$8,MATCH(D285,VALOR!$A$5:$A$8,0)))</f>
        <v/>
      </c>
      <c r="H285" s="15">
        <f>IF(OR(G285="",F285=""),0,F285*G285)</f>
        <v/>
      </c>
      <c r="I285" s="20" t="n"/>
      <c r="J285" s="20" t="n"/>
      <c r="K285" s="24">
        <f>IF(OR(O285=0,J285=""),0,INDEX(MAPA!$C$5:$C$14,MATCH(J285,MAPA!$A$5:$A$14,0)))</f>
        <v/>
      </c>
      <c r="L285" s="25">
        <f>H285+K285</f>
        <v/>
      </c>
      <c r="M285" s="20" t="n"/>
      <c r="N285" s="20" t="n"/>
      <c r="O285" s="14">
        <f>IF(A285="",0,IF(COUNTIF($A$5:A285,A285)=1,1,0))</f>
        <v/>
      </c>
    </row>
    <row r="286">
      <c r="A286" s="20" t="n"/>
      <c r="B286" s="21" t="n"/>
      <c r="C286" s="20" t="n"/>
      <c r="D286" s="22">
        <f>IF(C286="","",INDEX(MERCADORIA!$B$5:$B$22,MATCH(C286,MERCADORIA!$A$5:$A$22,0)))</f>
        <v/>
      </c>
      <c r="E286" s="22">
        <f>IF(C286="","",INDEX(MERCADORIA!$C$5:$C$22,MATCH(C286,MERCADORIA!$A$5:$A$22,0)))</f>
        <v/>
      </c>
      <c r="F286" s="23" t="n"/>
      <c r="G286" s="24">
        <f>IF(D286="","",INDEX(VALOR!$B$5:$B$8,MATCH(D286,VALOR!$A$5:$A$8,0)))</f>
        <v/>
      </c>
      <c r="H286" s="15">
        <f>IF(OR(G286="",F286=""),0,F286*G286)</f>
        <v/>
      </c>
      <c r="I286" s="20" t="n"/>
      <c r="J286" s="20" t="n"/>
      <c r="K286" s="24">
        <f>IF(OR(O286=0,J286=""),0,INDEX(MAPA!$C$5:$C$14,MATCH(J286,MAPA!$A$5:$A$14,0)))</f>
        <v/>
      </c>
      <c r="L286" s="25">
        <f>H286+K286</f>
        <v/>
      </c>
      <c r="M286" s="20" t="n"/>
      <c r="N286" s="20" t="n"/>
      <c r="O286" s="14">
        <f>IF(A286="",0,IF(COUNTIF($A$5:A286,A286)=1,1,0))</f>
        <v/>
      </c>
    </row>
    <row r="287">
      <c r="A287" s="20" t="n"/>
      <c r="B287" s="21" t="n"/>
      <c r="C287" s="20" t="n"/>
      <c r="D287" s="22">
        <f>IF(C287="","",INDEX(MERCADORIA!$B$5:$B$22,MATCH(C287,MERCADORIA!$A$5:$A$22,0)))</f>
        <v/>
      </c>
      <c r="E287" s="22">
        <f>IF(C287="","",INDEX(MERCADORIA!$C$5:$C$22,MATCH(C287,MERCADORIA!$A$5:$A$22,0)))</f>
        <v/>
      </c>
      <c r="F287" s="23" t="n"/>
      <c r="G287" s="24">
        <f>IF(D287="","",INDEX(VALOR!$B$5:$B$8,MATCH(D287,VALOR!$A$5:$A$8,0)))</f>
        <v/>
      </c>
      <c r="H287" s="15">
        <f>IF(OR(G287="",F287=""),0,F287*G287)</f>
        <v/>
      </c>
      <c r="I287" s="20" t="n"/>
      <c r="J287" s="20" t="n"/>
      <c r="K287" s="24">
        <f>IF(OR(O287=0,J287=""),0,INDEX(MAPA!$C$5:$C$14,MATCH(J287,MAPA!$A$5:$A$14,0)))</f>
        <v/>
      </c>
      <c r="L287" s="25">
        <f>H287+K287</f>
        <v/>
      </c>
      <c r="M287" s="20" t="n"/>
      <c r="N287" s="20" t="n"/>
      <c r="O287" s="14">
        <f>IF(A287="",0,IF(COUNTIF($A$5:A287,A287)=1,1,0))</f>
        <v/>
      </c>
    </row>
    <row r="288">
      <c r="A288" s="20" t="n"/>
      <c r="B288" s="21" t="n"/>
      <c r="C288" s="20" t="n"/>
      <c r="D288" s="22">
        <f>IF(C288="","",INDEX(MERCADORIA!$B$5:$B$22,MATCH(C288,MERCADORIA!$A$5:$A$22,0)))</f>
        <v/>
      </c>
      <c r="E288" s="22">
        <f>IF(C288="","",INDEX(MERCADORIA!$C$5:$C$22,MATCH(C288,MERCADORIA!$A$5:$A$22,0)))</f>
        <v/>
      </c>
      <c r="F288" s="23" t="n"/>
      <c r="G288" s="24">
        <f>IF(D288="","",INDEX(VALOR!$B$5:$B$8,MATCH(D288,VALOR!$A$5:$A$8,0)))</f>
        <v/>
      </c>
      <c r="H288" s="15">
        <f>IF(OR(G288="",F288=""),0,F288*G288)</f>
        <v/>
      </c>
      <c r="I288" s="20" t="n"/>
      <c r="J288" s="20" t="n"/>
      <c r="K288" s="24">
        <f>IF(OR(O288=0,J288=""),0,INDEX(MAPA!$C$5:$C$14,MATCH(J288,MAPA!$A$5:$A$14,0)))</f>
        <v/>
      </c>
      <c r="L288" s="25">
        <f>H288+K288</f>
        <v/>
      </c>
      <c r="M288" s="20" t="n"/>
      <c r="N288" s="20" t="n"/>
      <c r="O288" s="14">
        <f>IF(A288="",0,IF(COUNTIF($A$5:A288,A288)=1,1,0))</f>
        <v/>
      </c>
    </row>
    <row r="289">
      <c r="A289" s="20" t="n"/>
      <c r="B289" s="21" t="n"/>
      <c r="C289" s="20" t="n"/>
      <c r="D289" s="22">
        <f>IF(C289="","",INDEX(MERCADORIA!$B$5:$B$22,MATCH(C289,MERCADORIA!$A$5:$A$22,0)))</f>
        <v/>
      </c>
      <c r="E289" s="22">
        <f>IF(C289="","",INDEX(MERCADORIA!$C$5:$C$22,MATCH(C289,MERCADORIA!$A$5:$A$22,0)))</f>
        <v/>
      </c>
      <c r="F289" s="23" t="n"/>
      <c r="G289" s="24">
        <f>IF(D289="","",INDEX(VALOR!$B$5:$B$8,MATCH(D289,VALOR!$A$5:$A$8,0)))</f>
        <v/>
      </c>
      <c r="H289" s="15">
        <f>IF(OR(G289="",F289=""),0,F289*G289)</f>
        <v/>
      </c>
      <c r="I289" s="20" t="n"/>
      <c r="J289" s="20" t="n"/>
      <c r="K289" s="24">
        <f>IF(OR(O289=0,J289=""),0,INDEX(MAPA!$C$5:$C$14,MATCH(J289,MAPA!$A$5:$A$14,0)))</f>
        <v/>
      </c>
      <c r="L289" s="25">
        <f>H289+K289</f>
        <v/>
      </c>
      <c r="M289" s="20" t="n"/>
      <c r="N289" s="20" t="n"/>
      <c r="O289" s="14">
        <f>IF(A289="",0,IF(COUNTIF($A$5:A289,A289)=1,1,0))</f>
        <v/>
      </c>
    </row>
    <row r="290">
      <c r="A290" s="20" t="n"/>
      <c r="B290" s="21" t="n"/>
      <c r="C290" s="20" t="n"/>
      <c r="D290" s="22">
        <f>IF(C290="","",INDEX(MERCADORIA!$B$5:$B$22,MATCH(C290,MERCADORIA!$A$5:$A$22,0)))</f>
        <v/>
      </c>
      <c r="E290" s="22">
        <f>IF(C290="","",INDEX(MERCADORIA!$C$5:$C$22,MATCH(C290,MERCADORIA!$A$5:$A$22,0)))</f>
        <v/>
      </c>
      <c r="F290" s="23" t="n"/>
      <c r="G290" s="24">
        <f>IF(D290="","",INDEX(VALOR!$B$5:$B$8,MATCH(D290,VALOR!$A$5:$A$8,0)))</f>
        <v/>
      </c>
      <c r="H290" s="15">
        <f>IF(OR(G290="",F290=""),0,F290*G290)</f>
        <v/>
      </c>
      <c r="I290" s="20" t="n"/>
      <c r="J290" s="20" t="n"/>
      <c r="K290" s="24">
        <f>IF(OR(O290=0,J290=""),0,INDEX(MAPA!$C$5:$C$14,MATCH(J290,MAPA!$A$5:$A$14,0)))</f>
        <v/>
      </c>
      <c r="L290" s="25">
        <f>H290+K290</f>
        <v/>
      </c>
      <c r="M290" s="20" t="n"/>
      <c r="N290" s="20" t="n"/>
      <c r="O290" s="14">
        <f>IF(A290="",0,IF(COUNTIF($A$5:A290,A290)=1,1,0))</f>
        <v/>
      </c>
    </row>
    <row r="291">
      <c r="A291" s="20" t="n"/>
      <c r="B291" s="21" t="n"/>
      <c r="C291" s="20" t="n"/>
      <c r="D291" s="22">
        <f>IF(C291="","",INDEX(MERCADORIA!$B$5:$B$22,MATCH(C291,MERCADORIA!$A$5:$A$22,0)))</f>
        <v/>
      </c>
      <c r="E291" s="22">
        <f>IF(C291="","",INDEX(MERCADORIA!$C$5:$C$22,MATCH(C291,MERCADORIA!$A$5:$A$22,0)))</f>
        <v/>
      </c>
      <c r="F291" s="23" t="n"/>
      <c r="G291" s="24">
        <f>IF(D291="","",INDEX(VALOR!$B$5:$B$8,MATCH(D291,VALOR!$A$5:$A$8,0)))</f>
        <v/>
      </c>
      <c r="H291" s="15">
        <f>IF(OR(G291="",F291=""),0,F291*G291)</f>
        <v/>
      </c>
      <c r="I291" s="20" t="n"/>
      <c r="J291" s="20" t="n"/>
      <c r="K291" s="24">
        <f>IF(OR(O291=0,J291=""),0,INDEX(MAPA!$C$5:$C$14,MATCH(J291,MAPA!$A$5:$A$14,0)))</f>
        <v/>
      </c>
      <c r="L291" s="25">
        <f>H291+K291</f>
        <v/>
      </c>
      <c r="M291" s="20" t="n"/>
      <c r="N291" s="20" t="n"/>
      <c r="O291" s="14">
        <f>IF(A291="",0,IF(COUNTIF($A$5:A291,A291)=1,1,0))</f>
        <v/>
      </c>
    </row>
    <row r="292">
      <c r="A292" s="20" t="n"/>
      <c r="B292" s="21" t="n"/>
      <c r="C292" s="20" t="n"/>
      <c r="D292" s="22">
        <f>IF(C292="","",INDEX(MERCADORIA!$B$5:$B$22,MATCH(C292,MERCADORIA!$A$5:$A$22,0)))</f>
        <v/>
      </c>
      <c r="E292" s="22">
        <f>IF(C292="","",INDEX(MERCADORIA!$C$5:$C$22,MATCH(C292,MERCADORIA!$A$5:$A$22,0)))</f>
        <v/>
      </c>
      <c r="F292" s="23" t="n"/>
      <c r="G292" s="24">
        <f>IF(D292="","",INDEX(VALOR!$B$5:$B$8,MATCH(D292,VALOR!$A$5:$A$8,0)))</f>
        <v/>
      </c>
      <c r="H292" s="15">
        <f>IF(OR(G292="",F292=""),0,F292*G292)</f>
        <v/>
      </c>
      <c r="I292" s="20" t="n"/>
      <c r="J292" s="20" t="n"/>
      <c r="K292" s="24">
        <f>IF(OR(O292=0,J292=""),0,INDEX(MAPA!$C$5:$C$14,MATCH(J292,MAPA!$A$5:$A$14,0)))</f>
        <v/>
      </c>
      <c r="L292" s="25">
        <f>H292+K292</f>
        <v/>
      </c>
      <c r="M292" s="20" t="n"/>
      <c r="N292" s="20" t="n"/>
      <c r="O292" s="14">
        <f>IF(A292="",0,IF(COUNTIF($A$5:A292,A292)=1,1,0))</f>
        <v/>
      </c>
    </row>
    <row r="293">
      <c r="A293" s="20" t="n"/>
      <c r="B293" s="21" t="n"/>
      <c r="C293" s="20" t="n"/>
      <c r="D293" s="22">
        <f>IF(C293="","",INDEX(MERCADORIA!$B$5:$B$22,MATCH(C293,MERCADORIA!$A$5:$A$22,0)))</f>
        <v/>
      </c>
      <c r="E293" s="22">
        <f>IF(C293="","",INDEX(MERCADORIA!$C$5:$C$22,MATCH(C293,MERCADORIA!$A$5:$A$22,0)))</f>
        <v/>
      </c>
      <c r="F293" s="23" t="n"/>
      <c r="G293" s="24">
        <f>IF(D293="","",INDEX(VALOR!$B$5:$B$8,MATCH(D293,VALOR!$A$5:$A$8,0)))</f>
        <v/>
      </c>
      <c r="H293" s="15">
        <f>IF(OR(G293="",F293=""),0,F293*G293)</f>
        <v/>
      </c>
      <c r="I293" s="20" t="n"/>
      <c r="J293" s="20" t="n"/>
      <c r="K293" s="24">
        <f>IF(OR(O293=0,J293=""),0,INDEX(MAPA!$C$5:$C$14,MATCH(J293,MAPA!$A$5:$A$14,0)))</f>
        <v/>
      </c>
      <c r="L293" s="25">
        <f>H293+K293</f>
        <v/>
      </c>
      <c r="M293" s="20" t="n"/>
      <c r="N293" s="20" t="n"/>
      <c r="O293" s="14">
        <f>IF(A293="",0,IF(COUNTIF($A$5:A293,A293)=1,1,0))</f>
        <v/>
      </c>
    </row>
    <row r="294">
      <c r="A294" s="20" t="n"/>
      <c r="B294" s="21" t="n"/>
      <c r="C294" s="20" t="n"/>
      <c r="D294" s="22">
        <f>IF(C294="","",INDEX(MERCADORIA!$B$5:$B$22,MATCH(C294,MERCADORIA!$A$5:$A$22,0)))</f>
        <v/>
      </c>
      <c r="E294" s="22">
        <f>IF(C294="","",INDEX(MERCADORIA!$C$5:$C$22,MATCH(C294,MERCADORIA!$A$5:$A$22,0)))</f>
        <v/>
      </c>
      <c r="F294" s="23" t="n"/>
      <c r="G294" s="24">
        <f>IF(D294="","",INDEX(VALOR!$B$5:$B$8,MATCH(D294,VALOR!$A$5:$A$8,0)))</f>
        <v/>
      </c>
      <c r="H294" s="15">
        <f>IF(OR(G294="",F294=""),0,F294*G294)</f>
        <v/>
      </c>
      <c r="I294" s="20" t="n"/>
      <c r="J294" s="20" t="n"/>
      <c r="K294" s="24">
        <f>IF(OR(O294=0,J294=""),0,INDEX(MAPA!$C$5:$C$14,MATCH(J294,MAPA!$A$5:$A$14,0)))</f>
        <v/>
      </c>
      <c r="L294" s="25">
        <f>H294+K294</f>
        <v/>
      </c>
      <c r="M294" s="20" t="n"/>
      <c r="N294" s="20" t="n"/>
      <c r="O294" s="14">
        <f>IF(A294="",0,IF(COUNTIF($A$5:A294,A294)=1,1,0))</f>
        <v/>
      </c>
    </row>
    <row r="295">
      <c r="A295" s="20" t="n"/>
      <c r="B295" s="21" t="n"/>
      <c r="C295" s="20" t="n"/>
      <c r="D295" s="22">
        <f>IF(C295="","",INDEX(MERCADORIA!$B$5:$B$22,MATCH(C295,MERCADORIA!$A$5:$A$22,0)))</f>
        <v/>
      </c>
      <c r="E295" s="22">
        <f>IF(C295="","",INDEX(MERCADORIA!$C$5:$C$22,MATCH(C295,MERCADORIA!$A$5:$A$22,0)))</f>
        <v/>
      </c>
      <c r="F295" s="23" t="n"/>
      <c r="G295" s="24">
        <f>IF(D295="","",INDEX(VALOR!$B$5:$B$8,MATCH(D295,VALOR!$A$5:$A$8,0)))</f>
        <v/>
      </c>
      <c r="H295" s="15">
        <f>IF(OR(G295="",F295=""),0,F295*G295)</f>
        <v/>
      </c>
      <c r="I295" s="20" t="n"/>
      <c r="J295" s="20" t="n"/>
      <c r="K295" s="24">
        <f>IF(OR(O295=0,J295=""),0,INDEX(MAPA!$C$5:$C$14,MATCH(J295,MAPA!$A$5:$A$14,0)))</f>
        <v/>
      </c>
      <c r="L295" s="25">
        <f>H295+K295</f>
        <v/>
      </c>
      <c r="M295" s="20" t="n"/>
      <c r="N295" s="20" t="n"/>
      <c r="O295" s="14">
        <f>IF(A295="",0,IF(COUNTIF($A$5:A295,A295)=1,1,0))</f>
        <v/>
      </c>
    </row>
    <row r="296">
      <c r="A296" s="20" t="n"/>
      <c r="B296" s="21" t="n"/>
      <c r="C296" s="20" t="n"/>
      <c r="D296" s="22">
        <f>IF(C296="","",INDEX(MERCADORIA!$B$5:$B$22,MATCH(C296,MERCADORIA!$A$5:$A$22,0)))</f>
        <v/>
      </c>
      <c r="E296" s="22">
        <f>IF(C296="","",INDEX(MERCADORIA!$C$5:$C$22,MATCH(C296,MERCADORIA!$A$5:$A$22,0)))</f>
        <v/>
      </c>
      <c r="F296" s="23" t="n"/>
      <c r="G296" s="24">
        <f>IF(D296="","",INDEX(VALOR!$B$5:$B$8,MATCH(D296,VALOR!$A$5:$A$8,0)))</f>
        <v/>
      </c>
      <c r="H296" s="15">
        <f>IF(OR(G296="",F296=""),0,F296*G296)</f>
        <v/>
      </c>
      <c r="I296" s="20" t="n"/>
      <c r="J296" s="20" t="n"/>
      <c r="K296" s="24">
        <f>IF(OR(O296=0,J296=""),0,INDEX(MAPA!$C$5:$C$14,MATCH(J296,MAPA!$A$5:$A$14,0)))</f>
        <v/>
      </c>
      <c r="L296" s="25">
        <f>H296+K296</f>
        <v/>
      </c>
      <c r="M296" s="20" t="n"/>
      <c r="N296" s="20" t="n"/>
      <c r="O296" s="14">
        <f>IF(A296="",0,IF(COUNTIF($A$5:A296,A296)=1,1,0))</f>
        <v/>
      </c>
    </row>
    <row r="297">
      <c r="A297" s="20" t="n"/>
      <c r="B297" s="21" t="n"/>
      <c r="C297" s="20" t="n"/>
      <c r="D297" s="22">
        <f>IF(C297="","",INDEX(MERCADORIA!$B$5:$B$22,MATCH(C297,MERCADORIA!$A$5:$A$22,0)))</f>
        <v/>
      </c>
      <c r="E297" s="22">
        <f>IF(C297="","",INDEX(MERCADORIA!$C$5:$C$22,MATCH(C297,MERCADORIA!$A$5:$A$22,0)))</f>
        <v/>
      </c>
      <c r="F297" s="23" t="n"/>
      <c r="G297" s="24">
        <f>IF(D297="","",INDEX(VALOR!$B$5:$B$8,MATCH(D297,VALOR!$A$5:$A$8,0)))</f>
        <v/>
      </c>
      <c r="H297" s="15">
        <f>IF(OR(G297="",F297=""),0,F297*G297)</f>
        <v/>
      </c>
      <c r="I297" s="20" t="n"/>
      <c r="J297" s="20" t="n"/>
      <c r="K297" s="24">
        <f>IF(OR(O297=0,J297=""),0,INDEX(MAPA!$C$5:$C$14,MATCH(J297,MAPA!$A$5:$A$14,0)))</f>
        <v/>
      </c>
      <c r="L297" s="25">
        <f>H297+K297</f>
        <v/>
      </c>
      <c r="M297" s="20" t="n"/>
      <c r="N297" s="20" t="n"/>
      <c r="O297" s="14">
        <f>IF(A297="",0,IF(COUNTIF($A$5:A297,A297)=1,1,0))</f>
        <v/>
      </c>
    </row>
    <row r="298">
      <c r="A298" s="20" t="n"/>
      <c r="B298" s="21" t="n"/>
      <c r="C298" s="20" t="n"/>
      <c r="D298" s="22">
        <f>IF(C298="","",INDEX(MERCADORIA!$B$5:$B$22,MATCH(C298,MERCADORIA!$A$5:$A$22,0)))</f>
        <v/>
      </c>
      <c r="E298" s="22">
        <f>IF(C298="","",INDEX(MERCADORIA!$C$5:$C$22,MATCH(C298,MERCADORIA!$A$5:$A$22,0)))</f>
        <v/>
      </c>
      <c r="F298" s="23" t="n"/>
      <c r="G298" s="24">
        <f>IF(D298="","",INDEX(VALOR!$B$5:$B$8,MATCH(D298,VALOR!$A$5:$A$8,0)))</f>
        <v/>
      </c>
      <c r="H298" s="15">
        <f>IF(OR(G298="",F298=""),0,F298*G298)</f>
        <v/>
      </c>
      <c r="I298" s="20" t="n"/>
      <c r="J298" s="20" t="n"/>
      <c r="K298" s="24">
        <f>IF(OR(O298=0,J298=""),0,INDEX(MAPA!$C$5:$C$14,MATCH(J298,MAPA!$A$5:$A$14,0)))</f>
        <v/>
      </c>
      <c r="L298" s="25">
        <f>H298+K298</f>
        <v/>
      </c>
      <c r="M298" s="20" t="n"/>
      <c r="N298" s="20" t="n"/>
      <c r="O298" s="14">
        <f>IF(A298="",0,IF(COUNTIF($A$5:A298,A298)=1,1,0))</f>
        <v/>
      </c>
    </row>
    <row r="299">
      <c r="A299" s="20" t="n"/>
      <c r="B299" s="21" t="n"/>
      <c r="C299" s="20" t="n"/>
      <c r="D299" s="22">
        <f>IF(C299="","",INDEX(MERCADORIA!$B$5:$B$22,MATCH(C299,MERCADORIA!$A$5:$A$22,0)))</f>
        <v/>
      </c>
      <c r="E299" s="22">
        <f>IF(C299="","",INDEX(MERCADORIA!$C$5:$C$22,MATCH(C299,MERCADORIA!$A$5:$A$22,0)))</f>
        <v/>
      </c>
      <c r="F299" s="23" t="n"/>
      <c r="G299" s="24">
        <f>IF(D299="","",INDEX(VALOR!$B$5:$B$8,MATCH(D299,VALOR!$A$5:$A$8,0)))</f>
        <v/>
      </c>
      <c r="H299" s="15">
        <f>IF(OR(G299="",F299=""),0,F299*G299)</f>
        <v/>
      </c>
      <c r="I299" s="20" t="n"/>
      <c r="J299" s="20" t="n"/>
      <c r="K299" s="24">
        <f>IF(OR(O299=0,J299=""),0,INDEX(MAPA!$C$5:$C$14,MATCH(J299,MAPA!$A$5:$A$14,0)))</f>
        <v/>
      </c>
      <c r="L299" s="25">
        <f>H299+K299</f>
        <v/>
      </c>
      <c r="M299" s="20" t="n"/>
      <c r="N299" s="20" t="n"/>
      <c r="O299" s="14">
        <f>IF(A299="",0,IF(COUNTIF($A$5:A299,A299)=1,1,0))</f>
        <v/>
      </c>
    </row>
    <row r="300">
      <c r="A300" s="20" t="n"/>
      <c r="B300" s="21" t="n"/>
      <c r="C300" s="20" t="n"/>
      <c r="D300" s="22">
        <f>IF(C300="","",INDEX(MERCADORIA!$B$5:$B$22,MATCH(C300,MERCADORIA!$A$5:$A$22,0)))</f>
        <v/>
      </c>
      <c r="E300" s="22">
        <f>IF(C300="","",INDEX(MERCADORIA!$C$5:$C$22,MATCH(C300,MERCADORIA!$A$5:$A$22,0)))</f>
        <v/>
      </c>
      <c r="F300" s="23" t="n"/>
      <c r="G300" s="24">
        <f>IF(D300="","",INDEX(VALOR!$B$5:$B$8,MATCH(D300,VALOR!$A$5:$A$8,0)))</f>
        <v/>
      </c>
      <c r="H300" s="15">
        <f>IF(OR(G300="",F300=""),0,F300*G300)</f>
        <v/>
      </c>
      <c r="I300" s="20" t="n"/>
      <c r="J300" s="20" t="n"/>
      <c r="K300" s="24">
        <f>IF(OR(O300=0,J300=""),0,INDEX(MAPA!$C$5:$C$14,MATCH(J300,MAPA!$A$5:$A$14,0)))</f>
        <v/>
      </c>
      <c r="L300" s="25">
        <f>H300+K300</f>
        <v/>
      </c>
      <c r="M300" s="20" t="n"/>
      <c r="N300" s="20" t="n"/>
      <c r="O300" s="14">
        <f>IF(A300="",0,IF(COUNTIF($A$5:A300,A300)=1,1,0))</f>
        <v/>
      </c>
    </row>
    <row r="301">
      <c r="A301" s="20" t="n"/>
      <c r="B301" s="21" t="n"/>
      <c r="C301" s="20" t="n"/>
      <c r="D301" s="22">
        <f>IF(C301="","",INDEX(MERCADORIA!$B$5:$B$22,MATCH(C301,MERCADORIA!$A$5:$A$22,0)))</f>
        <v/>
      </c>
      <c r="E301" s="22">
        <f>IF(C301="","",INDEX(MERCADORIA!$C$5:$C$22,MATCH(C301,MERCADORIA!$A$5:$A$22,0)))</f>
        <v/>
      </c>
      <c r="F301" s="23" t="n"/>
      <c r="G301" s="24">
        <f>IF(D301="","",INDEX(VALOR!$B$5:$B$8,MATCH(D301,VALOR!$A$5:$A$8,0)))</f>
        <v/>
      </c>
      <c r="H301" s="15">
        <f>IF(OR(G301="",F301=""),0,F301*G301)</f>
        <v/>
      </c>
      <c r="I301" s="20" t="n"/>
      <c r="J301" s="20" t="n"/>
      <c r="K301" s="24">
        <f>IF(OR(O301=0,J301=""),0,INDEX(MAPA!$C$5:$C$14,MATCH(J301,MAPA!$A$5:$A$14,0)))</f>
        <v/>
      </c>
      <c r="L301" s="25">
        <f>H301+K301</f>
        <v/>
      </c>
      <c r="M301" s="20" t="n"/>
      <c r="N301" s="20" t="n"/>
      <c r="O301" s="14">
        <f>IF(A301="",0,IF(COUNTIF($A$5:A301,A301)=1,1,0))</f>
        <v/>
      </c>
    </row>
    <row r="302">
      <c r="A302" s="20" t="n"/>
      <c r="B302" s="21" t="n"/>
      <c r="C302" s="20" t="n"/>
      <c r="D302" s="22">
        <f>IF(C302="","",INDEX(MERCADORIA!$B$5:$B$22,MATCH(C302,MERCADORIA!$A$5:$A$22,0)))</f>
        <v/>
      </c>
      <c r="E302" s="22">
        <f>IF(C302="","",INDEX(MERCADORIA!$C$5:$C$22,MATCH(C302,MERCADORIA!$A$5:$A$22,0)))</f>
        <v/>
      </c>
      <c r="F302" s="23" t="n"/>
      <c r="G302" s="24">
        <f>IF(D302="","",INDEX(VALOR!$B$5:$B$8,MATCH(D302,VALOR!$A$5:$A$8,0)))</f>
        <v/>
      </c>
      <c r="H302" s="15">
        <f>IF(OR(G302="",F302=""),0,F302*G302)</f>
        <v/>
      </c>
      <c r="I302" s="20" t="n"/>
      <c r="J302" s="20" t="n"/>
      <c r="K302" s="24">
        <f>IF(OR(O302=0,J302=""),0,INDEX(MAPA!$C$5:$C$14,MATCH(J302,MAPA!$A$5:$A$14,0)))</f>
        <v/>
      </c>
      <c r="L302" s="25">
        <f>H302+K302</f>
        <v/>
      </c>
      <c r="M302" s="20" t="n"/>
      <c r="N302" s="20" t="n"/>
      <c r="O302" s="14">
        <f>IF(A302="",0,IF(COUNTIF($A$5:A302,A302)=1,1,0))</f>
        <v/>
      </c>
    </row>
    <row r="303">
      <c r="A303" s="20" t="n"/>
      <c r="B303" s="21" t="n"/>
      <c r="C303" s="20" t="n"/>
      <c r="D303" s="22">
        <f>IF(C303="","",INDEX(MERCADORIA!$B$5:$B$22,MATCH(C303,MERCADORIA!$A$5:$A$22,0)))</f>
        <v/>
      </c>
      <c r="E303" s="22">
        <f>IF(C303="","",INDEX(MERCADORIA!$C$5:$C$22,MATCH(C303,MERCADORIA!$A$5:$A$22,0)))</f>
        <v/>
      </c>
      <c r="F303" s="23" t="n"/>
      <c r="G303" s="24">
        <f>IF(D303="","",INDEX(VALOR!$B$5:$B$8,MATCH(D303,VALOR!$A$5:$A$8,0)))</f>
        <v/>
      </c>
      <c r="H303" s="15">
        <f>IF(OR(G303="",F303=""),0,F303*G303)</f>
        <v/>
      </c>
      <c r="I303" s="20" t="n"/>
      <c r="J303" s="20" t="n"/>
      <c r="K303" s="24">
        <f>IF(OR(O303=0,J303=""),0,INDEX(MAPA!$C$5:$C$14,MATCH(J303,MAPA!$A$5:$A$14,0)))</f>
        <v/>
      </c>
      <c r="L303" s="25">
        <f>H303+K303</f>
        <v/>
      </c>
      <c r="M303" s="20" t="n"/>
      <c r="N303" s="20" t="n"/>
      <c r="O303" s="14">
        <f>IF(A303="",0,IF(COUNTIF($A$5:A303,A303)=1,1,0))</f>
        <v/>
      </c>
    </row>
    <row r="304">
      <c r="A304" s="20" t="n"/>
      <c r="B304" s="21" t="n"/>
      <c r="C304" s="20" t="n"/>
      <c r="D304" s="22">
        <f>IF(C304="","",INDEX(MERCADORIA!$B$5:$B$22,MATCH(C304,MERCADORIA!$A$5:$A$22,0)))</f>
        <v/>
      </c>
      <c r="E304" s="22">
        <f>IF(C304="","",INDEX(MERCADORIA!$C$5:$C$22,MATCH(C304,MERCADORIA!$A$5:$A$22,0)))</f>
        <v/>
      </c>
      <c r="F304" s="23" t="n"/>
      <c r="G304" s="24">
        <f>IF(D304="","",INDEX(VALOR!$B$5:$B$8,MATCH(D304,VALOR!$A$5:$A$8,0)))</f>
        <v/>
      </c>
      <c r="H304" s="15">
        <f>IF(OR(G304="",F304=""),0,F304*G304)</f>
        <v/>
      </c>
      <c r="I304" s="20" t="n"/>
      <c r="J304" s="20" t="n"/>
      <c r="K304" s="24">
        <f>IF(OR(O304=0,J304=""),0,INDEX(MAPA!$C$5:$C$14,MATCH(J304,MAPA!$A$5:$A$14,0)))</f>
        <v/>
      </c>
      <c r="L304" s="25">
        <f>H304+K304</f>
        <v/>
      </c>
      <c r="M304" s="20" t="n"/>
      <c r="N304" s="20" t="n"/>
      <c r="O304" s="14">
        <f>IF(A304="",0,IF(COUNTIF($A$5:A304,A304)=1,1,0))</f>
        <v/>
      </c>
    </row>
    <row r="305">
      <c r="A305" s="20" t="n"/>
      <c r="B305" s="21" t="n"/>
      <c r="C305" s="20" t="n"/>
      <c r="D305" s="22">
        <f>IF(C305="","",INDEX(MERCADORIA!$B$5:$B$22,MATCH(C305,MERCADORIA!$A$5:$A$22,0)))</f>
        <v/>
      </c>
      <c r="E305" s="22">
        <f>IF(C305="","",INDEX(MERCADORIA!$C$5:$C$22,MATCH(C305,MERCADORIA!$A$5:$A$22,0)))</f>
        <v/>
      </c>
      <c r="F305" s="23" t="n"/>
      <c r="G305" s="24">
        <f>IF(D305="","",INDEX(VALOR!$B$5:$B$8,MATCH(D305,VALOR!$A$5:$A$8,0)))</f>
        <v/>
      </c>
      <c r="H305" s="15">
        <f>IF(OR(G305="",F305=""),0,F305*G305)</f>
        <v/>
      </c>
      <c r="I305" s="20" t="n"/>
      <c r="J305" s="20" t="n"/>
      <c r="K305" s="24">
        <f>IF(OR(O305=0,J305=""),0,INDEX(MAPA!$C$5:$C$14,MATCH(J305,MAPA!$A$5:$A$14,0)))</f>
        <v/>
      </c>
      <c r="L305" s="25">
        <f>H305+K305</f>
        <v/>
      </c>
      <c r="M305" s="20" t="n"/>
      <c r="N305" s="20" t="n"/>
      <c r="O305" s="14">
        <f>IF(A305="",0,IF(COUNTIF($A$5:A305,A305)=1,1,0))</f>
        <v/>
      </c>
    </row>
    <row r="306">
      <c r="A306" s="20" t="n"/>
      <c r="B306" s="21" t="n"/>
      <c r="C306" s="20" t="n"/>
      <c r="D306" s="22">
        <f>IF(C306="","",INDEX(MERCADORIA!$B$5:$B$22,MATCH(C306,MERCADORIA!$A$5:$A$22,0)))</f>
        <v/>
      </c>
      <c r="E306" s="22">
        <f>IF(C306="","",INDEX(MERCADORIA!$C$5:$C$22,MATCH(C306,MERCADORIA!$A$5:$A$22,0)))</f>
        <v/>
      </c>
      <c r="F306" s="23" t="n"/>
      <c r="G306" s="24">
        <f>IF(D306="","",INDEX(VALOR!$B$5:$B$8,MATCH(D306,VALOR!$A$5:$A$8,0)))</f>
        <v/>
      </c>
      <c r="H306" s="15">
        <f>IF(OR(G306="",F306=""),0,F306*G306)</f>
        <v/>
      </c>
      <c r="I306" s="20" t="n"/>
      <c r="J306" s="20" t="n"/>
      <c r="K306" s="24">
        <f>IF(OR(O306=0,J306=""),0,INDEX(MAPA!$C$5:$C$14,MATCH(J306,MAPA!$A$5:$A$14,0)))</f>
        <v/>
      </c>
      <c r="L306" s="25">
        <f>H306+K306</f>
        <v/>
      </c>
      <c r="M306" s="20" t="n"/>
      <c r="N306" s="20" t="n"/>
      <c r="O306" s="14">
        <f>IF(A306="",0,IF(COUNTIF($A$5:A306,A306)=1,1,0))</f>
        <v/>
      </c>
    </row>
    <row r="307">
      <c r="A307" s="20" t="n"/>
      <c r="B307" s="21" t="n"/>
      <c r="C307" s="20" t="n"/>
      <c r="D307" s="22">
        <f>IF(C307="","",INDEX(MERCADORIA!$B$5:$B$22,MATCH(C307,MERCADORIA!$A$5:$A$22,0)))</f>
        <v/>
      </c>
      <c r="E307" s="22">
        <f>IF(C307="","",INDEX(MERCADORIA!$C$5:$C$22,MATCH(C307,MERCADORIA!$A$5:$A$22,0)))</f>
        <v/>
      </c>
      <c r="F307" s="23" t="n"/>
      <c r="G307" s="24">
        <f>IF(D307="","",INDEX(VALOR!$B$5:$B$8,MATCH(D307,VALOR!$A$5:$A$8,0)))</f>
        <v/>
      </c>
      <c r="H307" s="15">
        <f>IF(OR(G307="",F307=""),0,F307*G307)</f>
        <v/>
      </c>
      <c r="I307" s="20" t="n"/>
      <c r="J307" s="20" t="n"/>
      <c r="K307" s="24">
        <f>IF(OR(O307=0,J307=""),0,INDEX(MAPA!$C$5:$C$14,MATCH(J307,MAPA!$A$5:$A$14,0)))</f>
        <v/>
      </c>
      <c r="L307" s="25">
        <f>H307+K307</f>
        <v/>
      </c>
      <c r="M307" s="20" t="n"/>
      <c r="N307" s="20" t="n"/>
      <c r="O307" s="14">
        <f>IF(A307="",0,IF(COUNTIF($A$5:A307,A307)=1,1,0))</f>
        <v/>
      </c>
    </row>
    <row r="308">
      <c r="A308" s="20" t="n"/>
      <c r="B308" s="21" t="n"/>
      <c r="C308" s="20" t="n"/>
      <c r="D308" s="22">
        <f>IF(C308="","",INDEX(MERCADORIA!$B$5:$B$22,MATCH(C308,MERCADORIA!$A$5:$A$22,0)))</f>
        <v/>
      </c>
      <c r="E308" s="22">
        <f>IF(C308="","",INDEX(MERCADORIA!$C$5:$C$22,MATCH(C308,MERCADORIA!$A$5:$A$22,0)))</f>
        <v/>
      </c>
      <c r="F308" s="23" t="n"/>
      <c r="G308" s="24">
        <f>IF(D308="","",INDEX(VALOR!$B$5:$B$8,MATCH(D308,VALOR!$A$5:$A$8,0)))</f>
        <v/>
      </c>
      <c r="H308" s="15">
        <f>IF(OR(G308="",F308=""),0,F308*G308)</f>
        <v/>
      </c>
      <c r="I308" s="20" t="n"/>
      <c r="J308" s="20" t="n"/>
      <c r="K308" s="24">
        <f>IF(OR(O308=0,J308=""),0,INDEX(MAPA!$C$5:$C$14,MATCH(J308,MAPA!$A$5:$A$14,0)))</f>
        <v/>
      </c>
      <c r="L308" s="25">
        <f>H308+K308</f>
        <v/>
      </c>
      <c r="M308" s="20" t="n"/>
      <c r="N308" s="20" t="n"/>
      <c r="O308" s="14">
        <f>IF(A308="",0,IF(COUNTIF($A$5:A308,A308)=1,1,0))</f>
        <v/>
      </c>
    </row>
    <row r="309">
      <c r="A309" s="20" t="n"/>
      <c r="B309" s="21" t="n"/>
      <c r="C309" s="20" t="n"/>
      <c r="D309" s="22">
        <f>IF(C309="","",INDEX(MERCADORIA!$B$5:$B$22,MATCH(C309,MERCADORIA!$A$5:$A$22,0)))</f>
        <v/>
      </c>
      <c r="E309" s="22">
        <f>IF(C309="","",INDEX(MERCADORIA!$C$5:$C$22,MATCH(C309,MERCADORIA!$A$5:$A$22,0)))</f>
        <v/>
      </c>
      <c r="F309" s="23" t="n"/>
      <c r="G309" s="24">
        <f>IF(D309="","",INDEX(VALOR!$B$5:$B$8,MATCH(D309,VALOR!$A$5:$A$8,0)))</f>
        <v/>
      </c>
      <c r="H309" s="15">
        <f>IF(OR(G309="",F309=""),0,F309*G309)</f>
        <v/>
      </c>
      <c r="I309" s="20" t="n"/>
      <c r="J309" s="20" t="n"/>
      <c r="K309" s="24">
        <f>IF(OR(O309=0,J309=""),0,INDEX(MAPA!$C$5:$C$14,MATCH(J309,MAPA!$A$5:$A$14,0)))</f>
        <v/>
      </c>
      <c r="L309" s="25">
        <f>H309+K309</f>
        <v/>
      </c>
      <c r="M309" s="20" t="n"/>
      <c r="N309" s="20" t="n"/>
      <c r="O309" s="14">
        <f>IF(A309="",0,IF(COUNTIF($A$5:A309,A309)=1,1,0))</f>
        <v/>
      </c>
    </row>
    <row r="310">
      <c r="A310" s="20" t="n"/>
      <c r="B310" s="21" t="n"/>
      <c r="C310" s="20" t="n"/>
      <c r="D310" s="22">
        <f>IF(C310="","",INDEX(MERCADORIA!$B$5:$B$22,MATCH(C310,MERCADORIA!$A$5:$A$22,0)))</f>
        <v/>
      </c>
      <c r="E310" s="22">
        <f>IF(C310="","",INDEX(MERCADORIA!$C$5:$C$22,MATCH(C310,MERCADORIA!$A$5:$A$22,0)))</f>
        <v/>
      </c>
      <c r="F310" s="23" t="n"/>
      <c r="G310" s="24">
        <f>IF(D310="","",INDEX(VALOR!$B$5:$B$8,MATCH(D310,VALOR!$A$5:$A$8,0)))</f>
        <v/>
      </c>
      <c r="H310" s="15">
        <f>IF(OR(G310="",F310=""),0,F310*G310)</f>
        <v/>
      </c>
      <c r="I310" s="20" t="n"/>
      <c r="J310" s="20" t="n"/>
      <c r="K310" s="24">
        <f>IF(OR(O310=0,J310=""),0,INDEX(MAPA!$C$5:$C$14,MATCH(J310,MAPA!$A$5:$A$14,0)))</f>
        <v/>
      </c>
      <c r="L310" s="25">
        <f>H310+K310</f>
        <v/>
      </c>
      <c r="M310" s="20" t="n"/>
      <c r="N310" s="20" t="n"/>
      <c r="O310" s="14">
        <f>IF(A310="",0,IF(COUNTIF($A$5:A310,A310)=1,1,0))</f>
        <v/>
      </c>
    </row>
    <row r="311">
      <c r="A311" s="20" t="n"/>
      <c r="B311" s="21" t="n"/>
      <c r="C311" s="20" t="n"/>
      <c r="D311" s="22">
        <f>IF(C311="","",INDEX(MERCADORIA!$B$5:$B$22,MATCH(C311,MERCADORIA!$A$5:$A$22,0)))</f>
        <v/>
      </c>
      <c r="E311" s="22">
        <f>IF(C311="","",INDEX(MERCADORIA!$C$5:$C$22,MATCH(C311,MERCADORIA!$A$5:$A$22,0)))</f>
        <v/>
      </c>
      <c r="F311" s="23" t="n"/>
      <c r="G311" s="24">
        <f>IF(D311="","",INDEX(VALOR!$B$5:$B$8,MATCH(D311,VALOR!$A$5:$A$8,0)))</f>
        <v/>
      </c>
      <c r="H311" s="15">
        <f>IF(OR(G311="",F311=""),0,F311*G311)</f>
        <v/>
      </c>
      <c r="I311" s="20" t="n"/>
      <c r="J311" s="20" t="n"/>
      <c r="K311" s="24">
        <f>IF(OR(O311=0,J311=""),0,INDEX(MAPA!$C$5:$C$14,MATCH(J311,MAPA!$A$5:$A$14,0)))</f>
        <v/>
      </c>
      <c r="L311" s="25">
        <f>H311+K311</f>
        <v/>
      </c>
      <c r="M311" s="20" t="n"/>
      <c r="N311" s="20" t="n"/>
      <c r="O311" s="14">
        <f>IF(A311="",0,IF(COUNTIF($A$5:A311,A311)=1,1,0))</f>
        <v/>
      </c>
    </row>
    <row r="312">
      <c r="A312" s="20" t="n"/>
      <c r="B312" s="21" t="n"/>
      <c r="C312" s="20" t="n"/>
      <c r="D312" s="22">
        <f>IF(C312="","",INDEX(MERCADORIA!$B$5:$B$22,MATCH(C312,MERCADORIA!$A$5:$A$22,0)))</f>
        <v/>
      </c>
      <c r="E312" s="22">
        <f>IF(C312="","",INDEX(MERCADORIA!$C$5:$C$22,MATCH(C312,MERCADORIA!$A$5:$A$22,0)))</f>
        <v/>
      </c>
      <c r="F312" s="23" t="n"/>
      <c r="G312" s="24">
        <f>IF(D312="","",INDEX(VALOR!$B$5:$B$8,MATCH(D312,VALOR!$A$5:$A$8,0)))</f>
        <v/>
      </c>
      <c r="H312" s="15">
        <f>IF(OR(G312="",F312=""),0,F312*G312)</f>
        <v/>
      </c>
      <c r="I312" s="20" t="n"/>
      <c r="J312" s="20" t="n"/>
      <c r="K312" s="24">
        <f>IF(OR(O312=0,J312=""),0,INDEX(MAPA!$C$5:$C$14,MATCH(J312,MAPA!$A$5:$A$14,0)))</f>
        <v/>
      </c>
      <c r="L312" s="25">
        <f>H312+K312</f>
        <v/>
      </c>
      <c r="M312" s="20" t="n"/>
      <c r="N312" s="20" t="n"/>
      <c r="O312" s="14">
        <f>IF(A312="",0,IF(COUNTIF($A$5:A312,A312)=1,1,0))</f>
        <v/>
      </c>
    </row>
    <row r="313">
      <c r="A313" s="20" t="n"/>
      <c r="B313" s="21" t="n"/>
      <c r="C313" s="20" t="n"/>
      <c r="D313" s="22">
        <f>IF(C313="","",INDEX(MERCADORIA!$B$5:$B$22,MATCH(C313,MERCADORIA!$A$5:$A$22,0)))</f>
        <v/>
      </c>
      <c r="E313" s="22">
        <f>IF(C313="","",INDEX(MERCADORIA!$C$5:$C$22,MATCH(C313,MERCADORIA!$A$5:$A$22,0)))</f>
        <v/>
      </c>
      <c r="F313" s="23" t="n"/>
      <c r="G313" s="24">
        <f>IF(D313="","",INDEX(VALOR!$B$5:$B$8,MATCH(D313,VALOR!$A$5:$A$8,0)))</f>
        <v/>
      </c>
      <c r="H313" s="15">
        <f>IF(OR(G313="",F313=""),0,F313*G313)</f>
        <v/>
      </c>
      <c r="I313" s="20" t="n"/>
      <c r="J313" s="20" t="n"/>
      <c r="K313" s="24">
        <f>IF(OR(O313=0,J313=""),0,INDEX(MAPA!$C$5:$C$14,MATCH(J313,MAPA!$A$5:$A$14,0)))</f>
        <v/>
      </c>
      <c r="L313" s="25">
        <f>H313+K313</f>
        <v/>
      </c>
      <c r="M313" s="20" t="n"/>
      <c r="N313" s="20" t="n"/>
      <c r="O313" s="14">
        <f>IF(A313="",0,IF(COUNTIF($A$5:A313,A313)=1,1,0))</f>
        <v/>
      </c>
    </row>
    <row r="314">
      <c r="A314" s="20" t="n"/>
      <c r="B314" s="21" t="n"/>
      <c r="C314" s="20" t="n"/>
      <c r="D314" s="22">
        <f>IF(C314="","",INDEX(MERCADORIA!$B$5:$B$22,MATCH(C314,MERCADORIA!$A$5:$A$22,0)))</f>
        <v/>
      </c>
      <c r="E314" s="22">
        <f>IF(C314="","",INDEX(MERCADORIA!$C$5:$C$22,MATCH(C314,MERCADORIA!$A$5:$A$22,0)))</f>
        <v/>
      </c>
      <c r="F314" s="23" t="n"/>
      <c r="G314" s="24">
        <f>IF(D314="","",INDEX(VALOR!$B$5:$B$8,MATCH(D314,VALOR!$A$5:$A$8,0)))</f>
        <v/>
      </c>
      <c r="H314" s="15">
        <f>IF(OR(G314="",F314=""),0,F314*G314)</f>
        <v/>
      </c>
      <c r="I314" s="20" t="n"/>
      <c r="J314" s="20" t="n"/>
      <c r="K314" s="24">
        <f>IF(OR(O314=0,J314=""),0,INDEX(MAPA!$C$5:$C$14,MATCH(J314,MAPA!$A$5:$A$14,0)))</f>
        <v/>
      </c>
      <c r="L314" s="25">
        <f>H314+K314</f>
        <v/>
      </c>
      <c r="M314" s="20" t="n"/>
      <c r="N314" s="20" t="n"/>
      <c r="O314" s="14">
        <f>IF(A314="",0,IF(COUNTIF($A$5:A314,A314)=1,1,0))</f>
        <v/>
      </c>
    </row>
    <row r="315">
      <c r="A315" s="20" t="n"/>
      <c r="B315" s="21" t="n"/>
      <c r="C315" s="20" t="n"/>
      <c r="D315" s="22">
        <f>IF(C315="","",INDEX(MERCADORIA!$B$5:$B$22,MATCH(C315,MERCADORIA!$A$5:$A$22,0)))</f>
        <v/>
      </c>
      <c r="E315" s="22">
        <f>IF(C315="","",INDEX(MERCADORIA!$C$5:$C$22,MATCH(C315,MERCADORIA!$A$5:$A$22,0)))</f>
        <v/>
      </c>
      <c r="F315" s="23" t="n"/>
      <c r="G315" s="24">
        <f>IF(D315="","",INDEX(VALOR!$B$5:$B$8,MATCH(D315,VALOR!$A$5:$A$8,0)))</f>
        <v/>
      </c>
      <c r="H315" s="15">
        <f>IF(OR(G315="",F315=""),0,F315*G315)</f>
        <v/>
      </c>
      <c r="I315" s="20" t="n"/>
      <c r="J315" s="20" t="n"/>
      <c r="K315" s="24">
        <f>IF(OR(O315=0,J315=""),0,INDEX(MAPA!$C$5:$C$14,MATCH(J315,MAPA!$A$5:$A$14,0)))</f>
        <v/>
      </c>
      <c r="L315" s="25">
        <f>H315+K315</f>
        <v/>
      </c>
      <c r="M315" s="20" t="n"/>
      <c r="N315" s="20" t="n"/>
      <c r="O315" s="14">
        <f>IF(A315="",0,IF(COUNTIF($A$5:A315,A315)=1,1,0))</f>
        <v/>
      </c>
    </row>
    <row r="316">
      <c r="A316" s="20" t="n"/>
      <c r="B316" s="21" t="n"/>
      <c r="C316" s="20" t="n"/>
      <c r="D316" s="22">
        <f>IF(C316="","",INDEX(MERCADORIA!$B$5:$B$22,MATCH(C316,MERCADORIA!$A$5:$A$22,0)))</f>
        <v/>
      </c>
      <c r="E316" s="22">
        <f>IF(C316="","",INDEX(MERCADORIA!$C$5:$C$22,MATCH(C316,MERCADORIA!$A$5:$A$22,0)))</f>
        <v/>
      </c>
      <c r="F316" s="23" t="n"/>
      <c r="G316" s="24">
        <f>IF(D316="","",INDEX(VALOR!$B$5:$B$8,MATCH(D316,VALOR!$A$5:$A$8,0)))</f>
        <v/>
      </c>
      <c r="H316" s="15">
        <f>IF(OR(G316="",F316=""),0,F316*G316)</f>
        <v/>
      </c>
      <c r="I316" s="20" t="n"/>
      <c r="J316" s="20" t="n"/>
      <c r="K316" s="24">
        <f>IF(OR(O316=0,J316=""),0,INDEX(MAPA!$C$5:$C$14,MATCH(J316,MAPA!$A$5:$A$14,0)))</f>
        <v/>
      </c>
      <c r="L316" s="25">
        <f>H316+K316</f>
        <v/>
      </c>
      <c r="M316" s="20" t="n"/>
      <c r="N316" s="20" t="n"/>
      <c r="O316" s="14">
        <f>IF(A316="",0,IF(COUNTIF($A$5:A316,A316)=1,1,0))</f>
        <v/>
      </c>
    </row>
    <row r="317">
      <c r="A317" s="20" t="n"/>
      <c r="B317" s="21" t="n"/>
      <c r="C317" s="20" t="n"/>
      <c r="D317" s="22">
        <f>IF(C317="","",INDEX(MERCADORIA!$B$5:$B$22,MATCH(C317,MERCADORIA!$A$5:$A$22,0)))</f>
        <v/>
      </c>
      <c r="E317" s="22">
        <f>IF(C317="","",INDEX(MERCADORIA!$C$5:$C$22,MATCH(C317,MERCADORIA!$A$5:$A$22,0)))</f>
        <v/>
      </c>
      <c r="F317" s="23" t="n"/>
      <c r="G317" s="24">
        <f>IF(D317="","",INDEX(VALOR!$B$5:$B$8,MATCH(D317,VALOR!$A$5:$A$8,0)))</f>
        <v/>
      </c>
      <c r="H317" s="15">
        <f>IF(OR(G317="",F317=""),0,F317*G317)</f>
        <v/>
      </c>
      <c r="I317" s="20" t="n"/>
      <c r="J317" s="20" t="n"/>
      <c r="K317" s="24">
        <f>IF(OR(O317=0,J317=""),0,INDEX(MAPA!$C$5:$C$14,MATCH(J317,MAPA!$A$5:$A$14,0)))</f>
        <v/>
      </c>
      <c r="L317" s="25">
        <f>H317+K317</f>
        <v/>
      </c>
      <c r="M317" s="20" t="n"/>
      <c r="N317" s="20" t="n"/>
      <c r="O317" s="14">
        <f>IF(A317="",0,IF(COUNTIF($A$5:A317,A317)=1,1,0))</f>
        <v/>
      </c>
    </row>
    <row r="318">
      <c r="A318" s="20" t="n"/>
      <c r="B318" s="21" t="n"/>
      <c r="C318" s="20" t="n"/>
      <c r="D318" s="22">
        <f>IF(C318="","",INDEX(MERCADORIA!$B$5:$B$22,MATCH(C318,MERCADORIA!$A$5:$A$22,0)))</f>
        <v/>
      </c>
      <c r="E318" s="22">
        <f>IF(C318="","",INDEX(MERCADORIA!$C$5:$C$22,MATCH(C318,MERCADORIA!$A$5:$A$22,0)))</f>
        <v/>
      </c>
      <c r="F318" s="23" t="n"/>
      <c r="G318" s="24">
        <f>IF(D318="","",INDEX(VALOR!$B$5:$B$8,MATCH(D318,VALOR!$A$5:$A$8,0)))</f>
        <v/>
      </c>
      <c r="H318" s="15">
        <f>IF(OR(G318="",F318=""),0,F318*G318)</f>
        <v/>
      </c>
      <c r="I318" s="20" t="n"/>
      <c r="J318" s="20" t="n"/>
      <c r="K318" s="24">
        <f>IF(OR(O318=0,J318=""),0,INDEX(MAPA!$C$5:$C$14,MATCH(J318,MAPA!$A$5:$A$14,0)))</f>
        <v/>
      </c>
      <c r="L318" s="25">
        <f>H318+K318</f>
        <v/>
      </c>
      <c r="M318" s="20" t="n"/>
      <c r="N318" s="20" t="n"/>
      <c r="O318" s="14">
        <f>IF(A318="",0,IF(COUNTIF($A$5:A318,A318)=1,1,0))</f>
        <v/>
      </c>
    </row>
    <row r="319">
      <c r="A319" s="20" t="n"/>
      <c r="B319" s="21" t="n"/>
      <c r="C319" s="20" t="n"/>
      <c r="D319" s="22">
        <f>IF(C319="","",INDEX(MERCADORIA!$B$5:$B$22,MATCH(C319,MERCADORIA!$A$5:$A$22,0)))</f>
        <v/>
      </c>
      <c r="E319" s="22">
        <f>IF(C319="","",INDEX(MERCADORIA!$C$5:$C$22,MATCH(C319,MERCADORIA!$A$5:$A$22,0)))</f>
        <v/>
      </c>
      <c r="F319" s="23" t="n"/>
      <c r="G319" s="24">
        <f>IF(D319="","",INDEX(VALOR!$B$5:$B$8,MATCH(D319,VALOR!$A$5:$A$8,0)))</f>
        <v/>
      </c>
      <c r="H319" s="15">
        <f>IF(OR(G319="",F319=""),0,F319*G319)</f>
        <v/>
      </c>
      <c r="I319" s="20" t="n"/>
      <c r="J319" s="20" t="n"/>
      <c r="K319" s="24">
        <f>IF(OR(O319=0,J319=""),0,INDEX(MAPA!$C$5:$C$14,MATCH(J319,MAPA!$A$5:$A$14,0)))</f>
        <v/>
      </c>
      <c r="L319" s="25">
        <f>H319+K319</f>
        <v/>
      </c>
      <c r="M319" s="20" t="n"/>
      <c r="N319" s="20" t="n"/>
      <c r="O319" s="14">
        <f>IF(A319="",0,IF(COUNTIF($A$5:A319,A319)=1,1,0))</f>
        <v/>
      </c>
    </row>
    <row r="320">
      <c r="A320" s="20" t="n"/>
      <c r="B320" s="21" t="n"/>
      <c r="C320" s="20" t="n"/>
      <c r="D320" s="22">
        <f>IF(C320="","",INDEX(MERCADORIA!$B$5:$B$22,MATCH(C320,MERCADORIA!$A$5:$A$22,0)))</f>
        <v/>
      </c>
      <c r="E320" s="22">
        <f>IF(C320="","",INDEX(MERCADORIA!$C$5:$C$22,MATCH(C320,MERCADORIA!$A$5:$A$22,0)))</f>
        <v/>
      </c>
      <c r="F320" s="23" t="n"/>
      <c r="G320" s="24">
        <f>IF(D320="","",INDEX(VALOR!$B$5:$B$8,MATCH(D320,VALOR!$A$5:$A$8,0)))</f>
        <v/>
      </c>
      <c r="H320" s="15">
        <f>IF(OR(G320="",F320=""),0,F320*G320)</f>
        <v/>
      </c>
      <c r="I320" s="20" t="n"/>
      <c r="J320" s="20" t="n"/>
      <c r="K320" s="24">
        <f>IF(OR(O320=0,J320=""),0,INDEX(MAPA!$C$5:$C$14,MATCH(J320,MAPA!$A$5:$A$14,0)))</f>
        <v/>
      </c>
      <c r="L320" s="25">
        <f>H320+K320</f>
        <v/>
      </c>
      <c r="M320" s="20" t="n"/>
      <c r="N320" s="20" t="n"/>
      <c r="O320" s="14">
        <f>IF(A320="",0,IF(COUNTIF($A$5:A320,A320)=1,1,0))</f>
        <v/>
      </c>
    </row>
    <row r="321">
      <c r="A321" s="20" t="n"/>
      <c r="B321" s="21" t="n"/>
      <c r="C321" s="20" t="n"/>
      <c r="D321" s="22">
        <f>IF(C321="","",INDEX(MERCADORIA!$B$5:$B$22,MATCH(C321,MERCADORIA!$A$5:$A$22,0)))</f>
        <v/>
      </c>
      <c r="E321" s="22">
        <f>IF(C321="","",INDEX(MERCADORIA!$C$5:$C$22,MATCH(C321,MERCADORIA!$A$5:$A$22,0)))</f>
        <v/>
      </c>
      <c r="F321" s="23" t="n"/>
      <c r="G321" s="24">
        <f>IF(D321="","",INDEX(VALOR!$B$5:$B$8,MATCH(D321,VALOR!$A$5:$A$8,0)))</f>
        <v/>
      </c>
      <c r="H321" s="15">
        <f>IF(OR(G321="",F321=""),0,F321*G321)</f>
        <v/>
      </c>
      <c r="I321" s="20" t="n"/>
      <c r="J321" s="20" t="n"/>
      <c r="K321" s="24">
        <f>IF(OR(O321=0,J321=""),0,INDEX(MAPA!$C$5:$C$14,MATCH(J321,MAPA!$A$5:$A$14,0)))</f>
        <v/>
      </c>
      <c r="L321" s="25">
        <f>H321+K321</f>
        <v/>
      </c>
      <c r="M321" s="20" t="n"/>
      <c r="N321" s="20" t="n"/>
      <c r="O321" s="14">
        <f>IF(A321="",0,IF(COUNTIF($A$5:A321,A321)=1,1,0))</f>
        <v/>
      </c>
    </row>
    <row r="322">
      <c r="A322" s="20" t="n"/>
      <c r="B322" s="21" t="n"/>
      <c r="C322" s="20" t="n"/>
      <c r="D322" s="22">
        <f>IF(C322="","",INDEX(MERCADORIA!$B$5:$B$22,MATCH(C322,MERCADORIA!$A$5:$A$22,0)))</f>
        <v/>
      </c>
      <c r="E322" s="22">
        <f>IF(C322="","",INDEX(MERCADORIA!$C$5:$C$22,MATCH(C322,MERCADORIA!$A$5:$A$22,0)))</f>
        <v/>
      </c>
      <c r="F322" s="23" t="n"/>
      <c r="G322" s="24">
        <f>IF(D322="","",INDEX(VALOR!$B$5:$B$8,MATCH(D322,VALOR!$A$5:$A$8,0)))</f>
        <v/>
      </c>
      <c r="H322" s="15">
        <f>IF(OR(G322="",F322=""),0,F322*G322)</f>
        <v/>
      </c>
      <c r="I322" s="20" t="n"/>
      <c r="J322" s="20" t="n"/>
      <c r="K322" s="24">
        <f>IF(OR(O322=0,J322=""),0,INDEX(MAPA!$C$5:$C$14,MATCH(J322,MAPA!$A$5:$A$14,0)))</f>
        <v/>
      </c>
      <c r="L322" s="25">
        <f>H322+K322</f>
        <v/>
      </c>
      <c r="M322" s="20" t="n"/>
      <c r="N322" s="20" t="n"/>
      <c r="O322" s="14">
        <f>IF(A322="",0,IF(COUNTIF($A$5:A322,A322)=1,1,0))</f>
        <v/>
      </c>
    </row>
    <row r="323">
      <c r="A323" s="20" t="n"/>
      <c r="B323" s="21" t="n"/>
      <c r="C323" s="20" t="n"/>
      <c r="D323" s="22">
        <f>IF(C323="","",INDEX(MERCADORIA!$B$5:$B$22,MATCH(C323,MERCADORIA!$A$5:$A$22,0)))</f>
        <v/>
      </c>
      <c r="E323" s="22">
        <f>IF(C323="","",INDEX(MERCADORIA!$C$5:$C$22,MATCH(C323,MERCADORIA!$A$5:$A$22,0)))</f>
        <v/>
      </c>
      <c r="F323" s="23" t="n"/>
      <c r="G323" s="24">
        <f>IF(D323="","",INDEX(VALOR!$B$5:$B$8,MATCH(D323,VALOR!$A$5:$A$8,0)))</f>
        <v/>
      </c>
      <c r="H323" s="15">
        <f>IF(OR(G323="",F323=""),0,F323*G323)</f>
        <v/>
      </c>
      <c r="I323" s="20" t="n"/>
      <c r="J323" s="20" t="n"/>
      <c r="K323" s="24">
        <f>IF(OR(O323=0,J323=""),0,INDEX(MAPA!$C$5:$C$14,MATCH(J323,MAPA!$A$5:$A$14,0)))</f>
        <v/>
      </c>
      <c r="L323" s="25">
        <f>H323+K323</f>
        <v/>
      </c>
      <c r="M323" s="20" t="n"/>
      <c r="N323" s="20" t="n"/>
      <c r="O323" s="14">
        <f>IF(A323="",0,IF(COUNTIF($A$5:A323,A323)=1,1,0))</f>
        <v/>
      </c>
    </row>
    <row r="324">
      <c r="A324" s="20" t="n"/>
      <c r="B324" s="21" t="n"/>
      <c r="C324" s="20" t="n"/>
      <c r="D324" s="22">
        <f>IF(C324="","",INDEX(MERCADORIA!$B$5:$B$22,MATCH(C324,MERCADORIA!$A$5:$A$22,0)))</f>
        <v/>
      </c>
      <c r="E324" s="22">
        <f>IF(C324="","",INDEX(MERCADORIA!$C$5:$C$22,MATCH(C324,MERCADORIA!$A$5:$A$22,0)))</f>
        <v/>
      </c>
      <c r="F324" s="23" t="n"/>
      <c r="G324" s="24">
        <f>IF(D324="","",INDEX(VALOR!$B$5:$B$8,MATCH(D324,VALOR!$A$5:$A$8,0)))</f>
        <v/>
      </c>
      <c r="H324" s="15">
        <f>IF(OR(G324="",F324=""),0,F324*G324)</f>
        <v/>
      </c>
      <c r="I324" s="20" t="n"/>
      <c r="J324" s="20" t="n"/>
      <c r="K324" s="24">
        <f>IF(OR(O324=0,J324=""),0,INDEX(MAPA!$C$5:$C$14,MATCH(J324,MAPA!$A$5:$A$14,0)))</f>
        <v/>
      </c>
      <c r="L324" s="25">
        <f>H324+K324</f>
        <v/>
      </c>
      <c r="M324" s="20" t="n"/>
      <c r="N324" s="20" t="n"/>
      <c r="O324" s="14">
        <f>IF(A324="",0,IF(COUNTIF($A$5:A324,A324)=1,1,0))</f>
        <v/>
      </c>
    </row>
    <row r="325">
      <c r="A325" s="20" t="n"/>
      <c r="B325" s="21" t="n"/>
      <c r="C325" s="20" t="n"/>
      <c r="D325" s="22">
        <f>IF(C325="","",INDEX(MERCADORIA!$B$5:$B$22,MATCH(C325,MERCADORIA!$A$5:$A$22,0)))</f>
        <v/>
      </c>
      <c r="E325" s="22">
        <f>IF(C325="","",INDEX(MERCADORIA!$C$5:$C$22,MATCH(C325,MERCADORIA!$A$5:$A$22,0)))</f>
        <v/>
      </c>
      <c r="F325" s="23" t="n"/>
      <c r="G325" s="24">
        <f>IF(D325="","",INDEX(VALOR!$B$5:$B$8,MATCH(D325,VALOR!$A$5:$A$8,0)))</f>
        <v/>
      </c>
      <c r="H325" s="15">
        <f>IF(OR(G325="",F325=""),0,F325*G325)</f>
        <v/>
      </c>
      <c r="I325" s="20" t="n"/>
      <c r="J325" s="20" t="n"/>
      <c r="K325" s="24">
        <f>IF(OR(O325=0,J325=""),0,INDEX(MAPA!$C$5:$C$14,MATCH(J325,MAPA!$A$5:$A$14,0)))</f>
        <v/>
      </c>
      <c r="L325" s="25">
        <f>H325+K325</f>
        <v/>
      </c>
      <c r="M325" s="20" t="n"/>
      <c r="N325" s="20" t="n"/>
      <c r="O325" s="14">
        <f>IF(A325="",0,IF(COUNTIF($A$5:A325,A325)=1,1,0))</f>
        <v/>
      </c>
    </row>
    <row r="326">
      <c r="A326" s="20" t="n"/>
      <c r="B326" s="21" t="n"/>
      <c r="C326" s="20" t="n"/>
      <c r="D326" s="22">
        <f>IF(C326="","",INDEX(MERCADORIA!$B$5:$B$22,MATCH(C326,MERCADORIA!$A$5:$A$22,0)))</f>
        <v/>
      </c>
      <c r="E326" s="22">
        <f>IF(C326="","",INDEX(MERCADORIA!$C$5:$C$22,MATCH(C326,MERCADORIA!$A$5:$A$22,0)))</f>
        <v/>
      </c>
      <c r="F326" s="23" t="n"/>
      <c r="G326" s="24">
        <f>IF(D326="","",INDEX(VALOR!$B$5:$B$8,MATCH(D326,VALOR!$A$5:$A$8,0)))</f>
        <v/>
      </c>
      <c r="H326" s="15">
        <f>IF(OR(G326="",F326=""),0,F326*G326)</f>
        <v/>
      </c>
      <c r="I326" s="20" t="n"/>
      <c r="J326" s="20" t="n"/>
      <c r="K326" s="24">
        <f>IF(OR(O326=0,J326=""),0,INDEX(MAPA!$C$5:$C$14,MATCH(J326,MAPA!$A$5:$A$14,0)))</f>
        <v/>
      </c>
      <c r="L326" s="25">
        <f>H326+K326</f>
        <v/>
      </c>
      <c r="M326" s="20" t="n"/>
      <c r="N326" s="20" t="n"/>
      <c r="O326" s="14">
        <f>IF(A326="",0,IF(COUNTIF($A$5:A326,A326)=1,1,0))</f>
        <v/>
      </c>
    </row>
    <row r="327">
      <c r="A327" s="20" t="n"/>
      <c r="B327" s="21" t="n"/>
      <c r="C327" s="20" t="n"/>
      <c r="D327" s="22">
        <f>IF(C327="","",INDEX(MERCADORIA!$B$5:$B$22,MATCH(C327,MERCADORIA!$A$5:$A$22,0)))</f>
        <v/>
      </c>
      <c r="E327" s="22">
        <f>IF(C327="","",INDEX(MERCADORIA!$C$5:$C$22,MATCH(C327,MERCADORIA!$A$5:$A$22,0)))</f>
        <v/>
      </c>
      <c r="F327" s="23" t="n"/>
      <c r="G327" s="24">
        <f>IF(D327="","",INDEX(VALOR!$B$5:$B$8,MATCH(D327,VALOR!$A$5:$A$8,0)))</f>
        <v/>
      </c>
      <c r="H327" s="15">
        <f>IF(OR(G327="",F327=""),0,F327*G327)</f>
        <v/>
      </c>
      <c r="I327" s="20" t="n"/>
      <c r="J327" s="20" t="n"/>
      <c r="K327" s="24">
        <f>IF(OR(O327=0,J327=""),0,INDEX(MAPA!$C$5:$C$14,MATCH(J327,MAPA!$A$5:$A$14,0)))</f>
        <v/>
      </c>
      <c r="L327" s="25">
        <f>H327+K327</f>
        <v/>
      </c>
      <c r="M327" s="20" t="n"/>
      <c r="N327" s="20" t="n"/>
      <c r="O327" s="14">
        <f>IF(A327="",0,IF(COUNTIF($A$5:A327,A327)=1,1,0))</f>
        <v/>
      </c>
    </row>
    <row r="328">
      <c r="A328" s="20" t="n"/>
      <c r="B328" s="21" t="n"/>
      <c r="C328" s="20" t="n"/>
      <c r="D328" s="22">
        <f>IF(C328="","",INDEX(MERCADORIA!$B$5:$B$22,MATCH(C328,MERCADORIA!$A$5:$A$22,0)))</f>
        <v/>
      </c>
      <c r="E328" s="22">
        <f>IF(C328="","",INDEX(MERCADORIA!$C$5:$C$22,MATCH(C328,MERCADORIA!$A$5:$A$22,0)))</f>
        <v/>
      </c>
      <c r="F328" s="23" t="n"/>
      <c r="G328" s="24">
        <f>IF(D328="","",INDEX(VALOR!$B$5:$B$8,MATCH(D328,VALOR!$A$5:$A$8,0)))</f>
        <v/>
      </c>
      <c r="H328" s="15">
        <f>IF(OR(G328="",F328=""),0,F328*G328)</f>
        <v/>
      </c>
      <c r="I328" s="20" t="n"/>
      <c r="J328" s="20" t="n"/>
      <c r="K328" s="24">
        <f>IF(OR(O328=0,J328=""),0,INDEX(MAPA!$C$5:$C$14,MATCH(J328,MAPA!$A$5:$A$14,0)))</f>
        <v/>
      </c>
      <c r="L328" s="25">
        <f>H328+K328</f>
        <v/>
      </c>
      <c r="M328" s="20" t="n"/>
      <c r="N328" s="20" t="n"/>
      <c r="O328" s="14">
        <f>IF(A328="",0,IF(COUNTIF($A$5:A328,A328)=1,1,0))</f>
        <v/>
      </c>
    </row>
    <row r="329">
      <c r="A329" s="20" t="n"/>
      <c r="B329" s="21" t="n"/>
      <c r="C329" s="20" t="n"/>
      <c r="D329" s="22">
        <f>IF(C329="","",INDEX(MERCADORIA!$B$5:$B$22,MATCH(C329,MERCADORIA!$A$5:$A$22,0)))</f>
        <v/>
      </c>
      <c r="E329" s="22">
        <f>IF(C329="","",INDEX(MERCADORIA!$C$5:$C$22,MATCH(C329,MERCADORIA!$A$5:$A$22,0)))</f>
        <v/>
      </c>
      <c r="F329" s="23" t="n"/>
      <c r="G329" s="24">
        <f>IF(D329="","",INDEX(VALOR!$B$5:$B$8,MATCH(D329,VALOR!$A$5:$A$8,0)))</f>
        <v/>
      </c>
      <c r="H329" s="15">
        <f>IF(OR(G329="",F329=""),0,F329*G329)</f>
        <v/>
      </c>
      <c r="I329" s="20" t="n"/>
      <c r="J329" s="20" t="n"/>
      <c r="K329" s="24">
        <f>IF(OR(O329=0,J329=""),0,INDEX(MAPA!$C$5:$C$14,MATCH(J329,MAPA!$A$5:$A$14,0)))</f>
        <v/>
      </c>
      <c r="L329" s="25">
        <f>H329+K329</f>
        <v/>
      </c>
      <c r="M329" s="20" t="n"/>
      <c r="N329" s="20" t="n"/>
      <c r="O329" s="14">
        <f>IF(A329="",0,IF(COUNTIF($A$5:A329,A329)=1,1,0))</f>
        <v/>
      </c>
    </row>
    <row r="330">
      <c r="A330" s="20" t="n"/>
      <c r="B330" s="21" t="n"/>
      <c r="C330" s="20" t="n"/>
      <c r="D330" s="22">
        <f>IF(C330="","",INDEX(MERCADORIA!$B$5:$B$22,MATCH(C330,MERCADORIA!$A$5:$A$22,0)))</f>
        <v/>
      </c>
      <c r="E330" s="22">
        <f>IF(C330="","",INDEX(MERCADORIA!$C$5:$C$22,MATCH(C330,MERCADORIA!$A$5:$A$22,0)))</f>
        <v/>
      </c>
      <c r="F330" s="23" t="n"/>
      <c r="G330" s="24">
        <f>IF(D330="","",INDEX(VALOR!$B$5:$B$8,MATCH(D330,VALOR!$A$5:$A$8,0)))</f>
        <v/>
      </c>
      <c r="H330" s="15">
        <f>IF(OR(G330="",F330=""),0,F330*G330)</f>
        <v/>
      </c>
      <c r="I330" s="20" t="n"/>
      <c r="J330" s="20" t="n"/>
      <c r="K330" s="24">
        <f>IF(OR(O330=0,J330=""),0,INDEX(MAPA!$C$5:$C$14,MATCH(J330,MAPA!$A$5:$A$14,0)))</f>
        <v/>
      </c>
      <c r="L330" s="25">
        <f>H330+K330</f>
        <v/>
      </c>
      <c r="M330" s="20" t="n"/>
      <c r="N330" s="20" t="n"/>
      <c r="O330" s="14">
        <f>IF(A330="",0,IF(COUNTIF($A$5:A330,A330)=1,1,0))</f>
        <v/>
      </c>
    </row>
    <row r="331">
      <c r="A331" s="20" t="n"/>
      <c r="B331" s="21" t="n"/>
      <c r="C331" s="20" t="n"/>
      <c r="D331" s="22">
        <f>IF(C331="","",INDEX(MERCADORIA!$B$5:$B$22,MATCH(C331,MERCADORIA!$A$5:$A$22,0)))</f>
        <v/>
      </c>
      <c r="E331" s="22">
        <f>IF(C331="","",INDEX(MERCADORIA!$C$5:$C$22,MATCH(C331,MERCADORIA!$A$5:$A$22,0)))</f>
        <v/>
      </c>
      <c r="F331" s="23" t="n"/>
      <c r="G331" s="24">
        <f>IF(D331="","",INDEX(VALOR!$B$5:$B$8,MATCH(D331,VALOR!$A$5:$A$8,0)))</f>
        <v/>
      </c>
      <c r="H331" s="15">
        <f>IF(OR(G331="",F331=""),0,F331*G331)</f>
        <v/>
      </c>
      <c r="I331" s="20" t="n"/>
      <c r="J331" s="20" t="n"/>
      <c r="K331" s="24">
        <f>IF(OR(O331=0,J331=""),0,INDEX(MAPA!$C$5:$C$14,MATCH(J331,MAPA!$A$5:$A$14,0)))</f>
        <v/>
      </c>
      <c r="L331" s="25">
        <f>H331+K331</f>
        <v/>
      </c>
      <c r="M331" s="20" t="n"/>
      <c r="N331" s="20" t="n"/>
      <c r="O331" s="14">
        <f>IF(A331="",0,IF(COUNTIF($A$5:A331,A331)=1,1,0))</f>
        <v/>
      </c>
    </row>
    <row r="332">
      <c r="A332" s="20" t="n"/>
      <c r="B332" s="21" t="n"/>
      <c r="C332" s="20" t="n"/>
      <c r="D332" s="22">
        <f>IF(C332="","",INDEX(MERCADORIA!$B$5:$B$22,MATCH(C332,MERCADORIA!$A$5:$A$22,0)))</f>
        <v/>
      </c>
      <c r="E332" s="22">
        <f>IF(C332="","",INDEX(MERCADORIA!$C$5:$C$22,MATCH(C332,MERCADORIA!$A$5:$A$22,0)))</f>
        <v/>
      </c>
      <c r="F332" s="23" t="n"/>
      <c r="G332" s="24">
        <f>IF(D332="","",INDEX(VALOR!$B$5:$B$8,MATCH(D332,VALOR!$A$5:$A$8,0)))</f>
        <v/>
      </c>
      <c r="H332" s="15">
        <f>IF(OR(G332="",F332=""),0,F332*G332)</f>
        <v/>
      </c>
      <c r="I332" s="20" t="n"/>
      <c r="J332" s="20" t="n"/>
      <c r="K332" s="24">
        <f>IF(OR(O332=0,J332=""),0,INDEX(MAPA!$C$5:$C$14,MATCH(J332,MAPA!$A$5:$A$14,0)))</f>
        <v/>
      </c>
      <c r="L332" s="25">
        <f>H332+K332</f>
        <v/>
      </c>
      <c r="M332" s="20" t="n"/>
      <c r="N332" s="20" t="n"/>
      <c r="O332" s="14">
        <f>IF(A332="",0,IF(COUNTIF($A$5:A332,A332)=1,1,0))</f>
        <v/>
      </c>
    </row>
    <row r="333">
      <c r="A333" s="20" t="n"/>
      <c r="B333" s="21" t="n"/>
      <c r="C333" s="20" t="n"/>
      <c r="D333" s="22">
        <f>IF(C333="","",INDEX(MERCADORIA!$B$5:$B$22,MATCH(C333,MERCADORIA!$A$5:$A$22,0)))</f>
        <v/>
      </c>
      <c r="E333" s="22">
        <f>IF(C333="","",INDEX(MERCADORIA!$C$5:$C$22,MATCH(C333,MERCADORIA!$A$5:$A$22,0)))</f>
        <v/>
      </c>
      <c r="F333" s="23" t="n"/>
      <c r="G333" s="24">
        <f>IF(D333="","",INDEX(VALOR!$B$5:$B$8,MATCH(D333,VALOR!$A$5:$A$8,0)))</f>
        <v/>
      </c>
      <c r="H333" s="15">
        <f>IF(OR(G333="",F333=""),0,F333*G333)</f>
        <v/>
      </c>
      <c r="I333" s="20" t="n"/>
      <c r="J333" s="20" t="n"/>
      <c r="K333" s="24">
        <f>IF(OR(O333=0,J333=""),0,INDEX(MAPA!$C$5:$C$14,MATCH(J333,MAPA!$A$5:$A$14,0)))</f>
        <v/>
      </c>
      <c r="L333" s="25">
        <f>H333+K333</f>
        <v/>
      </c>
      <c r="M333" s="20" t="n"/>
      <c r="N333" s="20" t="n"/>
      <c r="O333" s="14">
        <f>IF(A333="",0,IF(COUNTIF($A$5:A333,A333)=1,1,0))</f>
        <v/>
      </c>
    </row>
    <row r="334">
      <c r="A334" s="20" t="n"/>
      <c r="B334" s="21" t="n"/>
      <c r="C334" s="20" t="n"/>
      <c r="D334" s="22">
        <f>IF(C334="","",INDEX(MERCADORIA!$B$5:$B$22,MATCH(C334,MERCADORIA!$A$5:$A$22,0)))</f>
        <v/>
      </c>
      <c r="E334" s="22">
        <f>IF(C334="","",INDEX(MERCADORIA!$C$5:$C$22,MATCH(C334,MERCADORIA!$A$5:$A$22,0)))</f>
        <v/>
      </c>
      <c r="F334" s="23" t="n"/>
      <c r="G334" s="24">
        <f>IF(D334="","",INDEX(VALOR!$B$5:$B$8,MATCH(D334,VALOR!$A$5:$A$8,0)))</f>
        <v/>
      </c>
      <c r="H334" s="15">
        <f>IF(OR(G334="",F334=""),0,F334*G334)</f>
        <v/>
      </c>
      <c r="I334" s="20" t="n"/>
      <c r="J334" s="20" t="n"/>
      <c r="K334" s="24">
        <f>IF(OR(O334=0,J334=""),0,INDEX(MAPA!$C$5:$C$14,MATCH(J334,MAPA!$A$5:$A$14,0)))</f>
        <v/>
      </c>
      <c r="L334" s="25">
        <f>H334+K334</f>
        <v/>
      </c>
      <c r="M334" s="20" t="n"/>
      <c r="N334" s="20" t="n"/>
      <c r="O334" s="14">
        <f>IF(A334="",0,IF(COUNTIF($A$5:A334,A334)=1,1,0))</f>
        <v/>
      </c>
    </row>
    <row r="335">
      <c r="A335" s="20" t="n"/>
      <c r="B335" s="21" t="n"/>
      <c r="C335" s="20" t="n"/>
      <c r="D335" s="22">
        <f>IF(C335="","",INDEX(MERCADORIA!$B$5:$B$22,MATCH(C335,MERCADORIA!$A$5:$A$22,0)))</f>
        <v/>
      </c>
      <c r="E335" s="22">
        <f>IF(C335="","",INDEX(MERCADORIA!$C$5:$C$22,MATCH(C335,MERCADORIA!$A$5:$A$22,0)))</f>
        <v/>
      </c>
      <c r="F335" s="23" t="n"/>
      <c r="G335" s="24">
        <f>IF(D335="","",INDEX(VALOR!$B$5:$B$8,MATCH(D335,VALOR!$A$5:$A$8,0)))</f>
        <v/>
      </c>
      <c r="H335" s="15">
        <f>IF(OR(G335="",F335=""),0,F335*G335)</f>
        <v/>
      </c>
      <c r="I335" s="20" t="n"/>
      <c r="J335" s="20" t="n"/>
      <c r="K335" s="24">
        <f>IF(OR(O335=0,J335=""),0,INDEX(MAPA!$C$5:$C$14,MATCH(J335,MAPA!$A$5:$A$14,0)))</f>
        <v/>
      </c>
      <c r="L335" s="25">
        <f>H335+K335</f>
        <v/>
      </c>
      <c r="M335" s="20" t="n"/>
      <c r="N335" s="20" t="n"/>
      <c r="O335" s="14">
        <f>IF(A335="",0,IF(COUNTIF($A$5:A335,A335)=1,1,0))</f>
        <v/>
      </c>
    </row>
    <row r="336">
      <c r="A336" s="20" t="n"/>
      <c r="B336" s="21" t="n"/>
      <c r="C336" s="20" t="n"/>
      <c r="D336" s="22">
        <f>IF(C336="","",INDEX(MERCADORIA!$B$5:$B$22,MATCH(C336,MERCADORIA!$A$5:$A$22,0)))</f>
        <v/>
      </c>
      <c r="E336" s="22">
        <f>IF(C336="","",INDEX(MERCADORIA!$C$5:$C$22,MATCH(C336,MERCADORIA!$A$5:$A$22,0)))</f>
        <v/>
      </c>
      <c r="F336" s="23" t="n"/>
      <c r="G336" s="24">
        <f>IF(D336="","",INDEX(VALOR!$B$5:$B$8,MATCH(D336,VALOR!$A$5:$A$8,0)))</f>
        <v/>
      </c>
      <c r="H336" s="15">
        <f>IF(OR(G336="",F336=""),0,F336*G336)</f>
        <v/>
      </c>
      <c r="I336" s="20" t="n"/>
      <c r="J336" s="20" t="n"/>
      <c r="K336" s="24">
        <f>IF(OR(O336=0,J336=""),0,INDEX(MAPA!$C$5:$C$14,MATCH(J336,MAPA!$A$5:$A$14,0)))</f>
        <v/>
      </c>
      <c r="L336" s="25">
        <f>H336+K336</f>
        <v/>
      </c>
      <c r="M336" s="20" t="n"/>
      <c r="N336" s="20" t="n"/>
      <c r="O336" s="14">
        <f>IF(A336="",0,IF(COUNTIF($A$5:A336,A336)=1,1,0))</f>
        <v/>
      </c>
    </row>
    <row r="337">
      <c r="A337" s="20" t="n"/>
      <c r="B337" s="21" t="n"/>
      <c r="C337" s="20" t="n"/>
      <c r="D337" s="22">
        <f>IF(C337="","",INDEX(MERCADORIA!$B$5:$B$22,MATCH(C337,MERCADORIA!$A$5:$A$22,0)))</f>
        <v/>
      </c>
      <c r="E337" s="22">
        <f>IF(C337="","",INDEX(MERCADORIA!$C$5:$C$22,MATCH(C337,MERCADORIA!$A$5:$A$22,0)))</f>
        <v/>
      </c>
      <c r="F337" s="23" t="n"/>
      <c r="G337" s="24">
        <f>IF(D337="","",INDEX(VALOR!$B$5:$B$8,MATCH(D337,VALOR!$A$5:$A$8,0)))</f>
        <v/>
      </c>
      <c r="H337" s="15">
        <f>IF(OR(G337="",F337=""),0,F337*G337)</f>
        <v/>
      </c>
      <c r="I337" s="20" t="n"/>
      <c r="J337" s="20" t="n"/>
      <c r="K337" s="24">
        <f>IF(OR(O337=0,J337=""),0,INDEX(MAPA!$C$5:$C$14,MATCH(J337,MAPA!$A$5:$A$14,0)))</f>
        <v/>
      </c>
      <c r="L337" s="25">
        <f>H337+K337</f>
        <v/>
      </c>
      <c r="M337" s="20" t="n"/>
      <c r="N337" s="20" t="n"/>
      <c r="O337" s="14">
        <f>IF(A337="",0,IF(COUNTIF($A$5:A337,A337)=1,1,0))</f>
        <v/>
      </c>
    </row>
    <row r="338">
      <c r="A338" s="20" t="n"/>
      <c r="B338" s="21" t="n"/>
      <c r="C338" s="20" t="n"/>
      <c r="D338" s="22">
        <f>IF(C338="","",INDEX(MERCADORIA!$B$5:$B$22,MATCH(C338,MERCADORIA!$A$5:$A$22,0)))</f>
        <v/>
      </c>
      <c r="E338" s="22">
        <f>IF(C338="","",INDEX(MERCADORIA!$C$5:$C$22,MATCH(C338,MERCADORIA!$A$5:$A$22,0)))</f>
        <v/>
      </c>
      <c r="F338" s="23" t="n"/>
      <c r="G338" s="24">
        <f>IF(D338="","",INDEX(VALOR!$B$5:$B$8,MATCH(D338,VALOR!$A$5:$A$8,0)))</f>
        <v/>
      </c>
      <c r="H338" s="15">
        <f>IF(OR(G338="",F338=""),0,F338*G338)</f>
        <v/>
      </c>
      <c r="I338" s="20" t="n"/>
      <c r="J338" s="20" t="n"/>
      <c r="K338" s="24">
        <f>IF(OR(O338=0,J338=""),0,INDEX(MAPA!$C$5:$C$14,MATCH(J338,MAPA!$A$5:$A$14,0)))</f>
        <v/>
      </c>
      <c r="L338" s="25">
        <f>H338+K338</f>
        <v/>
      </c>
      <c r="M338" s="20" t="n"/>
      <c r="N338" s="20" t="n"/>
      <c r="O338" s="14">
        <f>IF(A338="",0,IF(COUNTIF($A$5:A338,A338)=1,1,0))</f>
        <v/>
      </c>
    </row>
    <row r="339">
      <c r="A339" s="20" t="n"/>
      <c r="B339" s="21" t="n"/>
      <c r="C339" s="20" t="n"/>
      <c r="D339" s="22">
        <f>IF(C339="","",INDEX(MERCADORIA!$B$5:$B$22,MATCH(C339,MERCADORIA!$A$5:$A$22,0)))</f>
        <v/>
      </c>
      <c r="E339" s="22">
        <f>IF(C339="","",INDEX(MERCADORIA!$C$5:$C$22,MATCH(C339,MERCADORIA!$A$5:$A$22,0)))</f>
        <v/>
      </c>
      <c r="F339" s="23" t="n"/>
      <c r="G339" s="24">
        <f>IF(D339="","",INDEX(VALOR!$B$5:$B$8,MATCH(D339,VALOR!$A$5:$A$8,0)))</f>
        <v/>
      </c>
      <c r="H339" s="15">
        <f>IF(OR(G339="",F339=""),0,F339*G339)</f>
        <v/>
      </c>
      <c r="I339" s="20" t="n"/>
      <c r="J339" s="20" t="n"/>
      <c r="K339" s="24">
        <f>IF(OR(O339=0,J339=""),0,INDEX(MAPA!$C$5:$C$14,MATCH(J339,MAPA!$A$5:$A$14,0)))</f>
        <v/>
      </c>
      <c r="L339" s="25">
        <f>H339+K339</f>
        <v/>
      </c>
      <c r="M339" s="20" t="n"/>
      <c r="N339" s="20" t="n"/>
      <c r="O339" s="14">
        <f>IF(A339="",0,IF(COUNTIF($A$5:A339,A339)=1,1,0))</f>
        <v/>
      </c>
    </row>
    <row r="340">
      <c r="A340" s="20" t="n"/>
      <c r="B340" s="21" t="n"/>
      <c r="C340" s="20" t="n"/>
      <c r="D340" s="22">
        <f>IF(C340="","",INDEX(MERCADORIA!$B$5:$B$22,MATCH(C340,MERCADORIA!$A$5:$A$22,0)))</f>
        <v/>
      </c>
      <c r="E340" s="22">
        <f>IF(C340="","",INDEX(MERCADORIA!$C$5:$C$22,MATCH(C340,MERCADORIA!$A$5:$A$22,0)))</f>
        <v/>
      </c>
      <c r="F340" s="23" t="n"/>
      <c r="G340" s="24">
        <f>IF(D340="","",INDEX(VALOR!$B$5:$B$8,MATCH(D340,VALOR!$A$5:$A$8,0)))</f>
        <v/>
      </c>
      <c r="H340" s="15">
        <f>IF(OR(G340="",F340=""),0,F340*G340)</f>
        <v/>
      </c>
      <c r="I340" s="20" t="n"/>
      <c r="J340" s="20" t="n"/>
      <c r="K340" s="24">
        <f>IF(OR(O340=0,J340=""),0,INDEX(MAPA!$C$5:$C$14,MATCH(J340,MAPA!$A$5:$A$14,0)))</f>
        <v/>
      </c>
      <c r="L340" s="25">
        <f>H340+K340</f>
        <v/>
      </c>
      <c r="M340" s="20" t="n"/>
      <c r="N340" s="20" t="n"/>
      <c r="O340" s="14">
        <f>IF(A340="",0,IF(COUNTIF($A$5:A340,A340)=1,1,0))</f>
        <v/>
      </c>
    </row>
    <row r="341">
      <c r="A341" s="20" t="n"/>
      <c r="B341" s="21" t="n"/>
      <c r="C341" s="20" t="n"/>
      <c r="D341" s="22">
        <f>IF(C341="","",INDEX(MERCADORIA!$B$5:$B$22,MATCH(C341,MERCADORIA!$A$5:$A$22,0)))</f>
        <v/>
      </c>
      <c r="E341" s="22">
        <f>IF(C341="","",INDEX(MERCADORIA!$C$5:$C$22,MATCH(C341,MERCADORIA!$A$5:$A$22,0)))</f>
        <v/>
      </c>
      <c r="F341" s="23" t="n"/>
      <c r="G341" s="24">
        <f>IF(D341="","",INDEX(VALOR!$B$5:$B$8,MATCH(D341,VALOR!$A$5:$A$8,0)))</f>
        <v/>
      </c>
      <c r="H341" s="15">
        <f>IF(OR(G341="",F341=""),0,F341*G341)</f>
        <v/>
      </c>
      <c r="I341" s="20" t="n"/>
      <c r="J341" s="20" t="n"/>
      <c r="K341" s="24">
        <f>IF(OR(O341=0,J341=""),0,INDEX(MAPA!$C$5:$C$14,MATCH(J341,MAPA!$A$5:$A$14,0)))</f>
        <v/>
      </c>
      <c r="L341" s="25">
        <f>H341+K341</f>
        <v/>
      </c>
      <c r="M341" s="20" t="n"/>
      <c r="N341" s="20" t="n"/>
      <c r="O341" s="14">
        <f>IF(A341="",0,IF(COUNTIF($A$5:A341,A341)=1,1,0))</f>
        <v/>
      </c>
    </row>
    <row r="342">
      <c r="A342" s="20" t="n"/>
      <c r="B342" s="21" t="n"/>
      <c r="C342" s="20" t="n"/>
      <c r="D342" s="22">
        <f>IF(C342="","",INDEX(MERCADORIA!$B$5:$B$22,MATCH(C342,MERCADORIA!$A$5:$A$22,0)))</f>
        <v/>
      </c>
      <c r="E342" s="22">
        <f>IF(C342="","",INDEX(MERCADORIA!$C$5:$C$22,MATCH(C342,MERCADORIA!$A$5:$A$22,0)))</f>
        <v/>
      </c>
      <c r="F342" s="23" t="n"/>
      <c r="G342" s="24">
        <f>IF(D342="","",INDEX(VALOR!$B$5:$B$8,MATCH(D342,VALOR!$A$5:$A$8,0)))</f>
        <v/>
      </c>
      <c r="H342" s="15">
        <f>IF(OR(G342="",F342=""),0,F342*G342)</f>
        <v/>
      </c>
      <c r="I342" s="20" t="n"/>
      <c r="J342" s="20" t="n"/>
      <c r="K342" s="24">
        <f>IF(OR(O342=0,J342=""),0,INDEX(MAPA!$C$5:$C$14,MATCH(J342,MAPA!$A$5:$A$14,0)))</f>
        <v/>
      </c>
      <c r="L342" s="25">
        <f>H342+K342</f>
        <v/>
      </c>
      <c r="M342" s="20" t="n"/>
      <c r="N342" s="20" t="n"/>
      <c r="O342" s="14">
        <f>IF(A342="",0,IF(COUNTIF($A$5:A342,A342)=1,1,0))</f>
        <v/>
      </c>
    </row>
    <row r="343">
      <c r="A343" s="20" t="n"/>
      <c r="B343" s="21" t="n"/>
      <c r="C343" s="20" t="n"/>
      <c r="D343" s="22">
        <f>IF(C343="","",INDEX(MERCADORIA!$B$5:$B$22,MATCH(C343,MERCADORIA!$A$5:$A$22,0)))</f>
        <v/>
      </c>
      <c r="E343" s="22">
        <f>IF(C343="","",INDEX(MERCADORIA!$C$5:$C$22,MATCH(C343,MERCADORIA!$A$5:$A$22,0)))</f>
        <v/>
      </c>
      <c r="F343" s="23" t="n"/>
      <c r="G343" s="24">
        <f>IF(D343="","",INDEX(VALOR!$B$5:$B$8,MATCH(D343,VALOR!$A$5:$A$8,0)))</f>
        <v/>
      </c>
      <c r="H343" s="15">
        <f>IF(OR(G343="",F343=""),0,F343*G343)</f>
        <v/>
      </c>
      <c r="I343" s="20" t="n"/>
      <c r="J343" s="20" t="n"/>
      <c r="K343" s="24">
        <f>IF(OR(O343=0,J343=""),0,INDEX(MAPA!$C$5:$C$14,MATCH(J343,MAPA!$A$5:$A$14,0)))</f>
        <v/>
      </c>
      <c r="L343" s="25">
        <f>H343+K343</f>
        <v/>
      </c>
      <c r="M343" s="20" t="n"/>
      <c r="N343" s="20" t="n"/>
      <c r="O343" s="14">
        <f>IF(A343="",0,IF(COUNTIF($A$5:A343,A343)=1,1,0))</f>
        <v/>
      </c>
    </row>
    <row r="344">
      <c r="A344" s="20" t="n"/>
      <c r="B344" s="21" t="n"/>
      <c r="C344" s="20" t="n"/>
      <c r="D344" s="22">
        <f>IF(C344="","",INDEX(MERCADORIA!$B$5:$B$22,MATCH(C344,MERCADORIA!$A$5:$A$22,0)))</f>
        <v/>
      </c>
      <c r="E344" s="22">
        <f>IF(C344="","",INDEX(MERCADORIA!$C$5:$C$22,MATCH(C344,MERCADORIA!$A$5:$A$22,0)))</f>
        <v/>
      </c>
      <c r="F344" s="23" t="n"/>
      <c r="G344" s="24">
        <f>IF(D344="","",INDEX(VALOR!$B$5:$B$8,MATCH(D344,VALOR!$A$5:$A$8,0)))</f>
        <v/>
      </c>
      <c r="H344" s="15">
        <f>IF(OR(G344="",F344=""),0,F344*G344)</f>
        <v/>
      </c>
      <c r="I344" s="20" t="n"/>
      <c r="J344" s="20" t="n"/>
      <c r="K344" s="24">
        <f>IF(OR(O344=0,J344=""),0,INDEX(MAPA!$C$5:$C$14,MATCH(J344,MAPA!$A$5:$A$14,0)))</f>
        <v/>
      </c>
      <c r="L344" s="25">
        <f>H344+K344</f>
        <v/>
      </c>
      <c r="M344" s="20" t="n"/>
      <c r="N344" s="20" t="n"/>
      <c r="O344" s="14">
        <f>IF(A344="",0,IF(COUNTIF($A$5:A344,A344)=1,1,0))</f>
        <v/>
      </c>
    </row>
    <row r="345">
      <c r="A345" s="20" t="n"/>
      <c r="B345" s="21" t="n"/>
      <c r="C345" s="20" t="n"/>
      <c r="D345" s="22">
        <f>IF(C345="","",INDEX(MERCADORIA!$B$5:$B$22,MATCH(C345,MERCADORIA!$A$5:$A$22,0)))</f>
        <v/>
      </c>
      <c r="E345" s="22">
        <f>IF(C345="","",INDEX(MERCADORIA!$C$5:$C$22,MATCH(C345,MERCADORIA!$A$5:$A$22,0)))</f>
        <v/>
      </c>
      <c r="F345" s="23" t="n"/>
      <c r="G345" s="24">
        <f>IF(D345="","",INDEX(VALOR!$B$5:$B$8,MATCH(D345,VALOR!$A$5:$A$8,0)))</f>
        <v/>
      </c>
      <c r="H345" s="15">
        <f>IF(OR(G345="",F345=""),0,F345*G345)</f>
        <v/>
      </c>
      <c r="I345" s="20" t="n"/>
      <c r="J345" s="20" t="n"/>
      <c r="K345" s="24">
        <f>IF(OR(O345=0,J345=""),0,INDEX(MAPA!$C$5:$C$14,MATCH(J345,MAPA!$A$5:$A$14,0)))</f>
        <v/>
      </c>
      <c r="L345" s="25">
        <f>H345+K345</f>
        <v/>
      </c>
      <c r="M345" s="20" t="n"/>
      <c r="N345" s="20" t="n"/>
      <c r="O345" s="14">
        <f>IF(A345="",0,IF(COUNTIF($A$5:A345,A345)=1,1,0))</f>
        <v/>
      </c>
    </row>
    <row r="346">
      <c r="A346" s="20" t="n"/>
      <c r="B346" s="21" t="n"/>
      <c r="C346" s="20" t="n"/>
      <c r="D346" s="22">
        <f>IF(C346="","",INDEX(MERCADORIA!$B$5:$B$22,MATCH(C346,MERCADORIA!$A$5:$A$22,0)))</f>
        <v/>
      </c>
      <c r="E346" s="22">
        <f>IF(C346="","",INDEX(MERCADORIA!$C$5:$C$22,MATCH(C346,MERCADORIA!$A$5:$A$22,0)))</f>
        <v/>
      </c>
      <c r="F346" s="23" t="n"/>
      <c r="G346" s="24">
        <f>IF(D346="","",INDEX(VALOR!$B$5:$B$8,MATCH(D346,VALOR!$A$5:$A$8,0)))</f>
        <v/>
      </c>
      <c r="H346" s="15">
        <f>IF(OR(G346="",F346=""),0,F346*G346)</f>
        <v/>
      </c>
      <c r="I346" s="20" t="n"/>
      <c r="J346" s="20" t="n"/>
      <c r="K346" s="24">
        <f>IF(OR(O346=0,J346=""),0,INDEX(MAPA!$C$5:$C$14,MATCH(J346,MAPA!$A$5:$A$14,0)))</f>
        <v/>
      </c>
      <c r="L346" s="25">
        <f>H346+K346</f>
        <v/>
      </c>
      <c r="M346" s="20" t="n"/>
      <c r="N346" s="20" t="n"/>
      <c r="O346" s="14">
        <f>IF(A346="",0,IF(COUNTIF($A$5:A346,A346)=1,1,0))</f>
        <v/>
      </c>
    </row>
    <row r="347">
      <c r="A347" s="20" t="n"/>
      <c r="B347" s="21" t="n"/>
      <c r="C347" s="20" t="n"/>
      <c r="D347" s="22">
        <f>IF(C347="","",INDEX(MERCADORIA!$B$5:$B$22,MATCH(C347,MERCADORIA!$A$5:$A$22,0)))</f>
        <v/>
      </c>
      <c r="E347" s="22">
        <f>IF(C347="","",INDEX(MERCADORIA!$C$5:$C$22,MATCH(C347,MERCADORIA!$A$5:$A$22,0)))</f>
        <v/>
      </c>
      <c r="F347" s="23" t="n"/>
      <c r="G347" s="24">
        <f>IF(D347="","",INDEX(VALOR!$B$5:$B$8,MATCH(D347,VALOR!$A$5:$A$8,0)))</f>
        <v/>
      </c>
      <c r="H347" s="15">
        <f>IF(OR(G347="",F347=""),0,F347*G347)</f>
        <v/>
      </c>
      <c r="I347" s="20" t="n"/>
      <c r="J347" s="20" t="n"/>
      <c r="K347" s="24">
        <f>IF(OR(O347=0,J347=""),0,INDEX(MAPA!$C$5:$C$14,MATCH(J347,MAPA!$A$5:$A$14,0)))</f>
        <v/>
      </c>
      <c r="L347" s="25">
        <f>H347+K347</f>
        <v/>
      </c>
      <c r="M347" s="20" t="n"/>
      <c r="N347" s="20" t="n"/>
      <c r="O347" s="14">
        <f>IF(A347="",0,IF(COUNTIF($A$5:A347,A347)=1,1,0))</f>
        <v/>
      </c>
    </row>
    <row r="348">
      <c r="A348" s="20" t="n"/>
      <c r="B348" s="21" t="n"/>
      <c r="C348" s="20" t="n"/>
      <c r="D348" s="22">
        <f>IF(C348="","",INDEX(MERCADORIA!$B$5:$B$22,MATCH(C348,MERCADORIA!$A$5:$A$22,0)))</f>
        <v/>
      </c>
      <c r="E348" s="22">
        <f>IF(C348="","",INDEX(MERCADORIA!$C$5:$C$22,MATCH(C348,MERCADORIA!$A$5:$A$22,0)))</f>
        <v/>
      </c>
      <c r="F348" s="23" t="n"/>
      <c r="G348" s="24">
        <f>IF(D348="","",INDEX(VALOR!$B$5:$B$8,MATCH(D348,VALOR!$A$5:$A$8,0)))</f>
        <v/>
      </c>
      <c r="H348" s="15">
        <f>IF(OR(G348="",F348=""),0,F348*G348)</f>
        <v/>
      </c>
      <c r="I348" s="20" t="n"/>
      <c r="J348" s="20" t="n"/>
      <c r="K348" s="24">
        <f>IF(OR(O348=0,J348=""),0,INDEX(MAPA!$C$5:$C$14,MATCH(J348,MAPA!$A$5:$A$14,0)))</f>
        <v/>
      </c>
      <c r="L348" s="25">
        <f>H348+K348</f>
        <v/>
      </c>
      <c r="M348" s="20" t="n"/>
      <c r="N348" s="20" t="n"/>
      <c r="O348" s="14">
        <f>IF(A348="",0,IF(COUNTIF($A$5:A348,A348)=1,1,0))</f>
        <v/>
      </c>
    </row>
    <row r="349">
      <c r="A349" s="20" t="n"/>
      <c r="B349" s="21" t="n"/>
      <c r="C349" s="20" t="n"/>
      <c r="D349" s="22">
        <f>IF(C349="","",INDEX(MERCADORIA!$B$5:$B$22,MATCH(C349,MERCADORIA!$A$5:$A$22,0)))</f>
        <v/>
      </c>
      <c r="E349" s="22">
        <f>IF(C349="","",INDEX(MERCADORIA!$C$5:$C$22,MATCH(C349,MERCADORIA!$A$5:$A$22,0)))</f>
        <v/>
      </c>
      <c r="F349" s="23" t="n"/>
      <c r="G349" s="24">
        <f>IF(D349="","",INDEX(VALOR!$B$5:$B$8,MATCH(D349,VALOR!$A$5:$A$8,0)))</f>
        <v/>
      </c>
      <c r="H349" s="15">
        <f>IF(OR(G349="",F349=""),0,F349*G349)</f>
        <v/>
      </c>
      <c r="I349" s="20" t="n"/>
      <c r="J349" s="20" t="n"/>
      <c r="K349" s="24">
        <f>IF(OR(O349=0,J349=""),0,INDEX(MAPA!$C$5:$C$14,MATCH(J349,MAPA!$A$5:$A$14,0)))</f>
        <v/>
      </c>
      <c r="L349" s="25">
        <f>H349+K349</f>
        <v/>
      </c>
      <c r="M349" s="20" t="n"/>
      <c r="N349" s="20" t="n"/>
      <c r="O349" s="14">
        <f>IF(A349="",0,IF(COUNTIF($A$5:A349,A349)=1,1,0))</f>
        <v/>
      </c>
    </row>
    <row r="350">
      <c r="A350" s="20" t="n"/>
      <c r="B350" s="21" t="n"/>
      <c r="C350" s="20" t="n"/>
      <c r="D350" s="22">
        <f>IF(C350="","",INDEX(MERCADORIA!$B$5:$B$22,MATCH(C350,MERCADORIA!$A$5:$A$22,0)))</f>
        <v/>
      </c>
      <c r="E350" s="22">
        <f>IF(C350="","",INDEX(MERCADORIA!$C$5:$C$22,MATCH(C350,MERCADORIA!$A$5:$A$22,0)))</f>
        <v/>
      </c>
      <c r="F350" s="23" t="n"/>
      <c r="G350" s="24">
        <f>IF(D350="","",INDEX(VALOR!$B$5:$B$8,MATCH(D350,VALOR!$A$5:$A$8,0)))</f>
        <v/>
      </c>
      <c r="H350" s="15">
        <f>IF(OR(G350="",F350=""),0,F350*G350)</f>
        <v/>
      </c>
      <c r="I350" s="20" t="n"/>
      <c r="J350" s="20" t="n"/>
      <c r="K350" s="24">
        <f>IF(OR(O350=0,J350=""),0,INDEX(MAPA!$C$5:$C$14,MATCH(J350,MAPA!$A$5:$A$14,0)))</f>
        <v/>
      </c>
      <c r="L350" s="25">
        <f>H350+K350</f>
        <v/>
      </c>
      <c r="M350" s="20" t="n"/>
      <c r="N350" s="20" t="n"/>
      <c r="O350" s="14">
        <f>IF(A350="",0,IF(COUNTIF($A$5:A350,A350)=1,1,0))</f>
        <v/>
      </c>
    </row>
    <row r="351">
      <c r="A351" s="20" t="n"/>
      <c r="B351" s="21" t="n"/>
      <c r="C351" s="20" t="n"/>
      <c r="D351" s="22">
        <f>IF(C351="","",INDEX(MERCADORIA!$B$5:$B$22,MATCH(C351,MERCADORIA!$A$5:$A$22,0)))</f>
        <v/>
      </c>
      <c r="E351" s="22">
        <f>IF(C351="","",INDEX(MERCADORIA!$C$5:$C$22,MATCH(C351,MERCADORIA!$A$5:$A$22,0)))</f>
        <v/>
      </c>
      <c r="F351" s="23" t="n"/>
      <c r="G351" s="24">
        <f>IF(D351="","",INDEX(VALOR!$B$5:$B$8,MATCH(D351,VALOR!$A$5:$A$8,0)))</f>
        <v/>
      </c>
      <c r="H351" s="15">
        <f>IF(OR(G351="",F351=""),0,F351*G351)</f>
        <v/>
      </c>
      <c r="I351" s="20" t="n"/>
      <c r="J351" s="20" t="n"/>
      <c r="K351" s="24">
        <f>IF(OR(O351=0,J351=""),0,INDEX(MAPA!$C$5:$C$14,MATCH(J351,MAPA!$A$5:$A$14,0)))</f>
        <v/>
      </c>
      <c r="L351" s="25">
        <f>H351+K351</f>
        <v/>
      </c>
      <c r="M351" s="20" t="n"/>
      <c r="N351" s="20" t="n"/>
      <c r="O351" s="14">
        <f>IF(A351="",0,IF(COUNTIF($A$5:A351,A351)=1,1,0))</f>
        <v/>
      </c>
    </row>
    <row r="352">
      <c r="A352" s="20" t="n"/>
      <c r="B352" s="21" t="n"/>
      <c r="C352" s="20" t="n"/>
      <c r="D352" s="22">
        <f>IF(C352="","",INDEX(MERCADORIA!$B$5:$B$22,MATCH(C352,MERCADORIA!$A$5:$A$22,0)))</f>
        <v/>
      </c>
      <c r="E352" s="22">
        <f>IF(C352="","",INDEX(MERCADORIA!$C$5:$C$22,MATCH(C352,MERCADORIA!$A$5:$A$22,0)))</f>
        <v/>
      </c>
      <c r="F352" s="23" t="n"/>
      <c r="G352" s="24">
        <f>IF(D352="","",INDEX(VALOR!$B$5:$B$8,MATCH(D352,VALOR!$A$5:$A$8,0)))</f>
        <v/>
      </c>
      <c r="H352" s="15">
        <f>IF(OR(G352="",F352=""),0,F352*G352)</f>
        <v/>
      </c>
      <c r="I352" s="20" t="n"/>
      <c r="J352" s="20" t="n"/>
      <c r="K352" s="24">
        <f>IF(OR(O352=0,J352=""),0,INDEX(MAPA!$C$5:$C$14,MATCH(J352,MAPA!$A$5:$A$14,0)))</f>
        <v/>
      </c>
      <c r="L352" s="25">
        <f>H352+K352</f>
        <v/>
      </c>
      <c r="M352" s="20" t="n"/>
      <c r="N352" s="20" t="n"/>
      <c r="O352" s="14">
        <f>IF(A352="",0,IF(COUNTIF($A$5:A352,A352)=1,1,0))</f>
        <v/>
      </c>
    </row>
    <row r="353">
      <c r="A353" s="20" t="n"/>
      <c r="B353" s="21" t="n"/>
      <c r="C353" s="20" t="n"/>
      <c r="D353" s="22">
        <f>IF(C353="","",INDEX(MERCADORIA!$B$5:$B$22,MATCH(C353,MERCADORIA!$A$5:$A$22,0)))</f>
        <v/>
      </c>
      <c r="E353" s="22">
        <f>IF(C353="","",INDEX(MERCADORIA!$C$5:$C$22,MATCH(C353,MERCADORIA!$A$5:$A$22,0)))</f>
        <v/>
      </c>
      <c r="F353" s="23" t="n"/>
      <c r="G353" s="24">
        <f>IF(D353="","",INDEX(VALOR!$B$5:$B$8,MATCH(D353,VALOR!$A$5:$A$8,0)))</f>
        <v/>
      </c>
      <c r="H353" s="15">
        <f>IF(OR(G353="",F353=""),0,F353*G353)</f>
        <v/>
      </c>
      <c r="I353" s="20" t="n"/>
      <c r="J353" s="20" t="n"/>
      <c r="K353" s="24">
        <f>IF(OR(O353=0,J353=""),0,INDEX(MAPA!$C$5:$C$14,MATCH(J353,MAPA!$A$5:$A$14,0)))</f>
        <v/>
      </c>
      <c r="L353" s="25">
        <f>H353+K353</f>
        <v/>
      </c>
      <c r="M353" s="20" t="n"/>
      <c r="N353" s="20" t="n"/>
      <c r="O353" s="14">
        <f>IF(A353="",0,IF(COUNTIF($A$5:A353,A353)=1,1,0))</f>
        <v/>
      </c>
    </row>
    <row r="354">
      <c r="A354" s="20" t="n"/>
      <c r="B354" s="21" t="n"/>
      <c r="C354" s="20" t="n"/>
      <c r="D354" s="22">
        <f>IF(C354="","",INDEX(MERCADORIA!$B$5:$B$22,MATCH(C354,MERCADORIA!$A$5:$A$22,0)))</f>
        <v/>
      </c>
      <c r="E354" s="22">
        <f>IF(C354="","",INDEX(MERCADORIA!$C$5:$C$22,MATCH(C354,MERCADORIA!$A$5:$A$22,0)))</f>
        <v/>
      </c>
      <c r="F354" s="23" t="n"/>
      <c r="G354" s="24">
        <f>IF(D354="","",INDEX(VALOR!$B$5:$B$8,MATCH(D354,VALOR!$A$5:$A$8,0)))</f>
        <v/>
      </c>
      <c r="H354" s="15">
        <f>IF(OR(G354="",F354=""),0,F354*G354)</f>
        <v/>
      </c>
      <c r="I354" s="20" t="n"/>
      <c r="J354" s="20" t="n"/>
      <c r="K354" s="24">
        <f>IF(OR(O354=0,J354=""),0,INDEX(MAPA!$C$5:$C$14,MATCH(J354,MAPA!$A$5:$A$14,0)))</f>
        <v/>
      </c>
      <c r="L354" s="25">
        <f>H354+K354</f>
        <v/>
      </c>
      <c r="M354" s="20" t="n"/>
      <c r="N354" s="20" t="n"/>
      <c r="O354" s="14">
        <f>IF(A354="",0,IF(COUNTIF($A$5:A354,A354)=1,1,0))</f>
        <v/>
      </c>
    </row>
    <row r="355">
      <c r="A355" s="20" t="n"/>
      <c r="B355" s="21" t="n"/>
      <c r="C355" s="20" t="n"/>
      <c r="D355" s="22">
        <f>IF(C355="","",INDEX(MERCADORIA!$B$5:$B$22,MATCH(C355,MERCADORIA!$A$5:$A$22,0)))</f>
        <v/>
      </c>
      <c r="E355" s="22">
        <f>IF(C355="","",INDEX(MERCADORIA!$C$5:$C$22,MATCH(C355,MERCADORIA!$A$5:$A$22,0)))</f>
        <v/>
      </c>
      <c r="F355" s="23" t="n"/>
      <c r="G355" s="24">
        <f>IF(D355="","",INDEX(VALOR!$B$5:$B$8,MATCH(D355,VALOR!$A$5:$A$8,0)))</f>
        <v/>
      </c>
      <c r="H355" s="15">
        <f>IF(OR(G355="",F355=""),0,F355*G355)</f>
        <v/>
      </c>
      <c r="I355" s="20" t="n"/>
      <c r="J355" s="20" t="n"/>
      <c r="K355" s="24">
        <f>IF(OR(O355=0,J355=""),0,INDEX(MAPA!$C$5:$C$14,MATCH(J355,MAPA!$A$5:$A$14,0)))</f>
        <v/>
      </c>
      <c r="L355" s="25">
        <f>H355+K355</f>
        <v/>
      </c>
      <c r="M355" s="20" t="n"/>
      <c r="N355" s="20" t="n"/>
      <c r="O355" s="14">
        <f>IF(A355="",0,IF(COUNTIF($A$5:A355,A355)=1,1,0))</f>
        <v/>
      </c>
    </row>
    <row r="356">
      <c r="A356" s="20" t="n"/>
      <c r="B356" s="21" t="n"/>
      <c r="C356" s="20" t="n"/>
      <c r="D356" s="22">
        <f>IF(C356="","",INDEX(MERCADORIA!$B$5:$B$22,MATCH(C356,MERCADORIA!$A$5:$A$22,0)))</f>
        <v/>
      </c>
      <c r="E356" s="22">
        <f>IF(C356="","",INDEX(MERCADORIA!$C$5:$C$22,MATCH(C356,MERCADORIA!$A$5:$A$22,0)))</f>
        <v/>
      </c>
      <c r="F356" s="23" t="n"/>
      <c r="G356" s="24">
        <f>IF(D356="","",INDEX(VALOR!$B$5:$B$8,MATCH(D356,VALOR!$A$5:$A$8,0)))</f>
        <v/>
      </c>
      <c r="H356" s="15">
        <f>IF(OR(G356="",F356=""),0,F356*G356)</f>
        <v/>
      </c>
      <c r="I356" s="20" t="n"/>
      <c r="J356" s="20" t="n"/>
      <c r="K356" s="24">
        <f>IF(OR(O356=0,J356=""),0,INDEX(MAPA!$C$5:$C$14,MATCH(J356,MAPA!$A$5:$A$14,0)))</f>
        <v/>
      </c>
      <c r="L356" s="25">
        <f>H356+K356</f>
        <v/>
      </c>
      <c r="M356" s="20" t="n"/>
      <c r="N356" s="20" t="n"/>
      <c r="O356" s="14">
        <f>IF(A356="",0,IF(COUNTIF($A$5:A356,A356)=1,1,0))</f>
        <v/>
      </c>
    </row>
    <row r="357">
      <c r="A357" s="20" t="n"/>
      <c r="B357" s="21" t="n"/>
      <c r="C357" s="20" t="n"/>
      <c r="D357" s="22">
        <f>IF(C357="","",INDEX(MERCADORIA!$B$5:$B$22,MATCH(C357,MERCADORIA!$A$5:$A$22,0)))</f>
        <v/>
      </c>
      <c r="E357" s="22">
        <f>IF(C357="","",INDEX(MERCADORIA!$C$5:$C$22,MATCH(C357,MERCADORIA!$A$5:$A$22,0)))</f>
        <v/>
      </c>
      <c r="F357" s="23" t="n"/>
      <c r="G357" s="24">
        <f>IF(D357="","",INDEX(VALOR!$B$5:$B$8,MATCH(D357,VALOR!$A$5:$A$8,0)))</f>
        <v/>
      </c>
      <c r="H357" s="15">
        <f>IF(OR(G357="",F357=""),0,F357*G357)</f>
        <v/>
      </c>
      <c r="I357" s="20" t="n"/>
      <c r="J357" s="20" t="n"/>
      <c r="K357" s="24">
        <f>IF(OR(O357=0,J357=""),0,INDEX(MAPA!$C$5:$C$14,MATCH(J357,MAPA!$A$5:$A$14,0)))</f>
        <v/>
      </c>
      <c r="L357" s="25">
        <f>H357+K357</f>
        <v/>
      </c>
      <c r="M357" s="20" t="n"/>
      <c r="N357" s="20" t="n"/>
      <c r="O357" s="14">
        <f>IF(A357="",0,IF(COUNTIF($A$5:A357,A357)=1,1,0))</f>
        <v/>
      </c>
    </row>
    <row r="358">
      <c r="A358" s="20" t="n"/>
      <c r="B358" s="21" t="n"/>
      <c r="C358" s="20" t="n"/>
      <c r="D358" s="22">
        <f>IF(C358="","",INDEX(MERCADORIA!$B$5:$B$22,MATCH(C358,MERCADORIA!$A$5:$A$22,0)))</f>
        <v/>
      </c>
      <c r="E358" s="22">
        <f>IF(C358="","",INDEX(MERCADORIA!$C$5:$C$22,MATCH(C358,MERCADORIA!$A$5:$A$22,0)))</f>
        <v/>
      </c>
      <c r="F358" s="23" t="n"/>
      <c r="G358" s="24">
        <f>IF(D358="","",INDEX(VALOR!$B$5:$B$8,MATCH(D358,VALOR!$A$5:$A$8,0)))</f>
        <v/>
      </c>
      <c r="H358" s="15">
        <f>IF(OR(G358="",F358=""),0,F358*G358)</f>
        <v/>
      </c>
      <c r="I358" s="20" t="n"/>
      <c r="J358" s="20" t="n"/>
      <c r="K358" s="24">
        <f>IF(OR(O358=0,J358=""),0,INDEX(MAPA!$C$5:$C$14,MATCH(J358,MAPA!$A$5:$A$14,0)))</f>
        <v/>
      </c>
      <c r="L358" s="25">
        <f>H358+K358</f>
        <v/>
      </c>
      <c r="M358" s="20" t="n"/>
      <c r="N358" s="20" t="n"/>
      <c r="O358" s="14">
        <f>IF(A358="",0,IF(COUNTIF($A$5:A358,A358)=1,1,0))</f>
        <v/>
      </c>
    </row>
    <row r="359">
      <c r="A359" s="20" t="n"/>
      <c r="B359" s="21" t="n"/>
      <c r="C359" s="20" t="n"/>
      <c r="D359" s="22">
        <f>IF(C359="","",INDEX(MERCADORIA!$B$5:$B$22,MATCH(C359,MERCADORIA!$A$5:$A$22,0)))</f>
        <v/>
      </c>
      <c r="E359" s="22">
        <f>IF(C359="","",INDEX(MERCADORIA!$C$5:$C$22,MATCH(C359,MERCADORIA!$A$5:$A$22,0)))</f>
        <v/>
      </c>
      <c r="F359" s="23" t="n"/>
      <c r="G359" s="24">
        <f>IF(D359="","",INDEX(VALOR!$B$5:$B$8,MATCH(D359,VALOR!$A$5:$A$8,0)))</f>
        <v/>
      </c>
      <c r="H359" s="15">
        <f>IF(OR(G359="",F359=""),0,F359*G359)</f>
        <v/>
      </c>
      <c r="I359" s="20" t="n"/>
      <c r="J359" s="20" t="n"/>
      <c r="K359" s="24">
        <f>IF(OR(O359=0,J359=""),0,INDEX(MAPA!$C$5:$C$14,MATCH(J359,MAPA!$A$5:$A$14,0)))</f>
        <v/>
      </c>
      <c r="L359" s="25">
        <f>H359+K359</f>
        <v/>
      </c>
      <c r="M359" s="20" t="n"/>
      <c r="N359" s="20" t="n"/>
      <c r="O359" s="14">
        <f>IF(A359="",0,IF(COUNTIF($A$5:A359,A359)=1,1,0))</f>
        <v/>
      </c>
    </row>
    <row r="360">
      <c r="A360" s="20" t="n"/>
      <c r="B360" s="21" t="n"/>
      <c r="C360" s="20" t="n"/>
      <c r="D360" s="22">
        <f>IF(C360="","",INDEX(MERCADORIA!$B$5:$B$22,MATCH(C360,MERCADORIA!$A$5:$A$22,0)))</f>
        <v/>
      </c>
      <c r="E360" s="22">
        <f>IF(C360="","",INDEX(MERCADORIA!$C$5:$C$22,MATCH(C360,MERCADORIA!$A$5:$A$22,0)))</f>
        <v/>
      </c>
      <c r="F360" s="23" t="n"/>
      <c r="G360" s="24">
        <f>IF(D360="","",INDEX(VALOR!$B$5:$B$8,MATCH(D360,VALOR!$A$5:$A$8,0)))</f>
        <v/>
      </c>
      <c r="H360" s="15">
        <f>IF(OR(G360="",F360=""),0,F360*G360)</f>
        <v/>
      </c>
      <c r="I360" s="20" t="n"/>
      <c r="J360" s="20" t="n"/>
      <c r="K360" s="24">
        <f>IF(OR(O360=0,J360=""),0,INDEX(MAPA!$C$5:$C$14,MATCH(J360,MAPA!$A$5:$A$14,0)))</f>
        <v/>
      </c>
      <c r="L360" s="25">
        <f>H360+K360</f>
        <v/>
      </c>
      <c r="M360" s="20" t="n"/>
      <c r="N360" s="20" t="n"/>
      <c r="O360" s="14">
        <f>IF(A360="",0,IF(COUNTIF($A$5:A360,A360)=1,1,0))</f>
        <v/>
      </c>
    </row>
    <row r="361">
      <c r="A361" s="20" t="n"/>
      <c r="B361" s="21" t="n"/>
      <c r="C361" s="20" t="n"/>
      <c r="D361" s="22">
        <f>IF(C361="","",INDEX(MERCADORIA!$B$5:$B$22,MATCH(C361,MERCADORIA!$A$5:$A$22,0)))</f>
        <v/>
      </c>
      <c r="E361" s="22">
        <f>IF(C361="","",INDEX(MERCADORIA!$C$5:$C$22,MATCH(C361,MERCADORIA!$A$5:$A$22,0)))</f>
        <v/>
      </c>
      <c r="F361" s="23" t="n"/>
      <c r="G361" s="24">
        <f>IF(D361="","",INDEX(VALOR!$B$5:$B$8,MATCH(D361,VALOR!$A$5:$A$8,0)))</f>
        <v/>
      </c>
      <c r="H361" s="15">
        <f>IF(OR(G361="",F361=""),0,F361*G361)</f>
        <v/>
      </c>
      <c r="I361" s="20" t="n"/>
      <c r="J361" s="20" t="n"/>
      <c r="K361" s="24">
        <f>IF(OR(O361=0,J361=""),0,INDEX(MAPA!$C$5:$C$14,MATCH(J361,MAPA!$A$5:$A$14,0)))</f>
        <v/>
      </c>
      <c r="L361" s="25">
        <f>H361+K361</f>
        <v/>
      </c>
      <c r="M361" s="20" t="n"/>
      <c r="N361" s="20" t="n"/>
      <c r="O361" s="14">
        <f>IF(A361="",0,IF(COUNTIF($A$5:A361,A361)=1,1,0))</f>
        <v/>
      </c>
    </row>
    <row r="362">
      <c r="A362" s="20" t="n"/>
      <c r="B362" s="21" t="n"/>
      <c r="C362" s="20" t="n"/>
      <c r="D362" s="22">
        <f>IF(C362="","",INDEX(MERCADORIA!$B$5:$B$22,MATCH(C362,MERCADORIA!$A$5:$A$22,0)))</f>
        <v/>
      </c>
      <c r="E362" s="22">
        <f>IF(C362="","",INDEX(MERCADORIA!$C$5:$C$22,MATCH(C362,MERCADORIA!$A$5:$A$22,0)))</f>
        <v/>
      </c>
      <c r="F362" s="23" t="n"/>
      <c r="G362" s="24">
        <f>IF(D362="","",INDEX(VALOR!$B$5:$B$8,MATCH(D362,VALOR!$A$5:$A$8,0)))</f>
        <v/>
      </c>
      <c r="H362" s="15">
        <f>IF(OR(G362="",F362=""),0,F362*G362)</f>
        <v/>
      </c>
      <c r="I362" s="20" t="n"/>
      <c r="J362" s="20" t="n"/>
      <c r="K362" s="24">
        <f>IF(OR(O362=0,J362=""),0,INDEX(MAPA!$C$5:$C$14,MATCH(J362,MAPA!$A$5:$A$14,0)))</f>
        <v/>
      </c>
      <c r="L362" s="25">
        <f>H362+K362</f>
        <v/>
      </c>
      <c r="M362" s="20" t="n"/>
      <c r="N362" s="20" t="n"/>
      <c r="O362" s="14">
        <f>IF(A362="",0,IF(COUNTIF($A$5:A362,A362)=1,1,0))</f>
        <v/>
      </c>
    </row>
    <row r="363">
      <c r="A363" s="20" t="n"/>
      <c r="B363" s="21" t="n"/>
      <c r="C363" s="20" t="n"/>
      <c r="D363" s="22">
        <f>IF(C363="","",INDEX(MERCADORIA!$B$5:$B$22,MATCH(C363,MERCADORIA!$A$5:$A$22,0)))</f>
        <v/>
      </c>
      <c r="E363" s="22">
        <f>IF(C363="","",INDEX(MERCADORIA!$C$5:$C$22,MATCH(C363,MERCADORIA!$A$5:$A$22,0)))</f>
        <v/>
      </c>
      <c r="F363" s="23" t="n"/>
      <c r="G363" s="24">
        <f>IF(D363="","",INDEX(VALOR!$B$5:$B$8,MATCH(D363,VALOR!$A$5:$A$8,0)))</f>
        <v/>
      </c>
      <c r="H363" s="15">
        <f>IF(OR(G363="",F363=""),0,F363*G363)</f>
        <v/>
      </c>
      <c r="I363" s="20" t="n"/>
      <c r="J363" s="20" t="n"/>
      <c r="K363" s="24">
        <f>IF(OR(O363=0,J363=""),0,INDEX(MAPA!$C$5:$C$14,MATCH(J363,MAPA!$A$5:$A$14,0)))</f>
        <v/>
      </c>
      <c r="L363" s="25">
        <f>H363+K363</f>
        <v/>
      </c>
      <c r="M363" s="20" t="n"/>
      <c r="N363" s="20" t="n"/>
      <c r="O363" s="14">
        <f>IF(A363="",0,IF(COUNTIF($A$5:A363,A363)=1,1,0))</f>
        <v/>
      </c>
    </row>
    <row r="364">
      <c r="A364" s="20" t="n"/>
      <c r="B364" s="21" t="n"/>
      <c r="C364" s="20" t="n"/>
      <c r="D364" s="22">
        <f>IF(C364="","",INDEX(MERCADORIA!$B$5:$B$22,MATCH(C364,MERCADORIA!$A$5:$A$22,0)))</f>
        <v/>
      </c>
      <c r="E364" s="22">
        <f>IF(C364="","",INDEX(MERCADORIA!$C$5:$C$22,MATCH(C364,MERCADORIA!$A$5:$A$22,0)))</f>
        <v/>
      </c>
      <c r="F364" s="23" t="n"/>
      <c r="G364" s="24">
        <f>IF(D364="","",INDEX(VALOR!$B$5:$B$8,MATCH(D364,VALOR!$A$5:$A$8,0)))</f>
        <v/>
      </c>
      <c r="H364" s="15">
        <f>IF(OR(G364="",F364=""),0,F364*G364)</f>
        <v/>
      </c>
      <c r="I364" s="20" t="n"/>
      <c r="J364" s="20" t="n"/>
      <c r="K364" s="24">
        <f>IF(OR(O364=0,J364=""),0,INDEX(MAPA!$C$5:$C$14,MATCH(J364,MAPA!$A$5:$A$14,0)))</f>
        <v/>
      </c>
      <c r="L364" s="25">
        <f>H364+K364</f>
        <v/>
      </c>
      <c r="M364" s="20" t="n"/>
      <c r="N364" s="20" t="n"/>
      <c r="O364" s="14">
        <f>IF(A364="",0,IF(COUNTIF($A$5:A364,A364)=1,1,0))</f>
        <v/>
      </c>
    </row>
    <row r="365">
      <c r="A365" s="20" t="n"/>
      <c r="B365" s="21" t="n"/>
      <c r="C365" s="20" t="n"/>
      <c r="D365" s="22">
        <f>IF(C365="","",INDEX(MERCADORIA!$B$5:$B$22,MATCH(C365,MERCADORIA!$A$5:$A$22,0)))</f>
        <v/>
      </c>
      <c r="E365" s="22">
        <f>IF(C365="","",INDEX(MERCADORIA!$C$5:$C$22,MATCH(C365,MERCADORIA!$A$5:$A$22,0)))</f>
        <v/>
      </c>
      <c r="F365" s="23" t="n"/>
      <c r="G365" s="24">
        <f>IF(D365="","",INDEX(VALOR!$B$5:$B$8,MATCH(D365,VALOR!$A$5:$A$8,0)))</f>
        <v/>
      </c>
      <c r="H365" s="15">
        <f>IF(OR(G365="",F365=""),0,F365*G365)</f>
        <v/>
      </c>
      <c r="I365" s="20" t="n"/>
      <c r="J365" s="20" t="n"/>
      <c r="K365" s="24">
        <f>IF(OR(O365=0,J365=""),0,INDEX(MAPA!$C$5:$C$14,MATCH(J365,MAPA!$A$5:$A$14,0)))</f>
        <v/>
      </c>
      <c r="L365" s="25">
        <f>H365+K365</f>
        <v/>
      </c>
      <c r="M365" s="20" t="n"/>
      <c r="N365" s="20" t="n"/>
      <c r="O365" s="14">
        <f>IF(A365="",0,IF(COUNTIF($A$5:A365,A365)=1,1,0))</f>
        <v/>
      </c>
    </row>
    <row r="366">
      <c r="A366" s="20" t="n"/>
      <c r="B366" s="21" t="n"/>
      <c r="C366" s="20" t="n"/>
      <c r="D366" s="22">
        <f>IF(C366="","",INDEX(MERCADORIA!$B$5:$B$22,MATCH(C366,MERCADORIA!$A$5:$A$22,0)))</f>
        <v/>
      </c>
      <c r="E366" s="22">
        <f>IF(C366="","",INDEX(MERCADORIA!$C$5:$C$22,MATCH(C366,MERCADORIA!$A$5:$A$22,0)))</f>
        <v/>
      </c>
      <c r="F366" s="23" t="n"/>
      <c r="G366" s="24">
        <f>IF(D366="","",INDEX(VALOR!$B$5:$B$8,MATCH(D366,VALOR!$A$5:$A$8,0)))</f>
        <v/>
      </c>
      <c r="H366" s="15">
        <f>IF(OR(G366="",F366=""),0,F366*G366)</f>
        <v/>
      </c>
      <c r="I366" s="20" t="n"/>
      <c r="J366" s="20" t="n"/>
      <c r="K366" s="24">
        <f>IF(OR(O366=0,J366=""),0,INDEX(MAPA!$C$5:$C$14,MATCH(J366,MAPA!$A$5:$A$14,0)))</f>
        <v/>
      </c>
      <c r="L366" s="25">
        <f>H366+K366</f>
        <v/>
      </c>
      <c r="M366" s="20" t="n"/>
      <c r="N366" s="20" t="n"/>
      <c r="O366" s="14">
        <f>IF(A366="",0,IF(COUNTIF($A$5:A366,A366)=1,1,0))</f>
        <v/>
      </c>
    </row>
    <row r="367">
      <c r="A367" s="20" t="n"/>
      <c r="B367" s="21" t="n"/>
      <c r="C367" s="20" t="n"/>
      <c r="D367" s="22">
        <f>IF(C367="","",INDEX(MERCADORIA!$B$5:$B$22,MATCH(C367,MERCADORIA!$A$5:$A$22,0)))</f>
        <v/>
      </c>
      <c r="E367" s="22">
        <f>IF(C367="","",INDEX(MERCADORIA!$C$5:$C$22,MATCH(C367,MERCADORIA!$A$5:$A$22,0)))</f>
        <v/>
      </c>
      <c r="F367" s="23" t="n"/>
      <c r="G367" s="24">
        <f>IF(D367="","",INDEX(VALOR!$B$5:$B$8,MATCH(D367,VALOR!$A$5:$A$8,0)))</f>
        <v/>
      </c>
      <c r="H367" s="15">
        <f>IF(OR(G367="",F367=""),0,F367*G367)</f>
        <v/>
      </c>
      <c r="I367" s="20" t="n"/>
      <c r="J367" s="20" t="n"/>
      <c r="K367" s="24">
        <f>IF(OR(O367=0,J367=""),0,INDEX(MAPA!$C$5:$C$14,MATCH(J367,MAPA!$A$5:$A$14,0)))</f>
        <v/>
      </c>
      <c r="L367" s="25">
        <f>H367+K367</f>
        <v/>
      </c>
      <c r="M367" s="20" t="n"/>
      <c r="N367" s="20" t="n"/>
      <c r="O367" s="14">
        <f>IF(A367="",0,IF(COUNTIF($A$5:A367,A367)=1,1,0))</f>
        <v/>
      </c>
    </row>
    <row r="368">
      <c r="A368" s="20" t="n"/>
      <c r="B368" s="21" t="n"/>
      <c r="C368" s="20" t="n"/>
      <c r="D368" s="22">
        <f>IF(C368="","",INDEX(MERCADORIA!$B$5:$B$22,MATCH(C368,MERCADORIA!$A$5:$A$22,0)))</f>
        <v/>
      </c>
      <c r="E368" s="22">
        <f>IF(C368="","",INDEX(MERCADORIA!$C$5:$C$22,MATCH(C368,MERCADORIA!$A$5:$A$22,0)))</f>
        <v/>
      </c>
      <c r="F368" s="23" t="n"/>
      <c r="G368" s="24">
        <f>IF(D368="","",INDEX(VALOR!$B$5:$B$8,MATCH(D368,VALOR!$A$5:$A$8,0)))</f>
        <v/>
      </c>
      <c r="H368" s="15">
        <f>IF(OR(G368="",F368=""),0,F368*G368)</f>
        <v/>
      </c>
      <c r="I368" s="20" t="n"/>
      <c r="J368" s="20" t="n"/>
      <c r="K368" s="24">
        <f>IF(OR(O368=0,J368=""),0,INDEX(MAPA!$C$5:$C$14,MATCH(J368,MAPA!$A$5:$A$14,0)))</f>
        <v/>
      </c>
      <c r="L368" s="25">
        <f>H368+K368</f>
        <v/>
      </c>
      <c r="M368" s="20" t="n"/>
      <c r="N368" s="20" t="n"/>
      <c r="O368" s="14">
        <f>IF(A368="",0,IF(COUNTIF($A$5:A368,A368)=1,1,0))</f>
        <v/>
      </c>
    </row>
    <row r="369">
      <c r="A369" s="20" t="n"/>
      <c r="B369" s="21" t="n"/>
      <c r="C369" s="20" t="n"/>
      <c r="D369" s="22">
        <f>IF(C369="","",INDEX(MERCADORIA!$B$5:$B$22,MATCH(C369,MERCADORIA!$A$5:$A$22,0)))</f>
        <v/>
      </c>
      <c r="E369" s="22">
        <f>IF(C369="","",INDEX(MERCADORIA!$C$5:$C$22,MATCH(C369,MERCADORIA!$A$5:$A$22,0)))</f>
        <v/>
      </c>
      <c r="F369" s="23" t="n"/>
      <c r="G369" s="24">
        <f>IF(D369="","",INDEX(VALOR!$B$5:$B$8,MATCH(D369,VALOR!$A$5:$A$8,0)))</f>
        <v/>
      </c>
      <c r="H369" s="15">
        <f>IF(OR(G369="",F369=""),0,F369*G369)</f>
        <v/>
      </c>
      <c r="I369" s="20" t="n"/>
      <c r="J369" s="20" t="n"/>
      <c r="K369" s="24">
        <f>IF(OR(O369=0,J369=""),0,INDEX(MAPA!$C$5:$C$14,MATCH(J369,MAPA!$A$5:$A$14,0)))</f>
        <v/>
      </c>
      <c r="L369" s="25">
        <f>H369+K369</f>
        <v/>
      </c>
      <c r="M369" s="20" t="n"/>
      <c r="N369" s="20" t="n"/>
      <c r="O369" s="14">
        <f>IF(A369="",0,IF(COUNTIF($A$5:A369,A369)=1,1,0))</f>
        <v/>
      </c>
    </row>
    <row r="370">
      <c r="A370" s="20" t="n"/>
      <c r="B370" s="21" t="n"/>
      <c r="C370" s="20" t="n"/>
      <c r="D370" s="22">
        <f>IF(C370="","",INDEX(MERCADORIA!$B$5:$B$22,MATCH(C370,MERCADORIA!$A$5:$A$22,0)))</f>
        <v/>
      </c>
      <c r="E370" s="22">
        <f>IF(C370="","",INDEX(MERCADORIA!$C$5:$C$22,MATCH(C370,MERCADORIA!$A$5:$A$22,0)))</f>
        <v/>
      </c>
      <c r="F370" s="23" t="n"/>
      <c r="G370" s="24">
        <f>IF(D370="","",INDEX(VALOR!$B$5:$B$8,MATCH(D370,VALOR!$A$5:$A$8,0)))</f>
        <v/>
      </c>
      <c r="H370" s="15">
        <f>IF(OR(G370="",F370=""),0,F370*G370)</f>
        <v/>
      </c>
      <c r="I370" s="20" t="n"/>
      <c r="J370" s="20" t="n"/>
      <c r="K370" s="24">
        <f>IF(OR(O370=0,J370=""),0,INDEX(MAPA!$C$5:$C$14,MATCH(J370,MAPA!$A$5:$A$14,0)))</f>
        <v/>
      </c>
      <c r="L370" s="25">
        <f>H370+K370</f>
        <v/>
      </c>
      <c r="M370" s="20" t="n"/>
      <c r="N370" s="20" t="n"/>
      <c r="O370" s="14">
        <f>IF(A370="",0,IF(COUNTIF($A$5:A370,A370)=1,1,0))</f>
        <v/>
      </c>
    </row>
    <row r="371">
      <c r="A371" s="20" t="n"/>
      <c r="B371" s="21" t="n"/>
      <c r="C371" s="20" t="n"/>
      <c r="D371" s="22">
        <f>IF(C371="","",INDEX(MERCADORIA!$B$5:$B$22,MATCH(C371,MERCADORIA!$A$5:$A$22,0)))</f>
        <v/>
      </c>
      <c r="E371" s="22">
        <f>IF(C371="","",INDEX(MERCADORIA!$C$5:$C$22,MATCH(C371,MERCADORIA!$A$5:$A$22,0)))</f>
        <v/>
      </c>
      <c r="F371" s="23" t="n"/>
      <c r="G371" s="24">
        <f>IF(D371="","",INDEX(VALOR!$B$5:$B$8,MATCH(D371,VALOR!$A$5:$A$8,0)))</f>
        <v/>
      </c>
      <c r="H371" s="15">
        <f>IF(OR(G371="",F371=""),0,F371*G371)</f>
        <v/>
      </c>
      <c r="I371" s="20" t="n"/>
      <c r="J371" s="20" t="n"/>
      <c r="K371" s="24">
        <f>IF(OR(O371=0,J371=""),0,INDEX(MAPA!$C$5:$C$14,MATCH(J371,MAPA!$A$5:$A$14,0)))</f>
        <v/>
      </c>
      <c r="L371" s="25">
        <f>H371+K371</f>
        <v/>
      </c>
      <c r="M371" s="20" t="n"/>
      <c r="N371" s="20" t="n"/>
      <c r="O371" s="14">
        <f>IF(A371="",0,IF(COUNTIF($A$5:A371,A371)=1,1,0))</f>
        <v/>
      </c>
    </row>
    <row r="372">
      <c r="A372" s="20" t="n"/>
      <c r="B372" s="21" t="n"/>
      <c r="C372" s="20" t="n"/>
      <c r="D372" s="22">
        <f>IF(C372="","",INDEX(MERCADORIA!$B$5:$B$22,MATCH(C372,MERCADORIA!$A$5:$A$22,0)))</f>
        <v/>
      </c>
      <c r="E372" s="22">
        <f>IF(C372="","",INDEX(MERCADORIA!$C$5:$C$22,MATCH(C372,MERCADORIA!$A$5:$A$22,0)))</f>
        <v/>
      </c>
      <c r="F372" s="23" t="n"/>
      <c r="G372" s="24">
        <f>IF(D372="","",INDEX(VALOR!$B$5:$B$8,MATCH(D372,VALOR!$A$5:$A$8,0)))</f>
        <v/>
      </c>
      <c r="H372" s="15">
        <f>IF(OR(G372="",F372=""),0,F372*G372)</f>
        <v/>
      </c>
      <c r="I372" s="20" t="n"/>
      <c r="J372" s="20" t="n"/>
      <c r="K372" s="24">
        <f>IF(OR(O372=0,J372=""),0,INDEX(MAPA!$C$5:$C$14,MATCH(J372,MAPA!$A$5:$A$14,0)))</f>
        <v/>
      </c>
      <c r="L372" s="25">
        <f>H372+K372</f>
        <v/>
      </c>
      <c r="M372" s="20" t="n"/>
      <c r="N372" s="20" t="n"/>
      <c r="O372" s="14">
        <f>IF(A372="",0,IF(COUNTIF($A$5:A372,A372)=1,1,0))</f>
        <v/>
      </c>
    </row>
    <row r="373">
      <c r="A373" s="20" t="n"/>
      <c r="B373" s="21" t="n"/>
      <c r="C373" s="20" t="n"/>
      <c r="D373" s="22">
        <f>IF(C373="","",INDEX(MERCADORIA!$B$5:$B$22,MATCH(C373,MERCADORIA!$A$5:$A$22,0)))</f>
        <v/>
      </c>
      <c r="E373" s="22">
        <f>IF(C373="","",INDEX(MERCADORIA!$C$5:$C$22,MATCH(C373,MERCADORIA!$A$5:$A$22,0)))</f>
        <v/>
      </c>
      <c r="F373" s="23" t="n"/>
      <c r="G373" s="24">
        <f>IF(D373="","",INDEX(VALOR!$B$5:$B$8,MATCH(D373,VALOR!$A$5:$A$8,0)))</f>
        <v/>
      </c>
      <c r="H373" s="15">
        <f>IF(OR(G373="",F373=""),0,F373*G373)</f>
        <v/>
      </c>
      <c r="I373" s="20" t="n"/>
      <c r="J373" s="20" t="n"/>
      <c r="K373" s="24">
        <f>IF(OR(O373=0,J373=""),0,INDEX(MAPA!$C$5:$C$14,MATCH(J373,MAPA!$A$5:$A$14,0)))</f>
        <v/>
      </c>
      <c r="L373" s="25">
        <f>H373+K373</f>
        <v/>
      </c>
      <c r="M373" s="20" t="n"/>
      <c r="N373" s="20" t="n"/>
      <c r="O373" s="14">
        <f>IF(A373="",0,IF(COUNTIF($A$5:A373,A373)=1,1,0))</f>
        <v/>
      </c>
    </row>
    <row r="374">
      <c r="A374" s="20" t="n"/>
      <c r="B374" s="21" t="n"/>
      <c r="C374" s="20" t="n"/>
      <c r="D374" s="22">
        <f>IF(C374="","",INDEX(MERCADORIA!$B$5:$B$22,MATCH(C374,MERCADORIA!$A$5:$A$22,0)))</f>
        <v/>
      </c>
      <c r="E374" s="22">
        <f>IF(C374="","",INDEX(MERCADORIA!$C$5:$C$22,MATCH(C374,MERCADORIA!$A$5:$A$22,0)))</f>
        <v/>
      </c>
      <c r="F374" s="23" t="n"/>
      <c r="G374" s="24">
        <f>IF(D374="","",INDEX(VALOR!$B$5:$B$8,MATCH(D374,VALOR!$A$5:$A$8,0)))</f>
        <v/>
      </c>
      <c r="H374" s="15">
        <f>IF(OR(G374="",F374=""),0,F374*G374)</f>
        <v/>
      </c>
      <c r="I374" s="20" t="n"/>
      <c r="J374" s="20" t="n"/>
      <c r="K374" s="24">
        <f>IF(OR(O374=0,J374=""),0,INDEX(MAPA!$C$5:$C$14,MATCH(J374,MAPA!$A$5:$A$14,0)))</f>
        <v/>
      </c>
      <c r="L374" s="25">
        <f>H374+K374</f>
        <v/>
      </c>
      <c r="M374" s="20" t="n"/>
      <c r="N374" s="20" t="n"/>
      <c r="O374" s="14">
        <f>IF(A374="",0,IF(COUNTIF($A$5:A374,A374)=1,1,0))</f>
        <v/>
      </c>
    </row>
    <row r="375">
      <c r="A375" s="20" t="n"/>
      <c r="B375" s="21" t="n"/>
      <c r="C375" s="20" t="n"/>
      <c r="D375" s="22">
        <f>IF(C375="","",INDEX(MERCADORIA!$B$5:$B$22,MATCH(C375,MERCADORIA!$A$5:$A$22,0)))</f>
        <v/>
      </c>
      <c r="E375" s="22">
        <f>IF(C375="","",INDEX(MERCADORIA!$C$5:$C$22,MATCH(C375,MERCADORIA!$A$5:$A$22,0)))</f>
        <v/>
      </c>
      <c r="F375" s="23" t="n"/>
      <c r="G375" s="24">
        <f>IF(D375="","",INDEX(VALOR!$B$5:$B$8,MATCH(D375,VALOR!$A$5:$A$8,0)))</f>
        <v/>
      </c>
      <c r="H375" s="15">
        <f>IF(OR(G375="",F375=""),0,F375*G375)</f>
        <v/>
      </c>
      <c r="I375" s="20" t="n"/>
      <c r="J375" s="20" t="n"/>
      <c r="K375" s="24">
        <f>IF(OR(O375=0,J375=""),0,INDEX(MAPA!$C$5:$C$14,MATCH(J375,MAPA!$A$5:$A$14,0)))</f>
        <v/>
      </c>
      <c r="L375" s="25">
        <f>H375+K375</f>
        <v/>
      </c>
      <c r="M375" s="20" t="n"/>
      <c r="N375" s="20" t="n"/>
      <c r="O375" s="14">
        <f>IF(A375="",0,IF(COUNTIF($A$5:A375,A375)=1,1,0))</f>
        <v/>
      </c>
    </row>
    <row r="376">
      <c r="A376" s="20" t="n"/>
      <c r="B376" s="21" t="n"/>
      <c r="C376" s="20" t="n"/>
      <c r="D376" s="22">
        <f>IF(C376="","",INDEX(MERCADORIA!$B$5:$B$22,MATCH(C376,MERCADORIA!$A$5:$A$22,0)))</f>
        <v/>
      </c>
      <c r="E376" s="22">
        <f>IF(C376="","",INDEX(MERCADORIA!$C$5:$C$22,MATCH(C376,MERCADORIA!$A$5:$A$22,0)))</f>
        <v/>
      </c>
      <c r="F376" s="23" t="n"/>
      <c r="G376" s="24">
        <f>IF(D376="","",INDEX(VALOR!$B$5:$B$8,MATCH(D376,VALOR!$A$5:$A$8,0)))</f>
        <v/>
      </c>
      <c r="H376" s="15">
        <f>IF(OR(G376="",F376=""),0,F376*G376)</f>
        <v/>
      </c>
      <c r="I376" s="20" t="n"/>
      <c r="J376" s="20" t="n"/>
      <c r="K376" s="24">
        <f>IF(OR(O376=0,J376=""),0,INDEX(MAPA!$C$5:$C$14,MATCH(J376,MAPA!$A$5:$A$14,0)))</f>
        <v/>
      </c>
      <c r="L376" s="25">
        <f>H376+K376</f>
        <v/>
      </c>
      <c r="M376" s="20" t="n"/>
      <c r="N376" s="20" t="n"/>
      <c r="O376" s="14">
        <f>IF(A376="",0,IF(COUNTIF($A$5:A376,A376)=1,1,0))</f>
        <v/>
      </c>
    </row>
    <row r="377">
      <c r="A377" s="20" t="n"/>
      <c r="B377" s="21" t="n"/>
      <c r="C377" s="20" t="n"/>
      <c r="D377" s="22">
        <f>IF(C377="","",INDEX(MERCADORIA!$B$5:$B$22,MATCH(C377,MERCADORIA!$A$5:$A$22,0)))</f>
        <v/>
      </c>
      <c r="E377" s="22">
        <f>IF(C377="","",INDEX(MERCADORIA!$C$5:$C$22,MATCH(C377,MERCADORIA!$A$5:$A$22,0)))</f>
        <v/>
      </c>
      <c r="F377" s="23" t="n"/>
      <c r="G377" s="24">
        <f>IF(D377="","",INDEX(VALOR!$B$5:$B$8,MATCH(D377,VALOR!$A$5:$A$8,0)))</f>
        <v/>
      </c>
      <c r="H377" s="15">
        <f>IF(OR(G377="",F377=""),0,F377*G377)</f>
        <v/>
      </c>
      <c r="I377" s="20" t="n"/>
      <c r="J377" s="20" t="n"/>
      <c r="K377" s="24">
        <f>IF(OR(O377=0,J377=""),0,INDEX(MAPA!$C$5:$C$14,MATCH(J377,MAPA!$A$5:$A$14,0)))</f>
        <v/>
      </c>
      <c r="L377" s="25">
        <f>H377+K377</f>
        <v/>
      </c>
      <c r="M377" s="20" t="n"/>
      <c r="N377" s="20" t="n"/>
      <c r="O377" s="14">
        <f>IF(A377="",0,IF(COUNTIF($A$5:A377,A377)=1,1,0))</f>
        <v/>
      </c>
    </row>
    <row r="378">
      <c r="A378" s="20" t="n"/>
      <c r="B378" s="21" t="n"/>
      <c r="C378" s="20" t="n"/>
      <c r="D378" s="22">
        <f>IF(C378="","",INDEX(MERCADORIA!$B$5:$B$22,MATCH(C378,MERCADORIA!$A$5:$A$22,0)))</f>
        <v/>
      </c>
      <c r="E378" s="22">
        <f>IF(C378="","",INDEX(MERCADORIA!$C$5:$C$22,MATCH(C378,MERCADORIA!$A$5:$A$22,0)))</f>
        <v/>
      </c>
      <c r="F378" s="23" t="n"/>
      <c r="G378" s="24">
        <f>IF(D378="","",INDEX(VALOR!$B$5:$B$8,MATCH(D378,VALOR!$A$5:$A$8,0)))</f>
        <v/>
      </c>
      <c r="H378" s="15">
        <f>IF(OR(G378="",F378=""),0,F378*G378)</f>
        <v/>
      </c>
      <c r="I378" s="20" t="n"/>
      <c r="J378" s="20" t="n"/>
      <c r="K378" s="24">
        <f>IF(OR(O378=0,J378=""),0,INDEX(MAPA!$C$5:$C$14,MATCH(J378,MAPA!$A$5:$A$14,0)))</f>
        <v/>
      </c>
      <c r="L378" s="25">
        <f>H378+K378</f>
        <v/>
      </c>
      <c r="M378" s="20" t="n"/>
      <c r="N378" s="20" t="n"/>
      <c r="O378" s="14">
        <f>IF(A378="",0,IF(COUNTIF($A$5:A378,A378)=1,1,0))</f>
        <v/>
      </c>
    </row>
    <row r="379">
      <c r="A379" s="20" t="n"/>
      <c r="B379" s="21" t="n"/>
      <c r="C379" s="20" t="n"/>
      <c r="D379" s="22">
        <f>IF(C379="","",INDEX(MERCADORIA!$B$5:$B$22,MATCH(C379,MERCADORIA!$A$5:$A$22,0)))</f>
        <v/>
      </c>
      <c r="E379" s="22">
        <f>IF(C379="","",INDEX(MERCADORIA!$C$5:$C$22,MATCH(C379,MERCADORIA!$A$5:$A$22,0)))</f>
        <v/>
      </c>
      <c r="F379" s="23" t="n"/>
      <c r="G379" s="24">
        <f>IF(D379="","",INDEX(VALOR!$B$5:$B$8,MATCH(D379,VALOR!$A$5:$A$8,0)))</f>
        <v/>
      </c>
      <c r="H379" s="15">
        <f>IF(OR(G379="",F379=""),0,F379*G379)</f>
        <v/>
      </c>
      <c r="I379" s="20" t="n"/>
      <c r="J379" s="20" t="n"/>
      <c r="K379" s="24">
        <f>IF(OR(O379=0,J379=""),0,INDEX(MAPA!$C$5:$C$14,MATCH(J379,MAPA!$A$5:$A$14,0)))</f>
        <v/>
      </c>
      <c r="L379" s="25">
        <f>H379+K379</f>
        <v/>
      </c>
      <c r="M379" s="20" t="n"/>
      <c r="N379" s="20" t="n"/>
      <c r="O379" s="14">
        <f>IF(A379="",0,IF(COUNTIF($A$5:A379,A379)=1,1,0))</f>
        <v/>
      </c>
    </row>
    <row r="380">
      <c r="A380" s="20" t="n"/>
      <c r="B380" s="21" t="n"/>
      <c r="C380" s="20" t="n"/>
      <c r="D380" s="22">
        <f>IF(C380="","",INDEX(MERCADORIA!$B$5:$B$22,MATCH(C380,MERCADORIA!$A$5:$A$22,0)))</f>
        <v/>
      </c>
      <c r="E380" s="22">
        <f>IF(C380="","",INDEX(MERCADORIA!$C$5:$C$22,MATCH(C380,MERCADORIA!$A$5:$A$22,0)))</f>
        <v/>
      </c>
      <c r="F380" s="23" t="n"/>
      <c r="G380" s="24">
        <f>IF(D380="","",INDEX(VALOR!$B$5:$B$8,MATCH(D380,VALOR!$A$5:$A$8,0)))</f>
        <v/>
      </c>
      <c r="H380" s="15">
        <f>IF(OR(G380="",F380=""),0,F380*G380)</f>
        <v/>
      </c>
      <c r="I380" s="20" t="n"/>
      <c r="J380" s="20" t="n"/>
      <c r="K380" s="24">
        <f>IF(OR(O380=0,J380=""),0,INDEX(MAPA!$C$5:$C$14,MATCH(J380,MAPA!$A$5:$A$14,0)))</f>
        <v/>
      </c>
      <c r="L380" s="25">
        <f>H380+K380</f>
        <v/>
      </c>
      <c r="M380" s="20" t="n"/>
      <c r="N380" s="20" t="n"/>
      <c r="O380" s="14">
        <f>IF(A380="",0,IF(COUNTIF($A$5:A380,A380)=1,1,0))</f>
        <v/>
      </c>
    </row>
    <row r="381">
      <c r="A381" s="20" t="n"/>
      <c r="B381" s="21" t="n"/>
      <c r="C381" s="20" t="n"/>
      <c r="D381" s="22">
        <f>IF(C381="","",INDEX(MERCADORIA!$B$5:$B$22,MATCH(C381,MERCADORIA!$A$5:$A$22,0)))</f>
        <v/>
      </c>
      <c r="E381" s="22">
        <f>IF(C381="","",INDEX(MERCADORIA!$C$5:$C$22,MATCH(C381,MERCADORIA!$A$5:$A$22,0)))</f>
        <v/>
      </c>
      <c r="F381" s="23" t="n"/>
      <c r="G381" s="24">
        <f>IF(D381="","",INDEX(VALOR!$B$5:$B$8,MATCH(D381,VALOR!$A$5:$A$8,0)))</f>
        <v/>
      </c>
      <c r="H381" s="15">
        <f>IF(OR(G381="",F381=""),0,F381*G381)</f>
        <v/>
      </c>
      <c r="I381" s="20" t="n"/>
      <c r="J381" s="20" t="n"/>
      <c r="K381" s="24">
        <f>IF(OR(O381=0,J381=""),0,INDEX(MAPA!$C$5:$C$14,MATCH(J381,MAPA!$A$5:$A$14,0)))</f>
        <v/>
      </c>
      <c r="L381" s="25">
        <f>H381+K381</f>
        <v/>
      </c>
      <c r="M381" s="20" t="n"/>
      <c r="N381" s="20" t="n"/>
      <c r="O381" s="14">
        <f>IF(A381="",0,IF(COUNTIF($A$5:A381,A381)=1,1,0))</f>
        <v/>
      </c>
    </row>
    <row r="382">
      <c r="A382" s="20" t="n"/>
      <c r="B382" s="21" t="n"/>
      <c r="C382" s="20" t="n"/>
      <c r="D382" s="22">
        <f>IF(C382="","",INDEX(MERCADORIA!$B$5:$B$22,MATCH(C382,MERCADORIA!$A$5:$A$22,0)))</f>
        <v/>
      </c>
      <c r="E382" s="22">
        <f>IF(C382="","",INDEX(MERCADORIA!$C$5:$C$22,MATCH(C382,MERCADORIA!$A$5:$A$22,0)))</f>
        <v/>
      </c>
      <c r="F382" s="23" t="n"/>
      <c r="G382" s="24">
        <f>IF(D382="","",INDEX(VALOR!$B$5:$B$8,MATCH(D382,VALOR!$A$5:$A$8,0)))</f>
        <v/>
      </c>
      <c r="H382" s="15">
        <f>IF(OR(G382="",F382=""),0,F382*G382)</f>
        <v/>
      </c>
      <c r="I382" s="20" t="n"/>
      <c r="J382" s="20" t="n"/>
      <c r="K382" s="24">
        <f>IF(OR(O382=0,J382=""),0,INDEX(MAPA!$C$5:$C$14,MATCH(J382,MAPA!$A$5:$A$14,0)))</f>
        <v/>
      </c>
      <c r="L382" s="25">
        <f>H382+K382</f>
        <v/>
      </c>
      <c r="M382" s="20" t="n"/>
      <c r="N382" s="20" t="n"/>
      <c r="O382" s="14">
        <f>IF(A382="",0,IF(COUNTIF($A$5:A382,A382)=1,1,0))</f>
        <v/>
      </c>
    </row>
    <row r="383">
      <c r="A383" s="20" t="n"/>
      <c r="B383" s="21" t="n"/>
      <c r="C383" s="20" t="n"/>
      <c r="D383" s="22">
        <f>IF(C383="","",INDEX(MERCADORIA!$B$5:$B$22,MATCH(C383,MERCADORIA!$A$5:$A$22,0)))</f>
        <v/>
      </c>
      <c r="E383" s="22">
        <f>IF(C383="","",INDEX(MERCADORIA!$C$5:$C$22,MATCH(C383,MERCADORIA!$A$5:$A$22,0)))</f>
        <v/>
      </c>
      <c r="F383" s="23" t="n"/>
      <c r="G383" s="24">
        <f>IF(D383="","",INDEX(VALOR!$B$5:$B$8,MATCH(D383,VALOR!$A$5:$A$8,0)))</f>
        <v/>
      </c>
      <c r="H383" s="15">
        <f>IF(OR(G383="",F383=""),0,F383*G383)</f>
        <v/>
      </c>
      <c r="I383" s="20" t="n"/>
      <c r="J383" s="20" t="n"/>
      <c r="K383" s="24">
        <f>IF(OR(O383=0,J383=""),0,INDEX(MAPA!$C$5:$C$14,MATCH(J383,MAPA!$A$5:$A$14,0)))</f>
        <v/>
      </c>
      <c r="L383" s="25">
        <f>H383+K383</f>
        <v/>
      </c>
      <c r="M383" s="20" t="n"/>
      <c r="N383" s="20" t="n"/>
      <c r="O383" s="14">
        <f>IF(A383="",0,IF(COUNTIF($A$5:A383,A383)=1,1,0))</f>
        <v/>
      </c>
    </row>
    <row r="384">
      <c r="A384" s="20" t="n"/>
      <c r="B384" s="21" t="n"/>
      <c r="C384" s="20" t="n"/>
      <c r="D384" s="22">
        <f>IF(C384="","",INDEX(MERCADORIA!$B$5:$B$22,MATCH(C384,MERCADORIA!$A$5:$A$22,0)))</f>
        <v/>
      </c>
      <c r="E384" s="22">
        <f>IF(C384="","",INDEX(MERCADORIA!$C$5:$C$22,MATCH(C384,MERCADORIA!$A$5:$A$22,0)))</f>
        <v/>
      </c>
      <c r="F384" s="23" t="n"/>
      <c r="G384" s="24">
        <f>IF(D384="","",INDEX(VALOR!$B$5:$B$8,MATCH(D384,VALOR!$A$5:$A$8,0)))</f>
        <v/>
      </c>
      <c r="H384" s="15">
        <f>IF(OR(G384="",F384=""),0,F384*G384)</f>
        <v/>
      </c>
      <c r="I384" s="20" t="n"/>
      <c r="J384" s="20" t="n"/>
      <c r="K384" s="24">
        <f>IF(OR(O384=0,J384=""),0,INDEX(MAPA!$C$5:$C$14,MATCH(J384,MAPA!$A$5:$A$14,0)))</f>
        <v/>
      </c>
      <c r="L384" s="25">
        <f>H384+K384</f>
        <v/>
      </c>
      <c r="M384" s="20" t="n"/>
      <c r="N384" s="20" t="n"/>
      <c r="O384" s="14">
        <f>IF(A384="",0,IF(COUNTIF($A$5:A384,A384)=1,1,0))</f>
        <v/>
      </c>
    </row>
    <row r="385">
      <c r="A385" s="20" t="n"/>
      <c r="B385" s="21" t="n"/>
      <c r="C385" s="20" t="n"/>
      <c r="D385" s="22">
        <f>IF(C385="","",INDEX(MERCADORIA!$B$5:$B$22,MATCH(C385,MERCADORIA!$A$5:$A$22,0)))</f>
        <v/>
      </c>
      <c r="E385" s="22">
        <f>IF(C385="","",INDEX(MERCADORIA!$C$5:$C$22,MATCH(C385,MERCADORIA!$A$5:$A$22,0)))</f>
        <v/>
      </c>
      <c r="F385" s="23" t="n"/>
      <c r="G385" s="24">
        <f>IF(D385="","",INDEX(VALOR!$B$5:$B$8,MATCH(D385,VALOR!$A$5:$A$8,0)))</f>
        <v/>
      </c>
      <c r="H385" s="15">
        <f>IF(OR(G385="",F385=""),0,F385*G385)</f>
        <v/>
      </c>
      <c r="I385" s="20" t="n"/>
      <c r="J385" s="20" t="n"/>
      <c r="K385" s="24">
        <f>IF(OR(O385=0,J385=""),0,INDEX(MAPA!$C$5:$C$14,MATCH(J385,MAPA!$A$5:$A$14,0)))</f>
        <v/>
      </c>
      <c r="L385" s="25">
        <f>H385+K385</f>
        <v/>
      </c>
      <c r="M385" s="20" t="n"/>
      <c r="N385" s="20" t="n"/>
      <c r="O385" s="14">
        <f>IF(A385="",0,IF(COUNTIF($A$5:A385,A385)=1,1,0))</f>
        <v/>
      </c>
    </row>
    <row r="386">
      <c r="A386" s="20" t="n"/>
      <c r="B386" s="21" t="n"/>
      <c r="C386" s="20" t="n"/>
      <c r="D386" s="22">
        <f>IF(C386="","",INDEX(MERCADORIA!$B$5:$B$22,MATCH(C386,MERCADORIA!$A$5:$A$22,0)))</f>
        <v/>
      </c>
      <c r="E386" s="22">
        <f>IF(C386="","",INDEX(MERCADORIA!$C$5:$C$22,MATCH(C386,MERCADORIA!$A$5:$A$22,0)))</f>
        <v/>
      </c>
      <c r="F386" s="23" t="n"/>
      <c r="G386" s="24">
        <f>IF(D386="","",INDEX(VALOR!$B$5:$B$8,MATCH(D386,VALOR!$A$5:$A$8,0)))</f>
        <v/>
      </c>
      <c r="H386" s="15">
        <f>IF(OR(G386="",F386=""),0,F386*G386)</f>
        <v/>
      </c>
      <c r="I386" s="20" t="n"/>
      <c r="J386" s="20" t="n"/>
      <c r="K386" s="24">
        <f>IF(OR(O386=0,J386=""),0,INDEX(MAPA!$C$5:$C$14,MATCH(J386,MAPA!$A$5:$A$14,0)))</f>
        <v/>
      </c>
      <c r="L386" s="25">
        <f>H386+K386</f>
        <v/>
      </c>
      <c r="M386" s="20" t="n"/>
      <c r="N386" s="20" t="n"/>
      <c r="O386" s="14">
        <f>IF(A386="",0,IF(COUNTIF($A$5:A386,A386)=1,1,0))</f>
        <v/>
      </c>
    </row>
    <row r="387">
      <c r="A387" s="20" t="n"/>
      <c r="B387" s="21" t="n"/>
      <c r="C387" s="20" t="n"/>
      <c r="D387" s="22">
        <f>IF(C387="","",INDEX(MERCADORIA!$B$5:$B$22,MATCH(C387,MERCADORIA!$A$5:$A$22,0)))</f>
        <v/>
      </c>
      <c r="E387" s="22">
        <f>IF(C387="","",INDEX(MERCADORIA!$C$5:$C$22,MATCH(C387,MERCADORIA!$A$5:$A$22,0)))</f>
        <v/>
      </c>
      <c r="F387" s="23" t="n"/>
      <c r="G387" s="24">
        <f>IF(D387="","",INDEX(VALOR!$B$5:$B$8,MATCH(D387,VALOR!$A$5:$A$8,0)))</f>
        <v/>
      </c>
      <c r="H387" s="15">
        <f>IF(OR(G387="",F387=""),0,F387*G387)</f>
        <v/>
      </c>
      <c r="I387" s="20" t="n"/>
      <c r="J387" s="20" t="n"/>
      <c r="K387" s="24">
        <f>IF(OR(O387=0,J387=""),0,INDEX(MAPA!$C$5:$C$14,MATCH(J387,MAPA!$A$5:$A$14,0)))</f>
        <v/>
      </c>
      <c r="L387" s="25">
        <f>H387+K387</f>
        <v/>
      </c>
      <c r="M387" s="20" t="n"/>
      <c r="N387" s="20" t="n"/>
      <c r="O387" s="14">
        <f>IF(A387="",0,IF(COUNTIF($A$5:A387,A387)=1,1,0))</f>
        <v/>
      </c>
    </row>
    <row r="388">
      <c r="A388" s="20" t="n"/>
      <c r="B388" s="21" t="n"/>
      <c r="C388" s="20" t="n"/>
      <c r="D388" s="22">
        <f>IF(C388="","",INDEX(MERCADORIA!$B$5:$B$22,MATCH(C388,MERCADORIA!$A$5:$A$22,0)))</f>
        <v/>
      </c>
      <c r="E388" s="22">
        <f>IF(C388="","",INDEX(MERCADORIA!$C$5:$C$22,MATCH(C388,MERCADORIA!$A$5:$A$22,0)))</f>
        <v/>
      </c>
      <c r="F388" s="23" t="n"/>
      <c r="G388" s="24">
        <f>IF(D388="","",INDEX(VALOR!$B$5:$B$8,MATCH(D388,VALOR!$A$5:$A$8,0)))</f>
        <v/>
      </c>
      <c r="H388" s="15">
        <f>IF(OR(G388="",F388=""),0,F388*G388)</f>
        <v/>
      </c>
      <c r="I388" s="20" t="n"/>
      <c r="J388" s="20" t="n"/>
      <c r="K388" s="24">
        <f>IF(OR(O388=0,J388=""),0,INDEX(MAPA!$C$5:$C$14,MATCH(J388,MAPA!$A$5:$A$14,0)))</f>
        <v/>
      </c>
      <c r="L388" s="25">
        <f>H388+K388</f>
        <v/>
      </c>
      <c r="M388" s="20" t="n"/>
      <c r="N388" s="20" t="n"/>
      <c r="O388" s="14">
        <f>IF(A388="",0,IF(COUNTIF($A$5:A388,A388)=1,1,0))</f>
        <v/>
      </c>
    </row>
    <row r="389">
      <c r="A389" s="20" t="n"/>
      <c r="B389" s="21" t="n"/>
      <c r="C389" s="20" t="n"/>
      <c r="D389" s="22">
        <f>IF(C389="","",INDEX(MERCADORIA!$B$5:$B$22,MATCH(C389,MERCADORIA!$A$5:$A$22,0)))</f>
        <v/>
      </c>
      <c r="E389" s="22">
        <f>IF(C389="","",INDEX(MERCADORIA!$C$5:$C$22,MATCH(C389,MERCADORIA!$A$5:$A$22,0)))</f>
        <v/>
      </c>
      <c r="F389" s="23" t="n"/>
      <c r="G389" s="24">
        <f>IF(D389="","",INDEX(VALOR!$B$5:$B$8,MATCH(D389,VALOR!$A$5:$A$8,0)))</f>
        <v/>
      </c>
      <c r="H389" s="15">
        <f>IF(OR(G389="",F389=""),0,F389*G389)</f>
        <v/>
      </c>
      <c r="I389" s="20" t="n"/>
      <c r="J389" s="20" t="n"/>
      <c r="K389" s="24">
        <f>IF(OR(O389=0,J389=""),0,INDEX(MAPA!$C$5:$C$14,MATCH(J389,MAPA!$A$5:$A$14,0)))</f>
        <v/>
      </c>
      <c r="L389" s="25">
        <f>H389+K389</f>
        <v/>
      </c>
      <c r="M389" s="20" t="n"/>
      <c r="N389" s="20" t="n"/>
      <c r="O389" s="14">
        <f>IF(A389="",0,IF(COUNTIF($A$5:A389,A389)=1,1,0))</f>
        <v/>
      </c>
    </row>
    <row r="390">
      <c r="A390" s="20" t="n"/>
      <c r="B390" s="21" t="n"/>
      <c r="C390" s="20" t="n"/>
      <c r="D390" s="22">
        <f>IF(C390="","",INDEX(MERCADORIA!$B$5:$B$22,MATCH(C390,MERCADORIA!$A$5:$A$22,0)))</f>
        <v/>
      </c>
      <c r="E390" s="22">
        <f>IF(C390="","",INDEX(MERCADORIA!$C$5:$C$22,MATCH(C390,MERCADORIA!$A$5:$A$22,0)))</f>
        <v/>
      </c>
      <c r="F390" s="23" t="n"/>
      <c r="G390" s="24">
        <f>IF(D390="","",INDEX(VALOR!$B$5:$B$8,MATCH(D390,VALOR!$A$5:$A$8,0)))</f>
        <v/>
      </c>
      <c r="H390" s="15">
        <f>IF(OR(G390="",F390=""),0,F390*G390)</f>
        <v/>
      </c>
      <c r="I390" s="20" t="n"/>
      <c r="J390" s="20" t="n"/>
      <c r="K390" s="24">
        <f>IF(OR(O390=0,J390=""),0,INDEX(MAPA!$C$5:$C$14,MATCH(J390,MAPA!$A$5:$A$14,0)))</f>
        <v/>
      </c>
      <c r="L390" s="25">
        <f>H390+K390</f>
        <v/>
      </c>
      <c r="M390" s="20" t="n"/>
      <c r="N390" s="20" t="n"/>
      <c r="O390" s="14">
        <f>IF(A390="",0,IF(COUNTIF($A$5:A390,A390)=1,1,0))</f>
        <v/>
      </c>
    </row>
    <row r="391">
      <c r="A391" s="20" t="n"/>
      <c r="B391" s="21" t="n"/>
      <c r="C391" s="20" t="n"/>
      <c r="D391" s="22">
        <f>IF(C391="","",INDEX(MERCADORIA!$B$5:$B$22,MATCH(C391,MERCADORIA!$A$5:$A$22,0)))</f>
        <v/>
      </c>
      <c r="E391" s="22">
        <f>IF(C391="","",INDEX(MERCADORIA!$C$5:$C$22,MATCH(C391,MERCADORIA!$A$5:$A$22,0)))</f>
        <v/>
      </c>
      <c r="F391" s="23" t="n"/>
      <c r="G391" s="24">
        <f>IF(D391="","",INDEX(VALOR!$B$5:$B$8,MATCH(D391,VALOR!$A$5:$A$8,0)))</f>
        <v/>
      </c>
      <c r="H391" s="15">
        <f>IF(OR(G391="",F391=""),0,F391*G391)</f>
        <v/>
      </c>
      <c r="I391" s="20" t="n"/>
      <c r="J391" s="20" t="n"/>
      <c r="K391" s="24">
        <f>IF(OR(O391=0,J391=""),0,INDEX(MAPA!$C$5:$C$14,MATCH(J391,MAPA!$A$5:$A$14,0)))</f>
        <v/>
      </c>
      <c r="L391" s="25">
        <f>H391+K391</f>
        <v/>
      </c>
      <c r="M391" s="20" t="n"/>
      <c r="N391" s="20" t="n"/>
      <c r="O391" s="14">
        <f>IF(A391="",0,IF(COUNTIF($A$5:A391,A391)=1,1,0))</f>
        <v/>
      </c>
    </row>
    <row r="392">
      <c r="A392" s="20" t="n"/>
      <c r="B392" s="21" t="n"/>
      <c r="C392" s="20" t="n"/>
      <c r="D392" s="22">
        <f>IF(C392="","",INDEX(MERCADORIA!$B$5:$B$22,MATCH(C392,MERCADORIA!$A$5:$A$22,0)))</f>
        <v/>
      </c>
      <c r="E392" s="22">
        <f>IF(C392="","",INDEX(MERCADORIA!$C$5:$C$22,MATCH(C392,MERCADORIA!$A$5:$A$22,0)))</f>
        <v/>
      </c>
      <c r="F392" s="23" t="n"/>
      <c r="G392" s="24">
        <f>IF(D392="","",INDEX(VALOR!$B$5:$B$8,MATCH(D392,VALOR!$A$5:$A$8,0)))</f>
        <v/>
      </c>
      <c r="H392" s="15">
        <f>IF(OR(G392="",F392=""),0,F392*G392)</f>
        <v/>
      </c>
      <c r="I392" s="20" t="n"/>
      <c r="J392" s="20" t="n"/>
      <c r="K392" s="24">
        <f>IF(OR(O392=0,J392=""),0,INDEX(MAPA!$C$5:$C$14,MATCH(J392,MAPA!$A$5:$A$14,0)))</f>
        <v/>
      </c>
      <c r="L392" s="25">
        <f>H392+K392</f>
        <v/>
      </c>
      <c r="M392" s="20" t="n"/>
      <c r="N392" s="20" t="n"/>
      <c r="O392" s="14">
        <f>IF(A392="",0,IF(COUNTIF($A$5:A392,A392)=1,1,0))</f>
        <v/>
      </c>
    </row>
    <row r="393">
      <c r="A393" s="20" t="n"/>
      <c r="B393" s="21" t="n"/>
      <c r="C393" s="20" t="n"/>
      <c r="D393" s="22">
        <f>IF(C393="","",INDEX(MERCADORIA!$B$5:$B$22,MATCH(C393,MERCADORIA!$A$5:$A$22,0)))</f>
        <v/>
      </c>
      <c r="E393" s="22">
        <f>IF(C393="","",INDEX(MERCADORIA!$C$5:$C$22,MATCH(C393,MERCADORIA!$A$5:$A$22,0)))</f>
        <v/>
      </c>
      <c r="F393" s="23" t="n"/>
      <c r="G393" s="24">
        <f>IF(D393="","",INDEX(VALOR!$B$5:$B$8,MATCH(D393,VALOR!$A$5:$A$8,0)))</f>
        <v/>
      </c>
      <c r="H393" s="15">
        <f>IF(OR(G393="",F393=""),0,F393*G393)</f>
        <v/>
      </c>
      <c r="I393" s="20" t="n"/>
      <c r="J393" s="20" t="n"/>
      <c r="K393" s="24">
        <f>IF(OR(O393=0,J393=""),0,INDEX(MAPA!$C$5:$C$14,MATCH(J393,MAPA!$A$5:$A$14,0)))</f>
        <v/>
      </c>
      <c r="L393" s="25">
        <f>H393+K393</f>
        <v/>
      </c>
      <c r="M393" s="20" t="n"/>
      <c r="N393" s="20" t="n"/>
      <c r="O393" s="14">
        <f>IF(A393="",0,IF(COUNTIF($A$5:A393,A393)=1,1,0))</f>
        <v/>
      </c>
    </row>
    <row r="394">
      <c r="A394" s="20" t="n"/>
      <c r="B394" s="21" t="n"/>
      <c r="C394" s="20" t="n"/>
      <c r="D394" s="22">
        <f>IF(C394="","",INDEX(MERCADORIA!$B$5:$B$22,MATCH(C394,MERCADORIA!$A$5:$A$22,0)))</f>
        <v/>
      </c>
      <c r="E394" s="22">
        <f>IF(C394="","",INDEX(MERCADORIA!$C$5:$C$22,MATCH(C394,MERCADORIA!$A$5:$A$22,0)))</f>
        <v/>
      </c>
      <c r="F394" s="23" t="n"/>
      <c r="G394" s="24">
        <f>IF(D394="","",INDEX(VALOR!$B$5:$B$8,MATCH(D394,VALOR!$A$5:$A$8,0)))</f>
        <v/>
      </c>
      <c r="H394" s="15">
        <f>IF(OR(G394="",F394=""),0,F394*G394)</f>
        <v/>
      </c>
      <c r="I394" s="20" t="n"/>
      <c r="J394" s="20" t="n"/>
      <c r="K394" s="24">
        <f>IF(OR(O394=0,J394=""),0,INDEX(MAPA!$C$5:$C$14,MATCH(J394,MAPA!$A$5:$A$14,0)))</f>
        <v/>
      </c>
      <c r="L394" s="25">
        <f>H394+K394</f>
        <v/>
      </c>
      <c r="M394" s="20" t="n"/>
      <c r="N394" s="20" t="n"/>
      <c r="O394" s="14">
        <f>IF(A394="",0,IF(COUNTIF($A$5:A394,A394)=1,1,0))</f>
        <v/>
      </c>
    </row>
    <row r="395">
      <c r="A395" s="20" t="n"/>
      <c r="B395" s="21" t="n"/>
      <c r="C395" s="20" t="n"/>
      <c r="D395" s="22">
        <f>IF(C395="","",INDEX(MERCADORIA!$B$5:$B$22,MATCH(C395,MERCADORIA!$A$5:$A$22,0)))</f>
        <v/>
      </c>
      <c r="E395" s="22">
        <f>IF(C395="","",INDEX(MERCADORIA!$C$5:$C$22,MATCH(C395,MERCADORIA!$A$5:$A$22,0)))</f>
        <v/>
      </c>
      <c r="F395" s="23" t="n"/>
      <c r="G395" s="24">
        <f>IF(D395="","",INDEX(VALOR!$B$5:$B$8,MATCH(D395,VALOR!$A$5:$A$8,0)))</f>
        <v/>
      </c>
      <c r="H395" s="15">
        <f>IF(OR(G395="",F395=""),0,F395*G395)</f>
        <v/>
      </c>
      <c r="I395" s="20" t="n"/>
      <c r="J395" s="20" t="n"/>
      <c r="K395" s="24">
        <f>IF(OR(O395=0,J395=""),0,INDEX(MAPA!$C$5:$C$14,MATCH(J395,MAPA!$A$5:$A$14,0)))</f>
        <v/>
      </c>
      <c r="L395" s="25">
        <f>H395+K395</f>
        <v/>
      </c>
      <c r="M395" s="20" t="n"/>
      <c r="N395" s="20" t="n"/>
      <c r="O395" s="14">
        <f>IF(A395="",0,IF(COUNTIF($A$5:A395,A395)=1,1,0))</f>
        <v/>
      </c>
    </row>
    <row r="396">
      <c r="A396" s="20" t="n"/>
      <c r="B396" s="21" t="n"/>
      <c r="C396" s="20" t="n"/>
      <c r="D396" s="22">
        <f>IF(C396="","",INDEX(MERCADORIA!$B$5:$B$22,MATCH(C396,MERCADORIA!$A$5:$A$22,0)))</f>
        <v/>
      </c>
      <c r="E396" s="22">
        <f>IF(C396="","",INDEX(MERCADORIA!$C$5:$C$22,MATCH(C396,MERCADORIA!$A$5:$A$22,0)))</f>
        <v/>
      </c>
      <c r="F396" s="23" t="n"/>
      <c r="G396" s="24">
        <f>IF(D396="","",INDEX(VALOR!$B$5:$B$8,MATCH(D396,VALOR!$A$5:$A$8,0)))</f>
        <v/>
      </c>
      <c r="H396" s="15">
        <f>IF(OR(G396="",F396=""),0,F396*G396)</f>
        <v/>
      </c>
      <c r="I396" s="20" t="n"/>
      <c r="J396" s="20" t="n"/>
      <c r="K396" s="24">
        <f>IF(OR(O396=0,J396=""),0,INDEX(MAPA!$C$5:$C$14,MATCH(J396,MAPA!$A$5:$A$14,0)))</f>
        <v/>
      </c>
      <c r="L396" s="25">
        <f>H396+K396</f>
        <v/>
      </c>
      <c r="M396" s="20" t="n"/>
      <c r="N396" s="20" t="n"/>
      <c r="O396" s="14">
        <f>IF(A396="",0,IF(COUNTIF($A$5:A396,A396)=1,1,0))</f>
        <v/>
      </c>
    </row>
    <row r="397">
      <c r="A397" s="20" t="n"/>
      <c r="B397" s="21" t="n"/>
      <c r="C397" s="20" t="n"/>
      <c r="D397" s="22">
        <f>IF(C397="","",INDEX(MERCADORIA!$B$5:$B$22,MATCH(C397,MERCADORIA!$A$5:$A$22,0)))</f>
        <v/>
      </c>
      <c r="E397" s="22">
        <f>IF(C397="","",INDEX(MERCADORIA!$C$5:$C$22,MATCH(C397,MERCADORIA!$A$5:$A$22,0)))</f>
        <v/>
      </c>
      <c r="F397" s="23" t="n"/>
      <c r="G397" s="24">
        <f>IF(D397="","",INDEX(VALOR!$B$5:$B$8,MATCH(D397,VALOR!$A$5:$A$8,0)))</f>
        <v/>
      </c>
      <c r="H397" s="15">
        <f>IF(OR(G397="",F397=""),0,F397*G397)</f>
        <v/>
      </c>
      <c r="I397" s="20" t="n"/>
      <c r="J397" s="20" t="n"/>
      <c r="K397" s="24">
        <f>IF(OR(O397=0,J397=""),0,INDEX(MAPA!$C$5:$C$14,MATCH(J397,MAPA!$A$5:$A$14,0)))</f>
        <v/>
      </c>
      <c r="L397" s="25">
        <f>H397+K397</f>
        <v/>
      </c>
      <c r="M397" s="20" t="n"/>
      <c r="N397" s="20" t="n"/>
      <c r="O397" s="14">
        <f>IF(A397="",0,IF(COUNTIF($A$5:A397,A397)=1,1,0))</f>
        <v/>
      </c>
    </row>
    <row r="398">
      <c r="A398" s="20" t="n"/>
      <c r="B398" s="21" t="n"/>
      <c r="C398" s="20" t="n"/>
      <c r="D398" s="22">
        <f>IF(C398="","",INDEX(MERCADORIA!$B$5:$B$22,MATCH(C398,MERCADORIA!$A$5:$A$22,0)))</f>
        <v/>
      </c>
      <c r="E398" s="22">
        <f>IF(C398="","",INDEX(MERCADORIA!$C$5:$C$22,MATCH(C398,MERCADORIA!$A$5:$A$22,0)))</f>
        <v/>
      </c>
      <c r="F398" s="23" t="n"/>
      <c r="G398" s="24">
        <f>IF(D398="","",INDEX(VALOR!$B$5:$B$8,MATCH(D398,VALOR!$A$5:$A$8,0)))</f>
        <v/>
      </c>
      <c r="H398" s="15">
        <f>IF(OR(G398="",F398=""),0,F398*G398)</f>
        <v/>
      </c>
      <c r="I398" s="20" t="n"/>
      <c r="J398" s="20" t="n"/>
      <c r="K398" s="24">
        <f>IF(OR(O398=0,J398=""),0,INDEX(MAPA!$C$5:$C$14,MATCH(J398,MAPA!$A$5:$A$14,0)))</f>
        <v/>
      </c>
      <c r="L398" s="25">
        <f>H398+K398</f>
        <v/>
      </c>
      <c r="M398" s="20" t="n"/>
      <c r="N398" s="20" t="n"/>
      <c r="O398" s="14">
        <f>IF(A398="",0,IF(COUNTIF($A$5:A398,A398)=1,1,0))</f>
        <v/>
      </c>
    </row>
    <row r="399">
      <c r="A399" s="20" t="n"/>
      <c r="B399" s="21" t="n"/>
      <c r="C399" s="20" t="n"/>
      <c r="D399" s="22">
        <f>IF(C399="","",INDEX(MERCADORIA!$B$5:$B$22,MATCH(C399,MERCADORIA!$A$5:$A$22,0)))</f>
        <v/>
      </c>
      <c r="E399" s="22">
        <f>IF(C399="","",INDEX(MERCADORIA!$C$5:$C$22,MATCH(C399,MERCADORIA!$A$5:$A$22,0)))</f>
        <v/>
      </c>
      <c r="F399" s="23" t="n"/>
      <c r="G399" s="24">
        <f>IF(D399="","",INDEX(VALOR!$B$5:$B$8,MATCH(D399,VALOR!$A$5:$A$8,0)))</f>
        <v/>
      </c>
      <c r="H399" s="15">
        <f>IF(OR(G399="",F399=""),0,F399*G399)</f>
        <v/>
      </c>
      <c r="I399" s="20" t="n"/>
      <c r="J399" s="20" t="n"/>
      <c r="K399" s="24">
        <f>IF(OR(O399=0,J399=""),0,INDEX(MAPA!$C$5:$C$14,MATCH(J399,MAPA!$A$5:$A$14,0)))</f>
        <v/>
      </c>
      <c r="L399" s="25">
        <f>H399+K399</f>
        <v/>
      </c>
      <c r="M399" s="20" t="n"/>
      <c r="N399" s="20" t="n"/>
      <c r="O399" s="14">
        <f>IF(A399="",0,IF(COUNTIF($A$5:A399,A399)=1,1,0))</f>
        <v/>
      </c>
    </row>
    <row r="400">
      <c r="A400" s="20" t="n"/>
      <c r="B400" s="21" t="n"/>
      <c r="C400" s="20" t="n"/>
      <c r="D400" s="22">
        <f>IF(C400="","",INDEX(MERCADORIA!$B$5:$B$22,MATCH(C400,MERCADORIA!$A$5:$A$22,0)))</f>
        <v/>
      </c>
      <c r="E400" s="22">
        <f>IF(C400="","",INDEX(MERCADORIA!$C$5:$C$22,MATCH(C400,MERCADORIA!$A$5:$A$22,0)))</f>
        <v/>
      </c>
      <c r="F400" s="23" t="n"/>
      <c r="G400" s="24">
        <f>IF(D400="","",INDEX(VALOR!$B$5:$B$8,MATCH(D400,VALOR!$A$5:$A$8,0)))</f>
        <v/>
      </c>
      <c r="H400" s="15">
        <f>IF(OR(G400="",F400=""),0,F400*G400)</f>
        <v/>
      </c>
      <c r="I400" s="20" t="n"/>
      <c r="J400" s="20" t="n"/>
      <c r="K400" s="24">
        <f>IF(OR(O400=0,J400=""),0,INDEX(MAPA!$C$5:$C$14,MATCH(J400,MAPA!$A$5:$A$14,0)))</f>
        <v/>
      </c>
      <c r="L400" s="25">
        <f>H400+K400</f>
        <v/>
      </c>
      <c r="M400" s="20" t="n"/>
      <c r="N400" s="20" t="n"/>
      <c r="O400" s="14">
        <f>IF(A400="",0,IF(COUNTIF($A$5:A400,A400)=1,1,0))</f>
        <v/>
      </c>
    </row>
    <row r="401">
      <c r="A401" s="20" t="n"/>
      <c r="B401" s="21" t="n"/>
      <c r="C401" s="20" t="n"/>
      <c r="D401" s="22">
        <f>IF(C401="","",INDEX(MERCADORIA!$B$5:$B$22,MATCH(C401,MERCADORIA!$A$5:$A$22,0)))</f>
        <v/>
      </c>
      <c r="E401" s="22">
        <f>IF(C401="","",INDEX(MERCADORIA!$C$5:$C$22,MATCH(C401,MERCADORIA!$A$5:$A$22,0)))</f>
        <v/>
      </c>
      <c r="F401" s="23" t="n"/>
      <c r="G401" s="24">
        <f>IF(D401="","",INDEX(VALOR!$B$5:$B$8,MATCH(D401,VALOR!$A$5:$A$8,0)))</f>
        <v/>
      </c>
      <c r="H401" s="15">
        <f>IF(OR(G401="",F401=""),0,F401*G401)</f>
        <v/>
      </c>
      <c r="I401" s="20" t="n"/>
      <c r="J401" s="20" t="n"/>
      <c r="K401" s="24">
        <f>IF(OR(O401=0,J401=""),0,INDEX(MAPA!$C$5:$C$14,MATCH(J401,MAPA!$A$5:$A$14,0)))</f>
        <v/>
      </c>
      <c r="L401" s="25">
        <f>H401+K401</f>
        <v/>
      </c>
      <c r="M401" s="20" t="n"/>
      <c r="N401" s="20" t="n"/>
      <c r="O401" s="14">
        <f>IF(A401="",0,IF(COUNTIF($A$5:A401,A401)=1,1,0))</f>
        <v/>
      </c>
    </row>
    <row r="402">
      <c r="A402" s="20" t="n"/>
      <c r="B402" s="21" t="n"/>
      <c r="C402" s="20" t="n"/>
      <c r="D402" s="22">
        <f>IF(C402="","",INDEX(MERCADORIA!$B$5:$B$22,MATCH(C402,MERCADORIA!$A$5:$A$22,0)))</f>
        <v/>
      </c>
      <c r="E402" s="22">
        <f>IF(C402="","",INDEX(MERCADORIA!$C$5:$C$22,MATCH(C402,MERCADORIA!$A$5:$A$22,0)))</f>
        <v/>
      </c>
      <c r="F402" s="23" t="n"/>
      <c r="G402" s="24">
        <f>IF(D402="","",INDEX(VALOR!$B$5:$B$8,MATCH(D402,VALOR!$A$5:$A$8,0)))</f>
        <v/>
      </c>
      <c r="H402" s="15">
        <f>IF(OR(G402="",F402=""),0,F402*G402)</f>
        <v/>
      </c>
      <c r="I402" s="20" t="n"/>
      <c r="J402" s="20" t="n"/>
      <c r="K402" s="24">
        <f>IF(OR(O402=0,J402=""),0,INDEX(MAPA!$C$5:$C$14,MATCH(J402,MAPA!$A$5:$A$14,0)))</f>
        <v/>
      </c>
      <c r="L402" s="25">
        <f>H402+K402</f>
        <v/>
      </c>
      <c r="M402" s="20" t="n"/>
      <c r="N402" s="20" t="n"/>
      <c r="O402" s="14">
        <f>IF(A402="",0,IF(COUNTIF($A$5:A402,A402)=1,1,0))</f>
        <v/>
      </c>
    </row>
    <row r="403">
      <c r="A403" s="20" t="n"/>
      <c r="B403" s="21" t="n"/>
      <c r="C403" s="20" t="n"/>
      <c r="D403" s="22">
        <f>IF(C403="","",INDEX(MERCADORIA!$B$5:$B$22,MATCH(C403,MERCADORIA!$A$5:$A$22,0)))</f>
        <v/>
      </c>
      <c r="E403" s="22">
        <f>IF(C403="","",INDEX(MERCADORIA!$C$5:$C$22,MATCH(C403,MERCADORIA!$A$5:$A$22,0)))</f>
        <v/>
      </c>
      <c r="F403" s="23" t="n"/>
      <c r="G403" s="24">
        <f>IF(D403="","",INDEX(VALOR!$B$5:$B$8,MATCH(D403,VALOR!$A$5:$A$8,0)))</f>
        <v/>
      </c>
      <c r="H403" s="15">
        <f>IF(OR(G403="",F403=""),0,F403*G403)</f>
        <v/>
      </c>
      <c r="I403" s="20" t="n"/>
      <c r="J403" s="20" t="n"/>
      <c r="K403" s="24">
        <f>IF(OR(O403=0,J403=""),0,INDEX(MAPA!$C$5:$C$14,MATCH(J403,MAPA!$A$5:$A$14,0)))</f>
        <v/>
      </c>
      <c r="L403" s="25">
        <f>H403+K403</f>
        <v/>
      </c>
      <c r="M403" s="20" t="n"/>
      <c r="N403" s="20" t="n"/>
      <c r="O403" s="14">
        <f>IF(A403="",0,IF(COUNTIF($A$5:A403,A403)=1,1,0))</f>
        <v/>
      </c>
    </row>
    <row r="404">
      <c r="A404" s="20" t="n"/>
      <c r="B404" s="21" t="n"/>
      <c r="C404" s="20" t="n"/>
      <c r="D404" s="22">
        <f>IF(C404="","",INDEX(MERCADORIA!$B$5:$B$22,MATCH(C404,MERCADORIA!$A$5:$A$22,0)))</f>
        <v/>
      </c>
      <c r="E404" s="22">
        <f>IF(C404="","",INDEX(MERCADORIA!$C$5:$C$22,MATCH(C404,MERCADORIA!$A$5:$A$22,0)))</f>
        <v/>
      </c>
      <c r="F404" s="23" t="n"/>
      <c r="G404" s="24">
        <f>IF(D404="","",INDEX(VALOR!$B$5:$B$8,MATCH(D404,VALOR!$A$5:$A$8,0)))</f>
        <v/>
      </c>
      <c r="H404" s="15">
        <f>IF(OR(G404="",F404=""),0,F404*G404)</f>
        <v/>
      </c>
      <c r="I404" s="20" t="n"/>
      <c r="J404" s="20" t="n"/>
      <c r="K404" s="24">
        <f>IF(OR(O404=0,J404=""),0,INDEX(MAPA!$C$5:$C$14,MATCH(J404,MAPA!$A$5:$A$14,0)))</f>
        <v/>
      </c>
      <c r="L404" s="25">
        <f>H404+K404</f>
        <v/>
      </c>
      <c r="M404" s="20" t="n"/>
      <c r="N404" s="20" t="n"/>
      <c r="O404" s="14">
        <f>IF(A404="",0,IF(COUNTIF($A$5:A404,A404)=1,1,0))</f>
        <v/>
      </c>
    </row>
    <row r="405">
      <c r="A405" s="20" t="n"/>
      <c r="B405" s="21" t="n"/>
      <c r="C405" s="20" t="n"/>
      <c r="D405" s="22">
        <f>IF(C405="","",INDEX(MERCADORIA!$B$5:$B$22,MATCH(C405,MERCADORIA!$A$5:$A$22,0)))</f>
        <v/>
      </c>
      <c r="E405" s="22">
        <f>IF(C405="","",INDEX(MERCADORIA!$C$5:$C$22,MATCH(C405,MERCADORIA!$A$5:$A$22,0)))</f>
        <v/>
      </c>
      <c r="F405" s="23" t="n"/>
      <c r="G405" s="24">
        <f>IF(D405="","",INDEX(VALOR!$B$5:$B$8,MATCH(D405,VALOR!$A$5:$A$8,0)))</f>
        <v/>
      </c>
      <c r="H405" s="15">
        <f>IF(OR(G405="",F405=""),0,F405*G405)</f>
        <v/>
      </c>
      <c r="I405" s="20" t="n"/>
      <c r="J405" s="20" t="n"/>
      <c r="K405" s="24">
        <f>IF(OR(O405=0,J405=""),0,INDEX(MAPA!$C$5:$C$14,MATCH(J405,MAPA!$A$5:$A$14,0)))</f>
        <v/>
      </c>
      <c r="L405" s="25">
        <f>H405+K405</f>
        <v/>
      </c>
      <c r="M405" s="20" t="n"/>
      <c r="N405" s="20" t="n"/>
      <c r="O405" s="14">
        <f>IF(A405="",0,IF(COUNTIF($A$5:A405,A405)=1,1,0))</f>
        <v/>
      </c>
    </row>
    <row r="406">
      <c r="A406" s="20" t="n"/>
      <c r="B406" s="21" t="n"/>
      <c r="C406" s="20" t="n"/>
      <c r="D406" s="22">
        <f>IF(C406="","",INDEX(MERCADORIA!$B$5:$B$22,MATCH(C406,MERCADORIA!$A$5:$A$22,0)))</f>
        <v/>
      </c>
      <c r="E406" s="22">
        <f>IF(C406="","",INDEX(MERCADORIA!$C$5:$C$22,MATCH(C406,MERCADORIA!$A$5:$A$22,0)))</f>
        <v/>
      </c>
      <c r="F406" s="23" t="n"/>
      <c r="G406" s="24">
        <f>IF(D406="","",INDEX(VALOR!$B$5:$B$8,MATCH(D406,VALOR!$A$5:$A$8,0)))</f>
        <v/>
      </c>
      <c r="H406" s="15">
        <f>IF(OR(G406="",F406=""),0,F406*G406)</f>
        <v/>
      </c>
      <c r="I406" s="20" t="n"/>
      <c r="J406" s="20" t="n"/>
      <c r="K406" s="24">
        <f>IF(OR(O406=0,J406=""),0,INDEX(MAPA!$C$5:$C$14,MATCH(J406,MAPA!$A$5:$A$14,0)))</f>
        <v/>
      </c>
      <c r="L406" s="25">
        <f>H406+K406</f>
        <v/>
      </c>
      <c r="M406" s="20" t="n"/>
      <c r="N406" s="20" t="n"/>
      <c r="O406" s="14">
        <f>IF(A406="",0,IF(COUNTIF($A$5:A406,A406)=1,1,0))</f>
        <v/>
      </c>
    </row>
    <row r="407">
      <c r="A407" s="20" t="n"/>
      <c r="B407" s="21" t="n"/>
      <c r="C407" s="20" t="n"/>
      <c r="D407" s="22">
        <f>IF(C407="","",INDEX(MERCADORIA!$B$5:$B$22,MATCH(C407,MERCADORIA!$A$5:$A$22,0)))</f>
        <v/>
      </c>
      <c r="E407" s="22">
        <f>IF(C407="","",INDEX(MERCADORIA!$C$5:$C$22,MATCH(C407,MERCADORIA!$A$5:$A$22,0)))</f>
        <v/>
      </c>
      <c r="F407" s="23" t="n"/>
      <c r="G407" s="24">
        <f>IF(D407="","",INDEX(VALOR!$B$5:$B$8,MATCH(D407,VALOR!$A$5:$A$8,0)))</f>
        <v/>
      </c>
      <c r="H407" s="15">
        <f>IF(OR(G407="",F407=""),0,F407*G407)</f>
        <v/>
      </c>
      <c r="I407" s="20" t="n"/>
      <c r="J407" s="20" t="n"/>
      <c r="K407" s="24">
        <f>IF(OR(O407=0,J407=""),0,INDEX(MAPA!$C$5:$C$14,MATCH(J407,MAPA!$A$5:$A$14,0)))</f>
        <v/>
      </c>
      <c r="L407" s="25">
        <f>H407+K407</f>
        <v/>
      </c>
      <c r="M407" s="20" t="n"/>
      <c r="N407" s="20" t="n"/>
      <c r="O407" s="14">
        <f>IF(A407="",0,IF(COUNTIF($A$5:A407,A407)=1,1,0))</f>
        <v/>
      </c>
    </row>
    <row r="408">
      <c r="A408" s="20" t="n"/>
      <c r="B408" s="21" t="n"/>
      <c r="C408" s="20" t="n"/>
      <c r="D408" s="22">
        <f>IF(C408="","",INDEX(MERCADORIA!$B$5:$B$22,MATCH(C408,MERCADORIA!$A$5:$A$22,0)))</f>
        <v/>
      </c>
      <c r="E408" s="22">
        <f>IF(C408="","",INDEX(MERCADORIA!$C$5:$C$22,MATCH(C408,MERCADORIA!$A$5:$A$22,0)))</f>
        <v/>
      </c>
      <c r="F408" s="23" t="n"/>
      <c r="G408" s="24">
        <f>IF(D408="","",INDEX(VALOR!$B$5:$B$8,MATCH(D408,VALOR!$A$5:$A$8,0)))</f>
        <v/>
      </c>
      <c r="H408" s="15">
        <f>IF(OR(G408="",F408=""),0,F408*G408)</f>
        <v/>
      </c>
      <c r="I408" s="20" t="n"/>
      <c r="J408" s="20" t="n"/>
      <c r="K408" s="24">
        <f>IF(OR(O408=0,J408=""),0,INDEX(MAPA!$C$5:$C$14,MATCH(J408,MAPA!$A$5:$A$14,0)))</f>
        <v/>
      </c>
      <c r="L408" s="25">
        <f>H408+K408</f>
        <v/>
      </c>
      <c r="M408" s="20" t="n"/>
      <c r="N408" s="20" t="n"/>
      <c r="O408" s="14">
        <f>IF(A408="",0,IF(COUNTIF($A$5:A408,A408)=1,1,0))</f>
        <v/>
      </c>
    </row>
    <row r="409">
      <c r="A409" s="20" t="n"/>
      <c r="B409" s="21" t="n"/>
      <c r="C409" s="20" t="n"/>
      <c r="D409" s="22">
        <f>IF(C409="","",INDEX(MERCADORIA!$B$5:$B$22,MATCH(C409,MERCADORIA!$A$5:$A$22,0)))</f>
        <v/>
      </c>
      <c r="E409" s="22">
        <f>IF(C409="","",INDEX(MERCADORIA!$C$5:$C$22,MATCH(C409,MERCADORIA!$A$5:$A$22,0)))</f>
        <v/>
      </c>
      <c r="F409" s="23" t="n"/>
      <c r="G409" s="24">
        <f>IF(D409="","",INDEX(VALOR!$B$5:$B$8,MATCH(D409,VALOR!$A$5:$A$8,0)))</f>
        <v/>
      </c>
      <c r="H409" s="15">
        <f>IF(OR(G409="",F409=""),0,F409*G409)</f>
        <v/>
      </c>
      <c r="I409" s="20" t="n"/>
      <c r="J409" s="20" t="n"/>
      <c r="K409" s="24">
        <f>IF(OR(O409=0,J409=""),0,INDEX(MAPA!$C$5:$C$14,MATCH(J409,MAPA!$A$5:$A$14,0)))</f>
        <v/>
      </c>
      <c r="L409" s="25">
        <f>H409+K409</f>
        <v/>
      </c>
      <c r="M409" s="20" t="n"/>
      <c r="N409" s="20" t="n"/>
      <c r="O409" s="14">
        <f>IF(A409="",0,IF(COUNTIF($A$5:A409,A409)=1,1,0))</f>
        <v/>
      </c>
    </row>
    <row r="410">
      <c r="A410" s="20" t="n"/>
      <c r="B410" s="21" t="n"/>
      <c r="C410" s="20" t="n"/>
      <c r="D410" s="22">
        <f>IF(C410="","",INDEX(MERCADORIA!$B$5:$B$22,MATCH(C410,MERCADORIA!$A$5:$A$22,0)))</f>
        <v/>
      </c>
      <c r="E410" s="22">
        <f>IF(C410="","",INDEX(MERCADORIA!$C$5:$C$22,MATCH(C410,MERCADORIA!$A$5:$A$22,0)))</f>
        <v/>
      </c>
      <c r="F410" s="23" t="n"/>
      <c r="G410" s="24">
        <f>IF(D410="","",INDEX(VALOR!$B$5:$B$8,MATCH(D410,VALOR!$A$5:$A$8,0)))</f>
        <v/>
      </c>
      <c r="H410" s="15">
        <f>IF(OR(G410="",F410=""),0,F410*G410)</f>
        <v/>
      </c>
      <c r="I410" s="20" t="n"/>
      <c r="J410" s="20" t="n"/>
      <c r="K410" s="24">
        <f>IF(OR(O410=0,J410=""),0,INDEX(MAPA!$C$5:$C$14,MATCH(J410,MAPA!$A$5:$A$14,0)))</f>
        <v/>
      </c>
      <c r="L410" s="25">
        <f>H410+K410</f>
        <v/>
      </c>
      <c r="M410" s="20" t="n"/>
      <c r="N410" s="20" t="n"/>
      <c r="O410" s="14">
        <f>IF(A410="",0,IF(COUNTIF($A$5:A410,A410)=1,1,0))</f>
        <v/>
      </c>
    </row>
    <row r="411">
      <c r="A411" s="20" t="n"/>
      <c r="B411" s="21" t="n"/>
      <c r="C411" s="20" t="n"/>
      <c r="D411" s="22">
        <f>IF(C411="","",INDEX(MERCADORIA!$B$5:$B$22,MATCH(C411,MERCADORIA!$A$5:$A$22,0)))</f>
        <v/>
      </c>
      <c r="E411" s="22">
        <f>IF(C411="","",INDEX(MERCADORIA!$C$5:$C$22,MATCH(C411,MERCADORIA!$A$5:$A$22,0)))</f>
        <v/>
      </c>
      <c r="F411" s="23" t="n"/>
      <c r="G411" s="24">
        <f>IF(D411="","",INDEX(VALOR!$B$5:$B$8,MATCH(D411,VALOR!$A$5:$A$8,0)))</f>
        <v/>
      </c>
      <c r="H411" s="15">
        <f>IF(OR(G411="",F411=""),0,F411*G411)</f>
        <v/>
      </c>
      <c r="I411" s="20" t="n"/>
      <c r="J411" s="20" t="n"/>
      <c r="K411" s="24">
        <f>IF(OR(O411=0,J411=""),0,INDEX(MAPA!$C$5:$C$14,MATCH(J411,MAPA!$A$5:$A$14,0)))</f>
        <v/>
      </c>
      <c r="L411" s="25">
        <f>H411+K411</f>
        <v/>
      </c>
      <c r="M411" s="20" t="n"/>
      <c r="N411" s="20" t="n"/>
      <c r="O411" s="14">
        <f>IF(A411="",0,IF(COUNTIF($A$5:A411,A411)=1,1,0))</f>
        <v/>
      </c>
    </row>
    <row r="412">
      <c r="A412" s="20" t="n"/>
      <c r="B412" s="21" t="n"/>
      <c r="C412" s="20" t="n"/>
      <c r="D412" s="22">
        <f>IF(C412="","",INDEX(MERCADORIA!$B$5:$B$22,MATCH(C412,MERCADORIA!$A$5:$A$22,0)))</f>
        <v/>
      </c>
      <c r="E412" s="22">
        <f>IF(C412="","",INDEX(MERCADORIA!$C$5:$C$22,MATCH(C412,MERCADORIA!$A$5:$A$22,0)))</f>
        <v/>
      </c>
      <c r="F412" s="23" t="n"/>
      <c r="G412" s="24">
        <f>IF(D412="","",INDEX(VALOR!$B$5:$B$8,MATCH(D412,VALOR!$A$5:$A$8,0)))</f>
        <v/>
      </c>
      <c r="H412" s="15">
        <f>IF(OR(G412="",F412=""),0,F412*G412)</f>
        <v/>
      </c>
      <c r="I412" s="20" t="n"/>
      <c r="J412" s="20" t="n"/>
      <c r="K412" s="24">
        <f>IF(OR(O412=0,J412=""),0,INDEX(MAPA!$C$5:$C$14,MATCH(J412,MAPA!$A$5:$A$14,0)))</f>
        <v/>
      </c>
      <c r="L412" s="25">
        <f>H412+K412</f>
        <v/>
      </c>
      <c r="M412" s="20" t="n"/>
      <c r="N412" s="20" t="n"/>
      <c r="O412" s="14">
        <f>IF(A412="",0,IF(COUNTIF($A$5:A412,A412)=1,1,0))</f>
        <v/>
      </c>
    </row>
    <row r="413">
      <c r="A413" s="20" t="n"/>
      <c r="B413" s="21" t="n"/>
      <c r="C413" s="20" t="n"/>
      <c r="D413" s="22">
        <f>IF(C413="","",INDEX(MERCADORIA!$B$5:$B$22,MATCH(C413,MERCADORIA!$A$5:$A$22,0)))</f>
        <v/>
      </c>
      <c r="E413" s="22">
        <f>IF(C413="","",INDEX(MERCADORIA!$C$5:$C$22,MATCH(C413,MERCADORIA!$A$5:$A$22,0)))</f>
        <v/>
      </c>
      <c r="F413" s="23" t="n"/>
      <c r="G413" s="24">
        <f>IF(D413="","",INDEX(VALOR!$B$5:$B$8,MATCH(D413,VALOR!$A$5:$A$8,0)))</f>
        <v/>
      </c>
      <c r="H413" s="15">
        <f>IF(OR(G413="",F413=""),0,F413*G413)</f>
        <v/>
      </c>
      <c r="I413" s="20" t="n"/>
      <c r="J413" s="20" t="n"/>
      <c r="K413" s="24">
        <f>IF(OR(O413=0,J413=""),0,INDEX(MAPA!$C$5:$C$14,MATCH(J413,MAPA!$A$5:$A$14,0)))</f>
        <v/>
      </c>
      <c r="L413" s="25">
        <f>H413+K413</f>
        <v/>
      </c>
      <c r="M413" s="20" t="n"/>
      <c r="N413" s="20" t="n"/>
      <c r="O413" s="14">
        <f>IF(A413="",0,IF(COUNTIF($A$5:A413,A413)=1,1,0))</f>
        <v/>
      </c>
    </row>
    <row r="414">
      <c r="A414" s="20" t="n"/>
      <c r="B414" s="21" t="n"/>
      <c r="C414" s="20" t="n"/>
      <c r="D414" s="22">
        <f>IF(C414="","",INDEX(MERCADORIA!$B$5:$B$22,MATCH(C414,MERCADORIA!$A$5:$A$22,0)))</f>
        <v/>
      </c>
      <c r="E414" s="22">
        <f>IF(C414="","",INDEX(MERCADORIA!$C$5:$C$22,MATCH(C414,MERCADORIA!$A$5:$A$22,0)))</f>
        <v/>
      </c>
      <c r="F414" s="23" t="n"/>
      <c r="G414" s="24">
        <f>IF(D414="","",INDEX(VALOR!$B$5:$B$8,MATCH(D414,VALOR!$A$5:$A$8,0)))</f>
        <v/>
      </c>
      <c r="H414" s="15">
        <f>IF(OR(G414="",F414=""),0,F414*G414)</f>
        <v/>
      </c>
      <c r="I414" s="20" t="n"/>
      <c r="J414" s="20" t="n"/>
      <c r="K414" s="24">
        <f>IF(OR(O414=0,J414=""),0,INDEX(MAPA!$C$5:$C$14,MATCH(J414,MAPA!$A$5:$A$14,0)))</f>
        <v/>
      </c>
      <c r="L414" s="25">
        <f>H414+K414</f>
        <v/>
      </c>
      <c r="M414" s="20" t="n"/>
      <c r="N414" s="20" t="n"/>
      <c r="O414" s="14">
        <f>IF(A414="",0,IF(COUNTIF($A$5:A414,A414)=1,1,0))</f>
        <v/>
      </c>
    </row>
    <row r="415">
      <c r="A415" s="20" t="n"/>
      <c r="B415" s="21" t="n"/>
      <c r="C415" s="20" t="n"/>
      <c r="D415" s="22">
        <f>IF(C415="","",INDEX(MERCADORIA!$B$5:$B$22,MATCH(C415,MERCADORIA!$A$5:$A$22,0)))</f>
        <v/>
      </c>
      <c r="E415" s="22">
        <f>IF(C415="","",INDEX(MERCADORIA!$C$5:$C$22,MATCH(C415,MERCADORIA!$A$5:$A$22,0)))</f>
        <v/>
      </c>
      <c r="F415" s="23" t="n"/>
      <c r="G415" s="24">
        <f>IF(D415="","",INDEX(VALOR!$B$5:$B$8,MATCH(D415,VALOR!$A$5:$A$8,0)))</f>
        <v/>
      </c>
      <c r="H415" s="15">
        <f>IF(OR(G415="",F415=""),0,F415*G415)</f>
        <v/>
      </c>
      <c r="I415" s="20" t="n"/>
      <c r="J415" s="20" t="n"/>
      <c r="K415" s="24">
        <f>IF(OR(O415=0,J415=""),0,INDEX(MAPA!$C$5:$C$14,MATCH(J415,MAPA!$A$5:$A$14,0)))</f>
        <v/>
      </c>
      <c r="L415" s="25">
        <f>H415+K415</f>
        <v/>
      </c>
      <c r="M415" s="20" t="n"/>
      <c r="N415" s="20" t="n"/>
      <c r="O415" s="14">
        <f>IF(A415="",0,IF(COUNTIF($A$5:A415,A415)=1,1,0))</f>
        <v/>
      </c>
    </row>
    <row r="416">
      <c r="A416" s="20" t="n"/>
      <c r="B416" s="21" t="n"/>
      <c r="C416" s="20" t="n"/>
      <c r="D416" s="22">
        <f>IF(C416="","",INDEX(MERCADORIA!$B$5:$B$22,MATCH(C416,MERCADORIA!$A$5:$A$22,0)))</f>
        <v/>
      </c>
      <c r="E416" s="22">
        <f>IF(C416="","",INDEX(MERCADORIA!$C$5:$C$22,MATCH(C416,MERCADORIA!$A$5:$A$22,0)))</f>
        <v/>
      </c>
      <c r="F416" s="23" t="n"/>
      <c r="G416" s="24">
        <f>IF(D416="","",INDEX(VALOR!$B$5:$B$8,MATCH(D416,VALOR!$A$5:$A$8,0)))</f>
        <v/>
      </c>
      <c r="H416" s="15">
        <f>IF(OR(G416="",F416=""),0,F416*G416)</f>
        <v/>
      </c>
      <c r="I416" s="20" t="n"/>
      <c r="J416" s="20" t="n"/>
      <c r="K416" s="24">
        <f>IF(OR(O416=0,J416=""),0,INDEX(MAPA!$C$5:$C$14,MATCH(J416,MAPA!$A$5:$A$14,0)))</f>
        <v/>
      </c>
      <c r="L416" s="25">
        <f>H416+K416</f>
        <v/>
      </c>
      <c r="M416" s="20" t="n"/>
      <c r="N416" s="20" t="n"/>
      <c r="O416" s="14">
        <f>IF(A416="",0,IF(COUNTIF($A$5:A416,A416)=1,1,0))</f>
        <v/>
      </c>
    </row>
    <row r="417">
      <c r="A417" s="20" t="n"/>
      <c r="B417" s="21" t="n"/>
      <c r="C417" s="20" t="n"/>
      <c r="D417" s="22">
        <f>IF(C417="","",INDEX(MERCADORIA!$B$5:$B$22,MATCH(C417,MERCADORIA!$A$5:$A$22,0)))</f>
        <v/>
      </c>
      <c r="E417" s="22">
        <f>IF(C417="","",INDEX(MERCADORIA!$C$5:$C$22,MATCH(C417,MERCADORIA!$A$5:$A$22,0)))</f>
        <v/>
      </c>
      <c r="F417" s="23" t="n"/>
      <c r="G417" s="24">
        <f>IF(D417="","",INDEX(VALOR!$B$5:$B$8,MATCH(D417,VALOR!$A$5:$A$8,0)))</f>
        <v/>
      </c>
      <c r="H417" s="15">
        <f>IF(OR(G417="",F417=""),0,F417*G417)</f>
        <v/>
      </c>
      <c r="I417" s="20" t="n"/>
      <c r="J417" s="20" t="n"/>
      <c r="K417" s="24">
        <f>IF(OR(O417=0,J417=""),0,INDEX(MAPA!$C$5:$C$14,MATCH(J417,MAPA!$A$5:$A$14,0)))</f>
        <v/>
      </c>
      <c r="L417" s="25">
        <f>H417+K417</f>
        <v/>
      </c>
      <c r="M417" s="20" t="n"/>
      <c r="N417" s="20" t="n"/>
      <c r="O417" s="14">
        <f>IF(A417="",0,IF(COUNTIF($A$5:A417,A417)=1,1,0))</f>
        <v/>
      </c>
    </row>
    <row r="418">
      <c r="A418" s="20" t="n"/>
      <c r="B418" s="21" t="n"/>
      <c r="C418" s="20" t="n"/>
      <c r="D418" s="22">
        <f>IF(C418="","",INDEX(MERCADORIA!$B$5:$B$22,MATCH(C418,MERCADORIA!$A$5:$A$22,0)))</f>
        <v/>
      </c>
      <c r="E418" s="22">
        <f>IF(C418="","",INDEX(MERCADORIA!$C$5:$C$22,MATCH(C418,MERCADORIA!$A$5:$A$22,0)))</f>
        <v/>
      </c>
      <c r="F418" s="23" t="n"/>
      <c r="G418" s="24">
        <f>IF(D418="","",INDEX(VALOR!$B$5:$B$8,MATCH(D418,VALOR!$A$5:$A$8,0)))</f>
        <v/>
      </c>
      <c r="H418" s="15">
        <f>IF(OR(G418="",F418=""),0,F418*G418)</f>
        <v/>
      </c>
      <c r="I418" s="20" t="n"/>
      <c r="J418" s="20" t="n"/>
      <c r="K418" s="24">
        <f>IF(OR(O418=0,J418=""),0,INDEX(MAPA!$C$5:$C$14,MATCH(J418,MAPA!$A$5:$A$14,0)))</f>
        <v/>
      </c>
      <c r="L418" s="25">
        <f>H418+K418</f>
        <v/>
      </c>
      <c r="M418" s="20" t="n"/>
      <c r="N418" s="20" t="n"/>
      <c r="O418" s="14">
        <f>IF(A418="",0,IF(COUNTIF($A$5:A418,A418)=1,1,0))</f>
        <v/>
      </c>
    </row>
    <row r="419">
      <c r="A419" s="20" t="n"/>
      <c r="B419" s="21" t="n"/>
      <c r="C419" s="20" t="n"/>
      <c r="D419" s="22">
        <f>IF(C419="","",INDEX(MERCADORIA!$B$5:$B$22,MATCH(C419,MERCADORIA!$A$5:$A$22,0)))</f>
        <v/>
      </c>
      <c r="E419" s="22">
        <f>IF(C419="","",INDEX(MERCADORIA!$C$5:$C$22,MATCH(C419,MERCADORIA!$A$5:$A$22,0)))</f>
        <v/>
      </c>
      <c r="F419" s="23" t="n"/>
      <c r="G419" s="24">
        <f>IF(D419="","",INDEX(VALOR!$B$5:$B$8,MATCH(D419,VALOR!$A$5:$A$8,0)))</f>
        <v/>
      </c>
      <c r="H419" s="15">
        <f>IF(OR(G419="",F419=""),0,F419*G419)</f>
        <v/>
      </c>
      <c r="I419" s="20" t="n"/>
      <c r="J419" s="20" t="n"/>
      <c r="K419" s="24">
        <f>IF(OR(O419=0,J419=""),0,INDEX(MAPA!$C$5:$C$14,MATCH(J419,MAPA!$A$5:$A$14,0)))</f>
        <v/>
      </c>
      <c r="L419" s="25">
        <f>H419+K419</f>
        <v/>
      </c>
      <c r="M419" s="20" t="n"/>
      <c r="N419" s="20" t="n"/>
      <c r="O419" s="14">
        <f>IF(A419="",0,IF(COUNTIF($A$5:A419,A419)=1,1,0))</f>
        <v/>
      </c>
    </row>
    <row r="420">
      <c r="A420" s="20" t="n"/>
      <c r="B420" s="21" t="n"/>
      <c r="C420" s="20" t="n"/>
      <c r="D420" s="22">
        <f>IF(C420="","",INDEX(MERCADORIA!$B$5:$B$22,MATCH(C420,MERCADORIA!$A$5:$A$22,0)))</f>
        <v/>
      </c>
      <c r="E420" s="22">
        <f>IF(C420="","",INDEX(MERCADORIA!$C$5:$C$22,MATCH(C420,MERCADORIA!$A$5:$A$22,0)))</f>
        <v/>
      </c>
      <c r="F420" s="23" t="n"/>
      <c r="G420" s="24">
        <f>IF(D420="","",INDEX(VALOR!$B$5:$B$8,MATCH(D420,VALOR!$A$5:$A$8,0)))</f>
        <v/>
      </c>
      <c r="H420" s="15">
        <f>IF(OR(G420="",F420=""),0,F420*G420)</f>
        <v/>
      </c>
      <c r="I420" s="20" t="n"/>
      <c r="J420" s="20" t="n"/>
      <c r="K420" s="24">
        <f>IF(OR(O420=0,J420=""),0,INDEX(MAPA!$C$5:$C$14,MATCH(J420,MAPA!$A$5:$A$14,0)))</f>
        <v/>
      </c>
      <c r="L420" s="25">
        <f>H420+K420</f>
        <v/>
      </c>
      <c r="M420" s="20" t="n"/>
      <c r="N420" s="20" t="n"/>
      <c r="O420" s="14">
        <f>IF(A420="",0,IF(COUNTIF($A$5:A420,A420)=1,1,0))</f>
        <v/>
      </c>
    </row>
    <row r="421">
      <c r="A421" s="20" t="n"/>
      <c r="B421" s="21" t="n"/>
      <c r="C421" s="20" t="n"/>
      <c r="D421" s="22">
        <f>IF(C421="","",INDEX(MERCADORIA!$B$5:$B$22,MATCH(C421,MERCADORIA!$A$5:$A$22,0)))</f>
        <v/>
      </c>
      <c r="E421" s="22">
        <f>IF(C421="","",INDEX(MERCADORIA!$C$5:$C$22,MATCH(C421,MERCADORIA!$A$5:$A$22,0)))</f>
        <v/>
      </c>
      <c r="F421" s="23" t="n"/>
      <c r="G421" s="24">
        <f>IF(D421="","",INDEX(VALOR!$B$5:$B$8,MATCH(D421,VALOR!$A$5:$A$8,0)))</f>
        <v/>
      </c>
      <c r="H421" s="15">
        <f>IF(OR(G421="",F421=""),0,F421*G421)</f>
        <v/>
      </c>
      <c r="I421" s="20" t="n"/>
      <c r="J421" s="20" t="n"/>
      <c r="K421" s="24">
        <f>IF(OR(O421=0,J421=""),0,INDEX(MAPA!$C$5:$C$14,MATCH(J421,MAPA!$A$5:$A$14,0)))</f>
        <v/>
      </c>
      <c r="L421" s="25">
        <f>H421+K421</f>
        <v/>
      </c>
      <c r="M421" s="20" t="n"/>
      <c r="N421" s="20" t="n"/>
      <c r="O421" s="14">
        <f>IF(A421="",0,IF(COUNTIF($A$5:A421,A421)=1,1,0))</f>
        <v/>
      </c>
    </row>
    <row r="422">
      <c r="A422" s="20" t="n"/>
      <c r="B422" s="21" t="n"/>
      <c r="C422" s="20" t="n"/>
      <c r="D422" s="22">
        <f>IF(C422="","",INDEX(MERCADORIA!$B$5:$B$22,MATCH(C422,MERCADORIA!$A$5:$A$22,0)))</f>
        <v/>
      </c>
      <c r="E422" s="22">
        <f>IF(C422="","",INDEX(MERCADORIA!$C$5:$C$22,MATCH(C422,MERCADORIA!$A$5:$A$22,0)))</f>
        <v/>
      </c>
      <c r="F422" s="23" t="n"/>
      <c r="G422" s="24">
        <f>IF(D422="","",INDEX(VALOR!$B$5:$B$8,MATCH(D422,VALOR!$A$5:$A$8,0)))</f>
        <v/>
      </c>
      <c r="H422" s="15">
        <f>IF(OR(G422="",F422=""),0,F422*G422)</f>
        <v/>
      </c>
      <c r="I422" s="20" t="n"/>
      <c r="J422" s="20" t="n"/>
      <c r="K422" s="24">
        <f>IF(OR(O422=0,J422=""),0,INDEX(MAPA!$C$5:$C$14,MATCH(J422,MAPA!$A$5:$A$14,0)))</f>
        <v/>
      </c>
      <c r="L422" s="25">
        <f>H422+K422</f>
        <v/>
      </c>
      <c r="M422" s="20" t="n"/>
      <c r="N422" s="20" t="n"/>
      <c r="O422" s="14">
        <f>IF(A422="",0,IF(COUNTIF($A$5:A422,A422)=1,1,0))</f>
        <v/>
      </c>
    </row>
    <row r="423">
      <c r="A423" s="20" t="n"/>
      <c r="B423" s="21" t="n"/>
      <c r="C423" s="20" t="n"/>
      <c r="D423" s="22">
        <f>IF(C423="","",INDEX(MERCADORIA!$B$5:$B$22,MATCH(C423,MERCADORIA!$A$5:$A$22,0)))</f>
        <v/>
      </c>
      <c r="E423" s="22">
        <f>IF(C423="","",INDEX(MERCADORIA!$C$5:$C$22,MATCH(C423,MERCADORIA!$A$5:$A$22,0)))</f>
        <v/>
      </c>
      <c r="F423" s="23" t="n"/>
      <c r="G423" s="24">
        <f>IF(D423="","",INDEX(VALOR!$B$5:$B$8,MATCH(D423,VALOR!$A$5:$A$8,0)))</f>
        <v/>
      </c>
      <c r="H423" s="15">
        <f>IF(OR(G423="",F423=""),0,F423*G423)</f>
        <v/>
      </c>
      <c r="I423" s="20" t="n"/>
      <c r="J423" s="20" t="n"/>
      <c r="K423" s="24">
        <f>IF(OR(O423=0,J423=""),0,INDEX(MAPA!$C$5:$C$14,MATCH(J423,MAPA!$A$5:$A$14,0)))</f>
        <v/>
      </c>
      <c r="L423" s="25">
        <f>H423+K423</f>
        <v/>
      </c>
      <c r="M423" s="20" t="n"/>
      <c r="N423" s="20" t="n"/>
      <c r="O423" s="14">
        <f>IF(A423="",0,IF(COUNTIF($A$5:A423,A423)=1,1,0))</f>
        <v/>
      </c>
    </row>
    <row r="424">
      <c r="A424" s="20" t="n"/>
      <c r="B424" s="21" t="n"/>
      <c r="C424" s="20" t="n"/>
      <c r="D424" s="22">
        <f>IF(C424="","",INDEX(MERCADORIA!$B$5:$B$22,MATCH(C424,MERCADORIA!$A$5:$A$22,0)))</f>
        <v/>
      </c>
      <c r="E424" s="22">
        <f>IF(C424="","",INDEX(MERCADORIA!$C$5:$C$22,MATCH(C424,MERCADORIA!$A$5:$A$22,0)))</f>
        <v/>
      </c>
      <c r="F424" s="23" t="n"/>
      <c r="G424" s="24">
        <f>IF(D424="","",INDEX(VALOR!$B$5:$B$8,MATCH(D424,VALOR!$A$5:$A$8,0)))</f>
        <v/>
      </c>
      <c r="H424" s="15">
        <f>IF(OR(G424="",F424=""),0,F424*G424)</f>
        <v/>
      </c>
      <c r="I424" s="20" t="n"/>
      <c r="J424" s="20" t="n"/>
      <c r="K424" s="24">
        <f>IF(OR(O424=0,J424=""),0,INDEX(MAPA!$C$5:$C$14,MATCH(J424,MAPA!$A$5:$A$14,0)))</f>
        <v/>
      </c>
      <c r="L424" s="25">
        <f>H424+K424</f>
        <v/>
      </c>
      <c r="M424" s="20" t="n"/>
      <c r="N424" s="20" t="n"/>
      <c r="O424" s="14">
        <f>IF(A424="",0,IF(COUNTIF($A$5:A424,A424)=1,1,0))</f>
        <v/>
      </c>
    </row>
    <row r="425">
      <c r="A425" s="20" t="n"/>
      <c r="B425" s="21" t="n"/>
      <c r="C425" s="20" t="n"/>
      <c r="D425" s="22">
        <f>IF(C425="","",INDEX(MERCADORIA!$B$5:$B$22,MATCH(C425,MERCADORIA!$A$5:$A$22,0)))</f>
        <v/>
      </c>
      <c r="E425" s="22">
        <f>IF(C425="","",INDEX(MERCADORIA!$C$5:$C$22,MATCH(C425,MERCADORIA!$A$5:$A$22,0)))</f>
        <v/>
      </c>
      <c r="F425" s="23" t="n"/>
      <c r="G425" s="24">
        <f>IF(D425="","",INDEX(VALOR!$B$5:$B$8,MATCH(D425,VALOR!$A$5:$A$8,0)))</f>
        <v/>
      </c>
      <c r="H425" s="15">
        <f>IF(OR(G425="",F425=""),0,F425*G425)</f>
        <v/>
      </c>
      <c r="I425" s="20" t="n"/>
      <c r="J425" s="20" t="n"/>
      <c r="K425" s="24">
        <f>IF(OR(O425=0,J425=""),0,INDEX(MAPA!$C$5:$C$14,MATCH(J425,MAPA!$A$5:$A$14,0)))</f>
        <v/>
      </c>
      <c r="L425" s="25">
        <f>H425+K425</f>
        <v/>
      </c>
      <c r="M425" s="20" t="n"/>
      <c r="N425" s="20" t="n"/>
      <c r="O425" s="14">
        <f>IF(A425="",0,IF(COUNTIF($A$5:A425,A425)=1,1,0))</f>
        <v/>
      </c>
    </row>
    <row r="426">
      <c r="A426" s="20" t="n"/>
      <c r="B426" s="21" t="n"/>
      <c r="C426" s="20" t="n"/>
      <c r="D426" s="22">
        <f>IF(C426="","",INDEX(MERCADORIA!$B$5:$B$22,MATCH(C426,MERCADORIA!$A$5:$A$22,0)))</f>
        <v/>
      </c>
      <c r="E426" s="22">
        <f>IF(C426="","",INDEX(MERCADORIA!$C$5:$C$22,MATCH(C426,MERCADORIA!$A$5:$A$22,0)))</f>
        <v/>
      </c>
      <c r="F426" s="23" t="n"/>
      <c r="G426" s="24">
        <f>IF(D426="","",INDEX(VALOR!$B$5:$B$8,MATCH(D426,VALOR!$A$5:$A$8,0)))</f>
        <v/>
      </c>
      <c r="H426" s="15">
        <f>IF(OR(G426="",F426=""),0,F426*G426)</f>
        <v/>
      </c>
      <c r="I426" s="20" t="n"/>
      <c r="J426" s="20" t="n"/>
      <c r="K426" s="24">
        <f>IF(OR(O426=0,J426=""),0,INDEX(MAPA!$C$5:$C$14,MATCH(J426,MAPA!$A$5:$A$14,0)))</f>
        <v/>
      </c>
      <c r="L426" s="25">
        <f>H426+K426</f>
        <v/>
      </c>
      <c r="M426" s="20" t="n"/>
      <c r="N426" s="20" t="n"/>
      <c r="O426" s="14">
        <f>IF(A426="",0,IF(COUNTIF($A$5:A426,A426)=1,1,0))</f>
        <v/>
      </c>
    </row>
    <row r="427">
      <c r="A427" s="20" t="n"/>
      <c r="B427" s="21" t="n"/>
      <c r="C427" s="20" t="n"/>
      <c r="D427" s="22">
        <f>IF(C427="","",INDEX(MERCADORIA!$B$5:$B$22,MATCH(C427,MERCADORIA!$A$5:$A$22,0)))</f>
        <v/>
      </c>
      <c r="E427" s="22">
        <f>IF(C427="","",INDEX(MERCADORIA!$C$5:$C$22,MATCH(C427,MERCADORIA!$A$5:$A$22,0)))</f>
        <v/>
      </c>
      <c r="F427" s="23" t="n"/>
      <c r="G427" s="24">
        <f>IF(D427="","",INDEX(VALOR!$B$5:$B$8,MATCH(D427,VALOR!$A$5:$A$8,0)))</f>
        <v/>
      </c>
      <c r="H427" s="15">
        <f>IF(OR(G427="",F427=""),0,F427*G427)</f>
        <v/>
      </c>
      <c r="I427" s="20" t="n"/>
      <c r="J427" s="20" t="n"/>
      <c r="K427" s="24">
        <f>IF(OR(O427=0,J427=""),0,INDEX(MAPA!$C$5:$C$14,MATCH(J427,MAPA!$A$5:$A$14,0)))</f>
        <v/>
      </c>
      <c r="L427" s="25">
        <f>H427+K427</f>
        <v/>
      </c>
      <c r="M427" s="20" t="n"/>
      <c r="N427" s="20" t="n"/>
      <c r="O427" s="14">
        <f>IF(A427="",0,IF(COUNTIF($A$5:A427,A427)=1,1,0))</f>
        <v/>
      </c>
    </row>
    <row r="428">
      <c r="A428" s="20" t="n"/>
      <c r="B428" s="21" t="n"/>
      <c r="C428" s="20" t="n"/>
      <c r="D428" s="22">
        <f>IF(C428="","",INDEX(MERCADORIA!$B$5:$B$22,MATCH(C428,MERCADORIA!$A$5:$A$22,0)))</f>
        <v/>
      </c>
      <c r="E428" s="22">
        <f>IF(C428="","",INDEX(MERCADORIA!$C$5:$C$22,MATCH(C428,MERCADORIA!$A$5:$A$22,0)))</f>
        <v/>
      </c>
      <c r="F428" s="23" t="n"/>
      <c r="G428" s="24">
        <f>IF(D428="","",INDEX(VALOR!$B$5:$B$8,MATCH(D428,VALOR!$A$5:$A$8,0)))</f>
        <v/>
      </c>
      <c r="H428" s="15">
        <f>IF(OR(G428="",F428=""),0,F428*G428)</f>
        <v/>
      </c>
      <c r="I428" s="20" t="n"/>
      <c r="J428" s="20" t="n"/>
      <c r="K428" s="24">
        <f>IF(OR(O428=0,J428=""),0,INDEX(MAPA!$C$5:$C$14,MATCH(J428,MAPA!$A$5:$A$14,0)))</f>
        <v/>
      </c>
      <c r="L428" s="25">
        <f>H428+K428</f>
        <v/>
      </c>
      <c r="M428" s="20" t="n"/>
      <c r="N428" s="20" t="n"/>
      <c r="O428" s="14">
        <f>IF(A428="",0,IF(COUNTIF($A$5:A428,A428)=1,1,0))</f>
        <v/>
      </c>
    </row>
    <row r="429">
      <c r="A429" s="20" t="n"/>
      <c r="B429" s="21" t="n"/>
      <c r="C429" s="20" t="n"/>
      <c r="D429" s="22">
        <f>IF(C429="","",INDEX(MERCADORIA!$B$5:$B$22,MATCH(C429,MERCADORIA!$A$5:$A$22,0)))</f>
        <v/>
      </c>
      <c r="E429" s="22">
        <f>IF(C429="","",INDEX(MERCADORIA!$C$5:$C$22,MATCH(C429,MERCADORIA!$A$5:$A$22,0)))</f>
        <v/>
      </c>
      <c r="F429" s="23" t="n"/>
      <c r="G429" s="24">
        <f>IF(D429="","",INDEX(VALOR!$B$5:$B$8,MATCH(D429,VALOR!$A$5:$A$8,0)))</f>
        <v/>
      </c>
      <c r="H429" s="15">
        <f>IF(OR(G429="",F429=""),0,F429*G429)</f>
        <v/>
      </c>
      <c r="I429" s="20" t="n"/>
      <c r="J429" s="20" t="n"/>
      <c r="K429" s="24">
        <f>IF(OR(O429=0,J429=""),0,INDEX(MAPA!$C$5:$C$14,MATCH(J429,MAPA!$A$5:$A$14,0)))</f>
        <v/>
      </c>
      <c r="L429" s="25">
        <f>H429+K429</f>
        <v/>
      </c>
      <c r="M429" s="20" t="n"/>
      <c r="N429" s="20" t="n"/>
      <c r="O429" s="14">
        <f>IF(A429="",0,IF(COUNTIF($A$5:A429,A429)=1,1,0))</f>
        <v/>
      </c>
    </row>
    <row r="430">
      <c r="A430" s="20" t="n"/>
      <c r="B430" s="21" t="n"/>
      <c r="C430" s="20" t="n"/>
      <c r="D430" s="22">
        <f>IF(C430="","",INDEX(MERCADORIA!$B$5:$B$22,MATCH(C430,MERCADORIA!$A$5:$A$22,0)))</f>
        <v/>
      </c>
      <c r="E430" s="22">
        <f>IF(C430="","",INDEX(MERCADORIA!$C$5:$C$22,MATCH(C430,MERCADORIA!$A$5:$A$22,0)))</f>
        <v/>
      </c>
      <c r="F430" s="23" t="n"/>
      <c r="G430" s="24">
        <f>IF(D430="","",INDEX(VALOR!$B$5:$B$8,MATCH(D430,VALOR!$A$5:$A$8,0)))</f>
        <v/>
      </c>
      <c r="H430" s="15">
        <f>IF(OR(G430="",F430=""),0,F430*G430)</f>
        <v/>
      </c>
      <c r="I430" s="20" t="n"/>
      <c r="J430" s="20" t="n"/>
      <c r="K430" s="24">
        <f>IF(OR(O430=0,J430=""),0,INDEX(MAPA!$C$5:$C$14,MATCH(J430,MAPA!$A$5:$A$14,0)))</f>
        <v/>
      </c>
      <c r="L430" s="25">
        <f>H430+K430</f>
        <v/>
      </c>
      <c r="M430" s="20" t="n"/>
      <c r="N430" s="20" t="n"/>
      <c r="O430" s="14">
        <f>IF(A430="",0,IF(COUNTIF($A$5:A430,A430)=1,1,0))</f>
        <v/>
      </c>
    </row>
    <row r="431">
      <c r="A431" s="20" t="n"/>
      <c r="B431" s="21" t="n"/>
      <c r="C431" s="20" t="n"/>
      <c r="D431" s="22">
        <f>IF(C431="","",INDEX(MERCADORIA!$B$5:$B$22,MATCH(C431,MERCADORIA!$A$5:$A$22,0)))</f>
        <v/>
      </c>
      <c r="E431" s="22">
        <f>IF(C431="","",INDEX(MERCADORIA!$C$5:$C$22,MATCH(C431,MERCADORIA!$A$5:$A$22,0)))</f>
        <v/>
      </c>
      <c r="F431" s="23" t="n"/>
      <c r="G431" s="24">
        <f>IF(D431="","",INDEX(VALOR!$B$5:$B$8,MATCH(D431,VALOR!$A$5:$A$8,0)))</f>
        <v/>
      </c>
      <c r="H431" s="15">
        <f>IF(OR(G431="",F431=""),0,F431*G431)</f>
        <v/>
      </c>
      <c r="I431" s="20" t="n"/>
      <c r="J431" s="20" t="n"/>
      <c r="K431" s="24">
        <f>IF(OR(O431=0,J431=""),0,INDEX(MAPA!$C$5:$C$14,MATCH(J431,MAPA!$A$5:$A$14,0)))</f>
        <v/>
      </c>
      <c r="L431" s="25">
        <f>H431+K431</f>
        <v/>
      </c>
      <c r="M431" s="20" t="n"/>
      <c r="N431" s="20" t="n"/>
      <c r="O431" s="14">
        <f>IF(A431="",0,IF(COUNTIF($A$5:A431,A431)=1,1,0))</f>
        <v/>
      </c>
    </row>
    <row r="432">
      <c r="A432" s="20" t="n"/>
      <c r="B432" s="21" t="n"/>
      <c r="C432" s="20" t="n"/>
      <c r="D432" s="22">
        <f>IF(C432="","",INDEX(MERCADORIA!$B$5:$B$22,MATCH(C432,MERCADORIA!$A$5:$A$22,0)))</f>
        <v/>
      </c>
      <c r="E432" s="22">
        <f>IF(C432="","",INDEX(MERCADORIA!$C$5:$C$22,MATCH(C432,MERCADORIA!$A$5:$A$22,0)))</f>
        <v/>
      </c>
      <c r="F432" s="23" t="n"/>
      <c r="G432" s="24">
        <f>IF(D432="","",INDEX(VALOR!$B$5:$B$8,MATCH(D432,VALOR!$A$5:$A$8,0)))</f>
        <v/>
      </c>
      <c r="H432" s="15">
        <f>IF(OR(G432="",F432=""),0,F432*G432)</f>
        <v/>
      </c>
      <c r="I432" s="20" t="n"/>
      <c r="J432" s="20" t="n"/>
      <c r="K432" s="24">
        <f>IF(OR(O432=0,J432=""),0,INDEX(MAPA!$C$5:$C$14,MATCH(J432,MAPA!$A$5:$A$14,0)))</f>
        <v/>
      </c>
      <c r="L432" s="25">
        <f>H432+K432</f>
        <v/>
      </c>
      <c r="M432" s="20" t="n"/>
      <c r="N432" s="20" t="n"/>
      <c r="O432" s="14">
        <f>IF(A432="",0,IF(COUNTIF($A$5:A432,A432)=1,1,0))</f>
        <v/>
      </c>
    </row>
    <row r="433">
      <c r="A433" s="20" t="n"/>
      <c r="B433" s="21" t="n"/>
      <c r="C433" s="20" t="n"/>
      <c r="D433" s="22">
        <f>IF(C433="","",INDEX(MERCADORIA!$B$5:$B$22,MATCH(C433,MERCADORIA!$A$5:$A$22,0)))</f>
        <v/>
      </c>
      <c r="E433" s="22">
        <f>IF(C433="","",INDEX(MERCADORIA!$C$5:$C$22,MATCH(C433,MERCADORIA!$A$5:$A$22,0)))</f>
        <v/>
      </c>
      <c r="F433" s="23" t="n"/>
      <c r="G433" s="24">
        <f>IF(D433="","",INDEX(VALOR!$B$5:$B$8,MATCH(D433,VALOR!$A$5:$A$8,0)))</f>
        <v/>
      </c>
      <c r="H433" s="15">
        <f>IF(OR(G433="",F433=""),0,F433*G433)</f>
        <v/>
      </c>
      <c r="I433" s="20" t="n"/>
      <c r="J433" s="20" t="n"/>
      <c r="K433" s="24">
        <f>IF(OR(O433=0,J433=""),0,INDEX(MAPA!$C$5:$C$14,MATCH(J433,MAPA!$A$5:$A$14,0)))</f>
        <v/>
      </c>
      <c r="L433" s="25">
        <f>H433+K433</f>
        <v/>
      </c>
      <c r="M433" s="20" t="n"/>
      <c r="N433" s="20" t="n"/>
      <c r="O433" s="14">
        <f>IF(A433="",0,IF(COUNTIF($A$5:A433,A433)=1,1,0))</f>
        <v/>
      </c>
    </row>
    <row r="434">
      <c r="A434" s="20" t="n"/>
      <c r="B434" s="21" t="n"/>
      <c r="C434" s="20" t="n"/>
      <c r="D434" s="22">
        <f>IF(C434="","",INDEX(MERCADORIA!$B$5:$B$22,MATCH(C434,MERCADORIA!$A$5:$A$22,0)))</f>
        <v/>
      </c>
      <c r="E434" s="22">
        <f>IF(C434="","",INDEX(MERCADORIA!$C$5:$C$22,MATCH(C434,MERCADORIA!$A$5:$A$22,0)))</f>
        <v/>
      </c>
      <c r="F434" s="23" t="n"/>
      <c r="G434" s="24">
        <f>IF(D434="","",INDEX(VALOR!$B$5:$B$8,MATCH(D434,VALOR!$A$5:$A$8,0)))</f>
        <v/>
      </c>
      <c r="H434" s="15">
        <f>IF(OR(G434="",F434=""),0,F434*G434)</f>
        <v/>
      </c>
      <c r="I434" s="20" t="n"/>
      <c r="J434" s="20" t="n"/>
      <c r="K434" s="24">
        <f>IF(OR(O434=0,J434=""),0,INDEX(MAPA!$C$5:$C$14,MATCH(J434,MAPA!$A$5:$A$14,0)))</f>
        <v/>
      </c>
      <c r="L434" s="25">
        <f>H434+K434</f>
        <v/>
      </c>
      <c r="M434" s="20" t="n"/>
      <c r="N434" s="20" t="n"/>
      <c r="O434" s="14">
        <f>IF(A434="",0,IF(COUNTIF($A$5:A434,A434)=1,1,0))</f>
        <v/>
      </c>
    </row>
    <row r="435">
      <c r="A435" s="20" t="n"/>
      <c r="B435" s="21" t="n"/>
      <c r="C435" s="20" t="n"/>
      <c r="D435" s="22">
        <f>IF(C435="","",INDEX(MERCADORIA!$B$5:$B$22,MATCH(C435,MERCADORIA!$A$5:$A$22,0)))</f>
        <v/>
      </c>
      <c r="E435" s="22">
        <f>IF(C435="","",INDEX(MERCADORIA!$C$5:$C$22,MATCH(C435,MERCADORIA!$A$5:$A$22,0)))</f>
        <v/>
      </c>
      <c r="F435" s="23" t="n"/>
      <c r="G435" s="24">
        <f>IF(D435="","",INDEX(VALOR!$B$5:$B$8,MATCH(D435,VALOR!$A$5:$A$8,0)))</f>
        <v/>
      </c>
      <c r="H435" s="15">
        <f>IF(OR(G435="",F435=""),0,F435*G435)</f>
        <v/>
      </c>
      <c r="I435" s="20" t="n"/>
      <c r="J435" s="20" t="n"/>
      <c r="K435" s="24">
        <f>IF(OR(O435=0,J435=""),0,INDEX(MAPA!$C$5:$C$14,MATCH(J435,MAPA!$A$5:$A$14,0)))</f>
        <v/>
      </c>
      <c r="L435" s="25">
        <f>H435+K435</f>
        <v/>
      </c>
      <c r="M435" s="20" t="n"/>
      <c r="N435" s="20" t="n"/>
      <c r="O435" s="14">
        <f>IF(A435="",0,IF(COUNTIF($A$5:A435,A435)=1,1,0))</f>
        <v/>
      </c>
    </row>
    <row r="436">
      <c r="A436" s="20" t="n"/>
      <c r="B436" s="21" t="n"/>
      <c r="C436" s="20" t="n"/>
      <c r="D436" s="22">
        <f>IF(C436="","",INDEX(MERCADORIA!$B$5:$B$22,MATCH(C436,MERCADORIA!$A$5:$A$22,0)))</f>
        <v/>
      </c>
      <c r="E436" s="22">
        <f>IF(C436="","",INDEX(MERCADORIA!$C$5:$C$22,MATCH(C436,MERCADORIA!$A$5:$A$22,0)))</f>
        <v/>
      </c>
      <c r="F436" s="23" t="n"/>
      <c r="G436" s="24">
        <f>IF(D436="","",INDEX(VALOR!$B$5:$B$8,MATCH(D436,VALOR!$A$5:$A$8,0)))</f>
        <v/>
      </c>
      <c r="H436" s="15">
        <f>IF(OR(G436="",F436=""),0,F436*G436)</f>
        <v/>
      </c>
      <c r="I436" s="20" t="n"/>
      <c r="J436" s="20" t="n"/>
      <c r="K436" s="24">
        <f>IF(OR(O436=0,J436=""),0,INDEX(MAPA!$C$5:$C$14,MATCH(J436,MAPA!$A$5:$A$14,0)))</f>
        <v/>
      </c>
      <c r="L436" s="25">
        <f>H436+K436</f>
        <v/>
      </c>
      <c r="M436" s="20" t="n"/>
      <c r="N436" s="20" t="n"/>
      <c r="O436" s="14">
        <f>IF(A436="",0,IF(COUNTIF($A$5:A436,A436)=1,1,0))</f>
        <v/>
      </c>
    </row>
    <row r="437">
      <c r="A437" s="20" t="n"/>
      <c r="B437" s="21" t="n"/>
      <c r="C437" s="20" t="n"/>
      <c r="D437" s="22">
        <f>IF(C437="","",INDEX(MERCADORIA!$B$5:$B$22,MATCH(C437,MERCADORIA!$A$5:$A$22,0)))</f>
        <v/>
      </c>
      <c r="E437" s="22">
        <f>IF(C437="","",INDEX(MERCADORIA!$C$5:$C$22,MATCH(C437,MERCADORIA!$A$5:$A$22,0)))</f>
        <v/>
      </c>
      <c r="F437" s="23" t="n"/>
      <c r="G437" s="24">
        <f>IF(D437="","",INDEX(VALOR!$B$5:$B$8,MATCH(D437,VALOR!$A$5:$A$8,0)))</f>
        <v/>
      </c>
      <c r="H437" s="15">
        <f>IF(OR(G437="",F437=""),0,F437*G437)</f>
        <v/>
      </c>
      <c r="I437" s="20" t="n"/>
      <c r="J437" s="20" t="n"/>
      <c r="K437" s="24">
        <f>IF(OR(O437=0,J437=""),0,INDEX(MAPA!$C$5:$C$14,MATCH(J437,MAPA!$A$5:$A$14,0)))</f>
        <v/>
      </c>
      <c r="L437" s="25">
        <f>H437+K437</f>
        <v/>
      </c>
      <c r="M437" s="20" t="n"/>
      <c r="N437" s="20" t="n"/>
      <c r="O437" s="14">
        <f>IF(A437="",0,IF(COUNTIF($A$5:A437,A437)=1,1,0))</f>
        <v/>
      </c>
    </row>
    <row r="438">
      <c r="A438" s="20" t="n"/>
      <c r="B438" s="21" t="n"/>
      <c r="C438" s="20" t="n"/>
      <c r="D438" s="22">
        <f>IF(C438="","",INDEX(MERCADORIA!$B$5:$B$22,MATCH(C438,MERCADORIA!$A$5:$A$22,0)))</f>
        <v/>
      </c>
      <c r="E438" s="22">
        <f>IF(C438="","",INDEX(MERCADORIA!$C$5:$C$22,MATCH(C438,MERCADORIA!$A$5:$A$22,0)))</f>
        <v/>
      </c>
      <c r="F438" s="23" t="n"/>
      <c r="G438" s="24">
        <f>IF(D438="","",INDEX(VALOR!$B$5:$B$8,MATCH(D438,VALOR!$A$5:$A$8,0)))</f>
        <v/>
      </c>
      <c r="H438" s="15">
        <f>IF(OR(G438="",F438=""),0,F438*G438)</f>
        <v/>
      </c>
      <c r="I438" s="20" t="n"/>
      <c r="J438" s="20" t="n"/>
      <c r="K438" s="24">
        <f>IF(OR(O438=0,J438=""),0,INDEX(MAPA!$C$5:$C$14,MATCH(J438,MAPA!$A$5:$A$14,0)))</f>
        <v/>
      </c>
      <c r="L438" s="25">
        <f>H438+K438</f>
        <v/>
      </c>
      <c r="M438" s="20" t="n"/>
      <c r="N438" s="20" t="n"/>
      <c r="O438" s="14">
        <f>IF(A438="",0,IF(COUNTIF($A$5:A438,A438)=1,1,0))</f>
        <v/>
      </c>
    </row>
    <row r="439">
      <c r="A439" s="20" t="n"/>
      <c r="B439" s="21" t="n"/>
      <c r="C439" s="20" t="n"/>
      <c r="D439" s="22">
        <f>IF(C439="","",INDEX(MERCADORIA!$B$5:$B$22,MATCH(C439,MERCADORIA!$A$5:$A$22,0)))</f>
        <v/>
      </c>
      <c r="E439" s="22">
        <f>IF(C439="","",INDEX(MERCADORIA!$C$5:$C$22,MATCH(C439,MERCADORIA!$A$5:$A$22,0)))</f>
        <v/>
      </c>
      <c r="F439" s="23" t="n"/>
      <c r="G439" s="24">
        <f>IF(D439="","",INDEX(VALOR!$B$5:$B$8,MATCH(D439,VALOR!$A$5:$A$8,0)))</f>
        <v/>
      </c>
      <c r="H439" s="15">
        <f>IF(OR(G439="",F439=""),0,F439*G439)</f>
        <v/>
      </c>
      <c r="I439" s="20" t="n"/>
      <c r="J439" s="20" t="n"/>
      <c r="K439" s="24">
        <f>IF(OR(O439=0,J439=""),0,INDEX(MAPA!$C$5:$C$14,MATCH(J439,MAPA!$A$5:$A$14,0)))</f>
        <v/>
      </c>
      <c r="L439" s="25">
        <f>H439+K439</f>
        <v/>
      </c>
      <c r="M439" s="20" t="n"/>
      <c r="N439" s="20" t="n"/>
      <c r="O439" s="14">
        <f>IF(A439="",0,IF(COUNTIF($A$5:A439,A439)=1,1,0))</f>
        <v/>
      </c>
    </row>
    <row r="440">
      <c r="A440" s="20" t="n"/>
      <c r="B440" s="21" t="n"/>
      <c r="C440" s="20" t="n"/>
      <c r="D440" s="22">
        <f>IF(C440="","",INDEX(MERCADORIA!$B$5:$B$22,MATCH(C440,MERCADORIA!$A$5:$A$22,0)))</f>
        <v/>
      </c>
      <c r="E440" s="22">
        <f>IF(C440="","",INDEX(MERCADORIA!$C$5:$C$22,MATCH(C440,MERCADORIA!$A$5:$A$22,0)))</f>
        <v/>
      </c>
      <c r="F440" s="23" t="n"/>
      <c r="G440" s="24">
        <f>IF(D440="","",INDEX(VALOR!$B$5:$B$8,MATCH(D440,VALOR!$A$5:$A$8,0)))</f>
        <v/>
      </c>
      <c r="H440" s="15">
        <f>IF(OR(G440="",F440=""),0,F440*G440)</f>
        <v/>
      </c>
      <c r="I440" s="20" t="n"/>
      <c r="J440" s="20" t="n"/>
      <c r="K440" s="24">
        <f>IF(OR(O440=0,J440=""),0,INDEX(MAPA!$C$5:$C$14,MATCH(J440,MAPA!$A$5:$A$14,0)))</f>
        <v/>
      </c>
      <c r="L440" s="25">
        <f>H440+K440</f>
        <v/>
      </c>
      <c r="M440" s="20" t="n"/>
      <c r="N440" s="20" t="n"/>
      <c r="O440" s="14">
        <f>IF(A440="",0,IF(COUNTIF($A$5:A440,A440)=1,1,0))</f>
        <v/>
      </c>
    </row>
    <row r="441">
      <c r="A441" s="20" t="n"/>
      <c r="B441" s="21" t="n"/>
      <c r="C441" s="20" t="n"/>
      <c r="D441" s="22">
        <f>IF(C441="","",INDEX(MERCADORIA!$B$5:$B$22,MATCH(C441,MERCADORIA!$A$5:$A$22,0)))</f>
        <v/>
      </c>
      <c r="E441" s="22">
        <f>IF(C441="","",INDEX(MERCADORIA!$C$5:$C$22,MATCH(C441,MERCADORIA!$A$5:$A$22,0)))</f>
        <v/>
      </c>
      <c r="F441" s="23" t="n"/>
      <c r="G441" s="24">
        <f>IF(D441="","",INDEX(VALOR!$B$5:$B$8,MATCH(D441,VALOR!$A$5:$A$8,0)))</f>
        <v/>
      </c>
      <c r="H441" s="15">
        <f>IF(OR(G441="",F441=""),0,F441*G441)</f>
        <v/>
      </c>
      <c r="I441" s="20" t="n"/>
      <c r="J441" s="20" t="n"/>
      <c r="K441" s="24">
        <f>IF(OR(O441=0,J441=""),0,INDEX(MAPA!$C$5:$C$14,MATCH(J441,MAPA!$A$5:$A$14,0)))</f>
        <v/>
      </c>
      <c r="L441" s="25">
        <f>H441+K441</f>
        <v/>
      </c>
      <c r="M441" s="20" t="n"/>
      <c r="N441" s="20" t="n"/>
      <c r="O441" s="14">
        <f>IF(A441="",0,IF(COUNTIF($A$5:A441,A441)=1,1,0))</f>
        <v/>
      </c>
    </row>
    <row r="442">
      <c r="A442" s="20" t="n"/>
      <c r="B442" s="21" t="n"/>
      <c r="C442" s="20" t="n"/>
      <c r="D442" s="22">
        <f>IF(C442="","",INDEX(MERCADORIA!$B$5:$B$22,MATCH(C442,MERCADORIA!$A$5:$A$22,0)))</f>
        <v/>
      </c>
      <c r="E442" s="22">
        <f>IF(C442="","",INDEX(MERCADORIA!$C$5:$C$22,MATCH(C442,MERCADORIA!$A$5:$A$22,0)))</f>
        <v/>
      </c>
      <c r="F442" s="23" t="n"/>
      <c r="G442" s="24">
        <f>IF(D442="","",INDEX(VALOR!$B$5:$B$8,MATCH(D442,VALOR!$A$5:$A$8,0)))</f>
        <v/>
      </c>
      <c r="H442" s="15">
        <f>IF(OR(G442="",F442=""),0,F442*G442)</f>
        <v/>
      </c>
      <c r="I442" s="20" t="n"/>
      <c r="J442" s="20" t="n"/>
      <c r="K442" s="24">
        <f>IF(OR(O442=0,J442=""),0,INDEX(MAPA!$C$5:$C$14,MATCH(J442,MAPA!$A$5:$A$14,0)))</f>
        <v/>
      </c>
      <c r="L442" s="25">
        <f>H442+K442</f>
        <v/>
      </c>
      <c r="M442" s="20" t="n"/>
      <c r="N442" s="20" t="n"/>
      <c r="O442" s="14">
        <f>IF(A442="",0,IF(COUNTIF($A$5:A442,A442)=1,1,0))</f>
        <v/>
      </c>
    </row>
    <row r="443">
      <c r="A443" s="20" t="n"/>
      <c r="B443" s="21" t="n"/>
      <c r="C443" s="20" t="n"/>
      <c r="D443" s="22">
        <f>IF(C443="","",INDEX(MERCADORIA!$B$5:$B$22,MATCH(C443,MERCADORIA!$A$5:$A$22,0)))</f>
        <v/>
      </c>
      <c r="E443" s="22">
        <f>IF(C443="","",INDEX(MERCADORIA!$C$5:$C$22,MATCH(C443,MERCADORIA!$A$5:$A$22,0)))</f>
        <v/>
      </c>
      <c r="F443" s="23" t="n"/>
      <c r="G443" s="24">
        <f>IF(D443="","",INDEX(VALOR!$B$5:$B$8,MATCH(D443,VALOR!$A$5:$A$8,0)))</f>
        <v/>
      </c>
      <c r="H443" s="15">
        <f>IF(OR(G443="",F443=""),0,F443*G443)</f>
        <v/>
      </c>
      <c r="I443" s="20" t="n"/>
      <c r="J443" s="20" t="n"/>
      <c r="K443" s="24">
        <f>IF(OR(O443=0,J443=""),0,INDEX(MAPA!$C$5:$C$14,MATCH(J443,MAPA!$A$5:$A$14,0)))</f>
        <v/>
      </c>
      <c r="L443" s="25">
        <f>H443+K443</f>
        <v/>
      </c>
      <c r="M443" s="20" t="n"/>
      <c r="N443" s="20" t="n"/>
      <c r="O443" s="14">
        <f>IF(A443="",0,IF(COUNTIF($A$5:A443,A443)=1,1,0))</f>
        <v/>
      </c>
    </row>
    <row r="444">
      <c r="A444" s="20" t="n"/>
      <c r="B444" s="21" t="n"/>
      <c r="C444" s="20" t="n"/>
      <c r="D444" s="22">
        <f>IF(C444="","",INDEX(MERCADORIA!$B$5:$B$22,MATCH(C444,MERCADORIA!$A$5:$A$22,0)))</f>
        <v/>
      </c>
      <c r="E444" s="22">
        <f>IF(C444="","",INDEX(MERCADORIA!$C$5:$C$22,MATCH(C444,MERCADORIA!$A$5:$A$22,0)))</f>
        <v/>
      </c>
      <c r="F444" s="23" t="n"/>
      <c r="G444" s="24">
        <f>IF(D444="","",INDEX(VALOR!$B$5:$B$8,MATCH(D444,VALOR!$A$5:$A$8,0)))</f>
        <v/>
      </c>
      <c r="H444" s="15">
        <f>IF(OR(G444="",F444=""),0,F444*G444)</f>
        <v/>
      </c>
      <c r="I444" s="20" t="n"/>
      <c r="J444" s="20" t="n"/>
      <c r="K444" s="24">
        <f>IF(OR(O444=0,J444=""),0,INDEX(MAPA!$C$5:$C$14,MATCH(J444,MAPA!$A$5:$A$14,0)))</f>
        <v/>
      </c>
      <c r="L444" s="25">
        <f>H444+K444</f>
        <v/>
      </c>
      <c r="M444" s="20" t="n"/>
      <c r="N444" s="20" t="n"/>
      <c r="O444" s="14">
        <f>IF(A444="",0,IF(COUNTIF($A$5:A444,A444)=1,1,0))</f>
        <v/>
      </c>
    </row>
    <row r="445">
      <c r="A445" s="20" t="n"/>
      <c r="B445" s="21" t="n"/>
      <c r="C445" s="20" t="n"/>
      <c r="D445" s="22">
        <f>IF(C445="","",INDEX(MERCADORIA!$B$5:$B$22,MATCH(C445,MERCADORIA!$A$5:$A$22,0)))</f>
        <v/>
      </c>
      <c r="E445" s="22">
        <f>IF(C445="","",INDEX(MERCADORIA!$C$5:$C$22,MATCH(C445,MERCADORIA!$A$5:$A$22,0)))</f>
        <v/>
      </c>
      <c r="F445" s="23" t="n"/>
      <c r="G445" s="24">
        <f>IF(D445="","",INDEX(VALOR!$B$5:$B$8,MATCH(D445,VALOR!$A$5:$A$8,0)))</f>
        <v/>
      </c>
      <c r="H445" s="15">
        <f>IF(OR(G445="",F445=""),0,F445*G445)</f>
        <v/>
      </c>
      <c r="I445" s="20" t="n"/>
      <c r="J445" s="20" t="n"/>
      <c r="K445" s="24">
        <f>IF(OR(O445=0,J445=""),0,INDEX(MAPA!$C$5:$C$14,MATCH(J445,MAPA!$A$5:$A$14,0)))</f>
        <v/>
      </c>
      <c r="L445" s="25">
        <f>H445+K445</f>
        <v/>
      </c>
      <c r="M445" s="20" t="n"/>
      <c r="N445" s="20" t="n"/>
      <c r="O445" s="14">
        <f>IF(A445="",0,IF(COUNTIF($A$5:A445,A445)=1,1,0))</f>
        <v/>
      </c>
    </row>
    <row r="446">
      <c r="A446" s="20" t="n"/>
      <c r="B446" s="21" t="n"/>
      <c r="C446" s="20" t="n"/>
      <c r="D446" s="22">
        <f>IF(C446="","",INDEX(MERCADORIA!$B$5:$B$22,MATCH(C446,MERCADORIA!$A$5:$A$22,0)))</f>
        <v/>
      </c>
      <c r="E446" s="22">
        <f>IF(C446="","",INDEX(MERCADORIA!$C$5:$C$22,MATCH(C446,MERCADORIA!$A$5:$A$22,0)))</f>
        <v/>
      </c>
      <c r="F446" s="23" t="n"/>
      <c r="G446" s="24">
        <f>IF(D446="","",INDEX(VALOR!$B$5:$B$8,MATCH(D446,VALOR!$A$5:$A$8,0)))</f>
        <v/>
      </c>
      <c r="H446" s="15">
        <f>IF(OR(G446="",F446=""),0,F446*G446)</f>
        <v/>
      </c>
      <c r="I446" s="20" t="n"/>
      <c r="J446" s="20" t="n"/>
      <c r="K446" s="24">
        <f>IF(OR(O446=0,J446=""),0,INDEX(MAPA!$C$5:$C$14,MATCH(J446,MAPA!$A$5:$A$14,0)))</f>
        <v/>
      </c>
      <c r="L446" s="25">
        <f>H446+K446</f>
        <v/>
      </c>
      <c r="M446" s="20" t="n"/>
      <c r="N446" s="20" t="n"/>
      <c r="O446" s="14">
        <f>IF(A446="",0,IF(COUNTIF($A$5:A446,A446)=1,1,0))</f>
        <v/>
      </c>
    </row>
    <row r="447">
      <c r="A447" s="20" t="n"/>
      <c r="B447" s="21" t="n"/>
      <c r="C447" s="20" t="n"/>
      <c r="D447" s="22">
        <f>IF(C447="","",INDEX(MERCADORIA!$B$5:$B$22,MATCH(C447,MERCADORIA!$A$5:$A$22,0)))</f>
        <v/>
      </c>
      <c r="E447" s="22">
        <f>IF(C447="","",INDEX(MERCADORIA!$C$5:$C$22,MATCH(C447,MERCADORIA!$A$5:$A$22,0)))</f>
        <v/>
      </c>
      <c r="F447" s="23" t="n"/>
      <c r="G447" s="24">
        <f>IF(D447="","",INDEX(VALOR!$B$5:$B$8,MATCH(D447,VALOR!$A$5:$A$8,0)))</f>
        <v/>
      </c>
      <c r="H447" s="15">
        <f>IF(OR(G447="",F447=""),0,F447*G447)</f>
        <v/>
      </c>
      <c r="I447" s="20" t="n"/>
      <c r="J447" s="20" t="n"/>
      <c r="K447" s="24">
        <f>IF(OR(O447=0,J447=""),0,INDEX(MAPA!$C$5:$C$14,MATCH(J447,MAPA!$A$5:$A$14,0)))</f>
        <v/>
      </c>
      <c r="L447" s="25">
        <f>H447+K447</f>
        <v/>
      </c>
      <c r="M447" s="20" t="n"/>
      <c r="N447" s="20" t="n"/>
      <c r="O447" s="14">
        <f>IF(A447="",0,IF(COUNTIF($A$5:A447,A447)=1,1,0))</f>
        <v/>
      </c>
    </row>
    <row r="448">
      <c r="A448" s="20" t="n"/>
      <c r="B448" s="21" t="n"/>
      <c r="C448" s="20" t="n"/>
      <c r="D448" s="22">
        <f>IF(C448="","",INDEX(MERCADORIA!$B$5:$B$22,MATCH(C448,MERCADORIA!$A$5:$A$22,0)))</f>
        <v/>
      </c>
      <c r="E448" s="22">
        <f>IF(C448="","",INDEX(MERCADORIA!$C$5:$C$22,MATCH(C448,MERCADORIA!$A$5:$A$22,0)))</f>
        <v/>
      </c>
      <c r="F448" s="23" t="n"/>
      <c r="G448" s="24">
        <f>IF(D448="","",INDEX(VALOR!$B$5:$B$8,MATCH(D448,VALOR!$A$5:$A$8,0)))</f>
        <v/>
      </c>
      <c r="H448" s="15">
        <f>IF(OR(G448="",F448=""),0,F448*G448)</f>
        <v/>
      </c>
      <c r="I448" s="20" t="n"/>
      <c r="J448" s="20" t="n"/>
      <c r="K448" s="24">
        <f>IF(OR(O448=0,J448=""),0,INDEX(MAPA!$C$5:$C$14,MATCH(J448,MAPA!$A$5:$A$14,0)))</f>
        <v/>
      </c>
      <c r="L448" s="25">
        <f>H448+K448</f>
        <v/>
      </c>
      <c r="M448" s="20" t="n"/>
      <c r="N448" s="20" t="n"/>
      <c r="O448" s="14">
        <f>IF(A448="",0,IF(COUNTIF($A$5:A448,A448)=1,1,0))</f>
        <v/>
      </c>
    </row>
    <row r="449">
      <c r="A449" s="20" t="n"/>
      <c r="B449" s="21" t="n"/>
      <c r="C449" s="20" t="n"/>
      <c r="D449" s="22">
        <f>IF(C449="","",INDEX(MERCADORIA!$B$5:$B$22,MATCH(C449,MERCADORIA!$A$5:$A$22,0)))</f>
        <v/>
      </c>
      <c r="E449" s="22">
        <f>IF(C449="","",INDEX(MERCADORIA!$C$5:$C$22,MATCH(C449,MERCADORIA!$A$5:$A$22,0)))</f>
        <v/>
      </c>
      <c r="F449" s="23" t="n"/>
      <c r="G449" s="24">
        <f>IF(D449="","",INDEX(VALOR!$B$5:$B$8,MATCH(D449,VALOR!$A$5:$A$8,0)))</f>
        <v/>
      </c>
      <c r="H449" s="15">
        <f>IF(OR(G449="",F449=""),0,F449*G449)</f>
        <v/>
      </c>
      <c r="I449" s="20" t="n"/>
      <c r="J449" s="20" t="n"/>
      <c r="K449" s="24">
        <f>IF(OR(O449=0,J449=""),0,INDEX(MAPA!$C$5:$C$14,MATCH(J449,MAPA!$A$5:$A$14,0)))</f>
        <v/>
      </c>
      <c r="L449" s="25">
        <f>H449+K449</f>
        <v/>
      </c>
      <c r="M449" s="20" t="n"/>
      <c r="N449" s="20" t="n"/>
      <c r="O449" s="14">
        <f>IF(A449="",0,IF(COUNTIF($A$5:A449,A449)=1,1,0))</f>
        <v/>
      </c>
    </row>
    <row r="450">
      <c r="A450" s="20" t="n"/>
      <c r="B450" s="21" t="n"/>
      <c r="C450" s="20" t="n"/>
      <c r="D450" s="22">
        <f>IF(C450="","",INDEX(MERCADORIA!$B$5:$B$22,MATCH(C450,MERCADORIA!$A$5:$A$22,0)))</f>
        <v/>
      </c>
      <c r="E450" s="22">
        <f>IF(C450="","",INDEX(MERCADORIA!$C$5:$C$22,MATCH(C450,MERCADORIA!$A$5:$A$22,0)))</f>
        <v/>
      </c>
      <c r="F450" s="23" t="n"/>
      <c r="G450" s="24">
        <f>IF(D450="","",INDEX(VALOR!$B$5:$B$8,MATCH(D450,VALOR!$A$5:$A$8,0)))</f>
        <v/>
      </c>
      <c r="H450" s="15">
        <f>IF(OR(G450="",F450=""),0,F450*G450)</f>
        <v/>
      </c>
      <c r="I450" s="20" t="n"/>
      <c r="J450" s="20" t="n"/>
      <c r="K450" s="24">
        <f>IF(OR(O450=0,J450=""),0,INDEX(MAPA!$C$5:$C$14,MATCH(J450,MAPA!$A$5:$A$14,0)))</f>
        <v/>
      </c>
      <c r="L450" s="25">
        <f>H450+K450</f>
        <v/>
      </c>
      <c r="M450" s="20" t="n"/>
      <c r="N450" s="20" t="n"/>
      <c r="O450" s="14">
        <f>IF(A450="",0,IF(COUNTIF($A$5:A450,A450)=1,1,0))</f>
        <v/>
      </c>
    </row>
    <row r="451">
      <c r="A451" s="20" t="n"/>
      <c r="B451" s="21" t="n"/>
      <c r="C451" s="20" t="n"/>
      <c r="D451" s="22">
        <f>IF(C451="","",INDEX(MERCADORIA!$B$5:$B$22,MATCH(C451,MERCADORIA!$A$5:$A$22,0)))</f>
        <v/>
      </c>
      <c r="E451" s="22">
        <f>IF(C451="","",INDEX(MERCADORIA!$C$5:$C$22,MATCH(C451,MERCADORIA!$A$5:$A$22,0)))</f>
        <v/>
      </c>
      <c r="F451" s="23" t="n"/>
      <c r="G451" s="24">
        <f>IF(D451="","",INDEX(VALOR!$B$5:$B$8,MATCH(D451,VALOR!$A$5:$A$8,0)))</f>
        <v/>
      </c>
      <c r="H451" s="15">
        <f>IF(OR(G451="",F451=""),0,F451*G451)</f>
        <v/>
      </c>
      <c r="I451" s="20" t="n"/>
      <c r="J451" s="20" t="n"/>
      <c r="K451" s="24">
        <f>IF(OR(O451=0,J451=""),0,INDEX(MAPA!$C$5:$C$14,MATCH(J451,MAPA!$A$5:$A$14,0)))</f>
        <v/>
      </c>
      <c r="L451" s="25">
        <f>H451+K451</f>
        <v/>
      </c>
      <c r="M451" s="20" t="n"/>
      <c r="N451" s="20" t="n"/>
      <c r="O451" s="14">
        <f>IF(A451="",0,IF(COUNTIF($A$5:A451,A451)=1,1,0))</f>
        <v/>
      </c>
    </row>
    <row r="452">
      <c r="A452" s="20" t="n"/>
      <c r="B452" s="21" t="n"/>
      <c r="C452" s="20" t="n"/>
      <c r="D452" s="22">
        <f>IF(C452="","",INDEX(MERCADORIA!$B$5:$B$22,MATCH(C452,MERCADORIA!$A$5:$A$22,0)))</f>
        <v/>
      </c>
      <c r="E452" s="22">
        <f>IF(C452="","",INDEX(MERCADORIA!$C$5:$C$22,MATCH(C452,MERCADORIA!$A$5:$A$22,0)))</f>
        <v/>
      </c>
      <c r="F452" s="23" t="n"/>
      <c r="G452" s="24">
        <f>IF(D452="","",INDEX(VALOR!$B$5:$B$8,MATCH(D452,VALOR!$A$5:$A$8,0)))</f>
        <v/>
      </c>
      <c r="H452" s="15">
        <f>IF(OR(G452="",F452=""),0,F452*G452)</f>
        <v/>
      </c>
      <c r="I452" s="20" t="n"/>
      <c r="J452" s="20" t="n"/>
      <c r="K452" s="24">
        <f>IF(OR(O452=0,J452=""),0,INDEX(MAPA!$C$5:$C$14,MATCH(J452,MAPA!$A$5:$A$14,0)))</f>
        <v/>
      </c>
      <c r="L452" s="25">
        <f>H452+K452</f>
        <v/>
      </c>
      <c r="M452" s="20" t="n"/>
      <c r="N452" s="20" t="n"/>
      <c r="O452" s="14">
        <f>IF(A452="",0,IF(COUNTIF($A$5:A452,A452)=1,1,0))</f>
        <v/>
      </c>
    </row>
    <row r="453">
      <c r="A453" s="20" t="n"/>
      <c r="B453" s="21" t="n"/>
      <c r="C453" s="20" t="n"/>
      <c r="D453" s="22">
        <f>IF(C453="","",INDEX(MERCADORIA!$B$5:$B$22,MATCH(C453,MERCADORIA!$A$5:$A$22,0)))</f>
        <v/>
      </c>
      <c r="E453" s="22">
        <f>IF(C453="","",INDEX(MERCADORIA!$C$5:$C$22,MATCH(C453,MERCADORIA!$A$5:$A$22,0)))</f>
        <v/>
      </c>
      <c r="F453" s="23" t="n"/>
      <c r="G453" s="24">
        <f>IF(D453="","",INDEX(VALOR!$B$5:$B$8,MATCH(D453,VALOR!$A$5:$A$8,0)))</f>
        <v/>
      </c>
      <c r="H453" s="15">
        <f>IF(OR(G453="",F453=""),0,F453*G453)</f>
        <v/>
      </c>
      <c r="I453" s="20" t="n"/>
      <c r="J453" s="20" t="n"/>
      <c r="K453" s="24">
        <f>IF(OR(O453=0,J453=""),0,INDEX(MAPA!$C$5:$C$14,MATCH(J453,MAPA!$A$5:$A$14,0)))</f>
        <v/>
      </c>
      <c r="L453" s="25">
        <f>H453+K453</f>
        <v/>
      </c>
      <c r="M453" s="20" t="n"/>
      <c r="N453" s="20" t="n"/>
      <c r="O453" s="14">
        <f>IF(A453="",0,IF(COUNTIF($A$5:A453,A453)=1,1,0))</f>
        <v/>
      </c>
    </row>
    <row r="454">
      <c r="A454" s="20" t="n"/>
      <c r="B454" s="21" t="n"/>
      <c r="C454" s="20" t="n"/>
      <c r="D454" s="22">
        <f>IF(C454="","",INDEX(MERCADORIA!$B$5:$B$22,MATCH(C454,MERCADORIA!$A$5:$A$22,0)))</f>
        <v/>
      </c>
      <c r="E454" s="22">
        <f>IF(C454="","",INDEX(MERCADORIA!$C$5:$C$22,MATCH(C454,MERCADORIA!$A$5:$A$22,0)))</f>
        <v/>
      </c>
      <c r="F454" s="23" t="n"/>
      <c r="G454" s="24">
        <f>IF(D454="","",INDEX(VALOR!$B$5:$B$8,MATCH(D454,VALOR!$A$5:$A$8,0)))</f>
        <v/>
      </c>
      <c r="H454" s="15">
        <f>IF(OR(G454="",F454=""),0,F454*G454)</f>
        <v/>
      </c>
      <c r="I454" s="20" t="n"/>
      <c r="J454" s="20" t="n"/>
      <c r="K454" s="24">
        <f>IF(OR(O454=0,J454=""),0,INDEX(MAPA!$C$5:$C$14,MATCH(J454,MAPA!$A$5:$A$14,0)))</f>
        <v/>
      </c>
      <c r="L454" s="25">
        <f>H454+K454</f>
        <v/>
      </c>
      <c r="M454" s="20" t="n"/>
      <c r="N454" s="20" t="n"/>
      <c r="O454" s="14">
        <f>IF(A454="",0,IF(COUNTIF($A$5:A454,A454)=1,1,0))</f>
        <v/>
      </c>
    </row>
    <row r="455">
      <c r="A455" s="20" t="n"/>
      <c r="B455" s="21" t="n"/>
      <c r="C455" s="20" t="n"/>
      <c r="D455" s="22">
        <f>IF(C455="","",INDEX(MERCADORIA!$B$5:$B$22,MATCH(C455,MERCADORIA!$A$5:$A$22,0)))</f>
        <v/>
      </c>
      <c r="E455" s="22">
        <f>IF(C455="","",INDEX(MERCADORIA!$C$5:$C$22,MATCH(C455,MERCADORIA!$A$5:$A$22,0)))</f>
        <v/>
      </c>
      <c r="F455" s="23" t="n"/>
      <c r="G455" s="24">
        <f>IF(D455="","",INDEX(VALOR!$B$5:$B$8,MATCH(D455,VALOR!$A$5:$A$8,0)))</f>
        <v/>
      </c>
      <c r="H455" s="15">
        <f>IF(OR(G455="",F455=""),0,F455*G455)</f>
        <v/>
      </c>
      <c r="I455" s="20" t="n"/>
      <c r="J455" s="20" t="n"/>
      <c r="K455" s="24">
        <f>IF(OR(O455=0,J455=""),0,INDEX(MAPA!$C$5:$C$14,MATCH(J455,MAPA!$A$5:$A$14,0)))</f>
        <v/>
      </c>
      <c r="L455" s="25">
        <f>H455+K455</f>
        <v/>
      </c>
      <c r="M455" s="20" t="n"/>
      <c r="N455" s="20" t="n"/>
      <c r="O455" s="14">
        <f>IF(A455="",0,IF(COUNTIF($A$5:A455,A455)=1,1,0))</f>
        <v/>
      </c>
    </row>
    <row r="456">
      <c r="A456" s="20" t="n"/>
      <c r="B456" s="21" t="n"/>
      <c r="C456" s="20" t="n"/>
      <c r="D456" s="22">
        <f>IF(C456="","",INDEX(MERCADORIA!$B$5:$B$22,MATCH(C456,MERCADORIA!$A$5:$A$22,0)))</f>
        <v/>
      </c>
      <c r="E456" s="22">
        <f>IF(C456="","",INDEX(MERCADORIA!$C$5:$C$22,MATCH(C456,MERCADORIA!$A$5:$A$22,0)))</f>
        <v/>
      </c>
      <c r="F456" s="23" t="n"/>
      <c r="G456" s="24">
        <f>IF(D456="","",INDEX(VALOR!$B$5:$B$8,MATCH(D456,VALOR!$A$5:$A$8,0)))</f>
        <v/>
      </c>
      <c r="H456" s="15">
        <f>IF(OR(G456="",F456=""),0,F456*G456)</f>
        <v/>
      </c>
      <c r="I456" s="20" t="n"/>
      <c r="J456" s="20" t="n"/>
      <c r="K456" s="24">
        <f>IF(OR(O456=0,J456=""),0,INDEX(MAPA!$C$5:$C$14,MATCH(J456,MAPA!$A$5:$A$14,0)))</f>
        <v/>
      </c>
      <c r="L456" s="25">
        <f>H456+K456</f>
        <v/>
      </c>
      <c r="M456" s="20" t="n"/>
      <c r="N456" s="20" t="n"/>
      <c r="O456" s="14">
        <f>IF(A456="",0,IF(COUNTIF($A$5:A456,A456)=1,1,0))</f>
        <v/>
      </c>
    </row>
    <row r="457">
      <c r="A457" s="20" t="n"/>
      <c r="B457" s="21" t="n"/>
      <c r="C457" s="20" t="n"/>
      <c r="D457" s="22">
        <f>IF(C457="","",INDEX(MERCADORIA!$B$5:$B$22,MATCH(C457,MERCADORIA!$A$5:$A$22,0)))</f>
        <v/>
      </c>
      <c r="E457" s="22">
        <f>IF(C457="","",INDEX(MERCADORIA!$C$5:$C$22,MATCH(C457,MERCADORIA!$A$5:$A$22,0)))</f>
        <v/>
      </c>
      <c r="F457" s="23" t="n"/>
      <c r="G457" s="24">
        <f>IF(D457="","",INDEX(VALOR!$B$5:$B$8,MATCH(D457,VALOR!$A$5:$A$8,0)))</f>
        <v/>
      </c>
      <c r="H457" s="15">
        <f>IF(OR(G457="",F457=""),0,F457*G457)</f>
        <v/>
      </c>
      <c r="I457" s="20" t="n"/>
      <c r="J457" s="20" t="n"/>
      <c r="K457" s="24">
        <f>IF(OR(O457=0,J457=""),0,INDEX(MAPA!$C$5:$C$14,MATCH(J457,MAPA!$A$5:$A$14,0)))</f>
        <v/>
      </c>
      <c r="L457" s="25">
        <f>H457+K457</f>
        <v/>
      </c>
      <c r="M457" s="20" t="n"/>
      <c r="N457" s="20" t="n"/>
      <c r="O457" s="14">
        <f>IF(A457="",0,IF(COUNTIF($A$5:A457,A457)=1,1,0))</f>
        <v/>
      </c>
    </row>
    <row r="458">
      <c r="A458" s="20" t="n"/>
      <c r="B458" s="21" t="n"/>
      <c r="C458" s="20" t="n"/>
      <c r="D458" s="22">
        <f>IF(C458="","",INDEX(MERCADORIA!$B$5:$B$22,MATCH(C458,MERCADORIA!$A$5:$A$22,0)))</f>
        <v/>
      </c>
      <c r="E458" s="22">
        <f>IF(C458="","",INDEX(MERCADORIA!$C$5:$C$22,MATCH(C458,MERCADORIA!$A$5:$A$22,0)))</f>
        <v/>
      </c>
      <c r="F458" s="23" t="n"/>
      <c r="G458" s="24">
        <f>IF(D458="","",INDEX(VALOR!$B$5:$B$8,MATCH(D458,VALOR!$A$5:$A$8,0)))</f>
        <v/>
      </c>
      <c r="H458" s="15">
        <f>IF(OR(G458="",F458=""),0,F458*G458)</f>
        <v/>
      </c>
      <c r="I458" s="20" t="n"/>
      <c r="J458" s="20" t="n"/>
      <c r="K458" s="24">
        <f>IF(OR(O458=0,J458=""),0,INDEX(MAPA!$C$5:$C$14,MATCH(J458,MAPA!$A$5:$A$14,0)))</f>
        <v/>
      </c>
      <c r="L458" s="25">
        <f>H458+K458</f>
        <v/>
      </c>
      <c r="M458" s="20" t="n"/>
      <c r="N458" s="20" t="n"/>
      <c r="O458" s="14">
        <f>IF(A458="",0,IF(COUNTIF($A$5:A458,A458)=1,1,0))</f>
        <v/>
      </c>
    </row>
    <row r="459">
      <c r="A459" s="20" t="n"/>
      <c r="B459" s="21" t="n"/>
      <c r="C459" s="20" t="n"/>
      <c r="D459" s="22">
        <f>IF(C459="","",INDEX(MERCADORIA!$B$5:$B$22,MATCH(C459,MERCADORIA!$A$5:$A$22,0)))</f>
        <v/>
      </c>
      <c r="E459" s="22">
        <f>IF(C459="","",INDEX(MERCADORIA!$C$5:$C$22,MATCH(C459,MERCADORIA!$A$5:$A$22,0)))</f>
        <v/>
      </c>
      <c r="F459" s="23" t="n"/>
      <c r="G459" s="24">
        <f>IF(D459="","",INDEX(VALOR!$B$5:$B$8,MATCH(D459,VALOR!$A$5:$A$8,0)))</f>
        <v/>
      </c>
      <c r="H459" s="15">
        <f>IF(OR(G459="",F459=""),0,F459*G459)</f>
        <v/>
      </c>
      <c r="I459" s="20" t="n"/>
      <c r="J459" s="20" t="n"/>
      <c r="K459" s="24">
        <f>IF(OR(O459=0,J459=""),0,INDEX(MAPA!$C$5:$C$14,MATCH(J459,MAPA!$A$5:$A$14,0)))</f>
        <v/>
      </c>
      <c r="L459" s="25">
        <f>H459+K459</f>
        <v/>
      </c>
      <c r="M459" s="20" t="n"/>
      <c r="N459" s="20" t="n"/>
      <c r="O459" s="14">
        <f>IF(A459="",0,IF(COUNTIF($A$5:A459,A459)=1,1,0))</f>
        <v/>
      </c>
    </row>
    <row r="460">
      <c r="A460" s="20" t="n"/>
      <c r="B460" s="21" t="n"/>
      <c r="C460" s="20" t="n"/>
      <c r="D460" s="22">
        <f>IF(C460="","",INDEX(MERCADORIA!$B$5:$B$22,MATCH(C460,MERCADORIA!$A$5:$A$22,0)))</f>
        <v/>
      </c>
      <c r="E460" s="22">
        <f>IF(C460="","",INDEX(MERCADORIA!$C$5:$C$22,MATCH(C460,MERCADORIA!$A$5:$A$22,0)))</f>
        <v/>
      </c>
      <c r="F460" s="23" t="n"/>
      <c r="G460" s="24">
        <f>IF(D460="","",INDEX(VALOR!$B$5:$B$8,MATCH(D460,VALOR!$A$5:$A$8,0)))</f>
        <v/>
      </c>
      <c r="H460" s="15">
        <f>IF(OR(G460="",F460=""),0,F460*G460)</f>
        <v/>
      </c>
      <c r="I460" s="20" t="n"/>
      <c r="J460" s="20" t="n"/>
      <c r="K460" s="24">
        <f>IF(OR(O460=0,J460=""),0,INDEX(MAPA!$C$5:$C$14,MATCH(J460,MAPA!$A$5:$A$14,0)))</f>
        <v/>
      </c>
      <c r="L460" s="25">
        <f>H460+K460</f>
        <v/>
      </c>
      <c r="M460" s="20" t="n"/>
      <c r="N460" s="20" t="n"/>
      <c r="O460" s="14">
        <f>IF(A460="",0,IF(COUNTIF($A$5:A460,A460)=1,1,0))</f>
        <v/>
      </c>
    </row>
    <row r="461">
      <c r="A461" s="20" t="n"/>
      <c r="B461" s="21" t="n"/>
      <c r="C461" s="20" t="n"/>
      <c r="D461" s="22">
        <f>IF(C461="","",INDEX(MERCADORIA!$B$5:$B$22,MATCH(C461,MERCADORIA!$A$5:$A$22,0)))</f>
        <v/>
      </c>
      <c r="E461" s="22">
        <f>IF(C461="","",INDEX(MERCADORIA!$C$5:$C$22,MATCH(C461,MERCADORIA!$A$5:$A$22,0)))</f>
        <v/>
      </c>
      <c r="F461" s="23" t="n"/>
      <c r="G461" s="24">
        <f>IF(D461="","",INDEX(VALOR!$B$5:$B$8,MATCH(D461,VALOR!$A$5:$A$8,0)))</f>
        <v/>
      </c>
      <c r="H461" s="15">
        <f>IF(OR(G461="",F461=""),0,F461*G461)</f>
        <v/>
      </c>
      <c r="I461" s="20" t="n"/>
      <c r="J461" s="20" t="n"/>
      <c r="K461" s="24">
        <f>IF(OR(O461=0,J461=""),0,INDEX(MAPA!$C$5:$C$14,MATCH(J461,MAPA!$A$5:$A$14,0)))</f>
        <v/>
      </c>
      <c r="L461" s="25">
        <f>H461+K461</f>
        <v/>
      </c>
      <c r="M461" s="20" t="n"/>
      <c r="N461" s="20" t="n"/>
      <c r="O461" s="14">
        <f>IF(A461="",0,IF(COUNTIF($A$5:A461,A461)=1,1,0))</f>
        <v/>
      </c>
    </row>
    <row r="462">
      <c r="A462" s="20" t="n"/>
      <c r="B462" s="21" t="n"/>
      <c r="C462" s="20" t="n"/>
      <c r="D462" s="22">
        <f>IF(C462="","",INDEX(MERCADORIA!$B$5:$B$22,MATCH(C462,MERCADORIA!$A$5:$A$22,0)))</f>
        <v/>
      </c>
      <c r="E462" s="22">
        <f>IF(C462="","",INDEX(MERCADORIA!$C$5:$C$22,MATCH(C462,MERCADORIA!$A$5:$A$22,0)))</f>
        <v/>
      </c>
      <c r="F462" s="23" t="n"/>
      <c r="G462" s="24">
        <f>IF(D462="","",INDEX(VALOR!$B$5:$B$8,MATCH(D462,VALOR!$A$5:$A$8,0)))</f>
        <v/>
      </c>
      <c r="H462" s="15">
        <f>IF(OR(G462="",F462=""),0,F462*G462)</f>
        <v/>
      </c>
      <c r="I462" s="20" t="n"/>
      <c r="J462" s="20" t="n"/>
      <c r="K462" s="24">
        <f>IF(OR(O462=0,J462=""),0,INDEX(MAPA!$C$5:$C$14,MATCH(J462,MAPA!$A$5:$A$14,0)))</f>
        <v/>
      </c>
      <c r="L462" s="25">
        <f>H462+K462</f>
        <v/>
      </c>
      <c r="M462" s="20" t="n"/>
      <c r="N462" s="20" t="n"/>
      <c r="O462" s="14">
        <f>IF(A462="",0,IF(COUNTIF($A$5:A462,A462)=1,1,0))</f>
        <v/>
      </c>
    </row>
    <row r="463">
      <c r="A463" s="20" t="n"/>
      <c r="B463" s="21" t="n"/>
      <c r="C463" s="20" t="n"/>
      <c r="D463" s="22">
        <f>IF(C463="","",INDEX(MERCADORIA!$B$5:$B$22,MATCH(C463,MERCADORIA!$A$5:$A$22,0)))</f>
        <v/>
      </c>
      <c r="E463" s="22">
        <f>IF(C463="","",INDEX(MERCADORIA!$C$5:$C$22,MATCH(C463,MERCADORIA!$A$5:$A$22,0)))</f>
        <v/>
      </c>
      <c r="F463" s="23" t="n"/>
      <c r="G463" s="24">
        <f>IF(D463="","",INDEX(VALOR!$B$5:$B$8,MATCH(D463,VALOR!$A$5:$A$8,0)))</f>
        <v/>
      </c>
      <c r="H463" s="15">
        <f>IF(OR(G463="",F463=""),0,F463*G463)</f>
        <v/>
      </c>
      <c r="I463" s="20" t="n"/>
      <c r="J463" s="20" t="n"/>
      <c r="K463" s="24">
        <f>IF(OR(O463=0,J463=""),0,INDEX(MAPA!$C$5:$C$14,MATCH(J463,MAPA!$A$5:$A$14,0)))</f>
        <v/>
      </c>
      <c r="L463" s="25">
        <f>H463+K463</f>
        <v/>
      </c>
      <c r="M463" s="20" t="n"/>
      <c r="N463" s="20" t="n"/>
      <c r="O463" s="14">
        <f>IF(A463="",0,IF(COUNTIF($A$5:A463,A463)=1,1,0))</f>
        <v/>
      </c>
    </row>
    <row r="464">
      <c r="A464" s="20" t="n"/>
      <c r="B464" s="21" t="n"/>
      <c r="C464" s="20" t="n"/>
      <c r="D464" s="22">
        <f>IF(C464="","",INDEX(MERCADORIA!$B$5:$B$22,MATCH(C464,MERCADORIA!$A$5:$A$22,0)))</f>
        <v/>
      </c>
      <c r="E464" s="22">
        <f>IF(C464="","",INDEX(MERCADORIA!$C$5:$C$22,MATCH(C464,MERCADORIA!$A$5:$A$22,0)))</f>
        <v/>
      </c>
      <c r="F464" s="23" t="n"/>
      <c r="G464" s="24">
        <f>IF(D464="","",INDEX(VALOR!$B$5:$B$8,MATCH(D464,VALOR!$A$5:$A$8,0)))</f>
        <v/>
      </c>
      <c r="H464" s="15">
        <f>IF(OR(G464="",F464=""),0,F464*G464)</f>
        <v/>
      </c>
      <c r="I464" s="20" t="n"/>
      <c r="J464" s="20" t="n"/>
      <c r="K464" s="24">
        <f>IF(OR(O464=0,J464=""),0,INDEX(MAPA!$C$5:$C$14,MATCH(J464,MAPA!$A$5:$A$14,0)))</f>
        <v/>
      </c>
      <c r="L464" s="25">
        <f>H464+K464</f>
        <v/>
      </c>
      <c r="M464" s="20" t="n"/>
      <c r="N464" s="20" t="n"/>
      <c r="O464" s="14">
        <f>IF(A464="",0,IF(COUNTIF($A$5:A464,A464)=1,1,0))</f>
        <v/>
      </c>
    </row>
    <row r="465">
      <c r="A465" s="20" t="n"/>
      <c r="B465" s="21" t="n"/>
      <c r="C465" s="20" t="n"/>
      <c r="D465" s="22">
        <f>IF(C465="","",INDEX(MERCADORIA!$B$5:$B$22,MATCH(C465,MERCADORIA!$A$5:$A$22,0)))</f>
        <v/>
      </c>
      <c r="E465" s="22">
        <f>IF(C465="","",INDEX(MERCADORIA!$C$5:$C$22,MATCH(C465,MERCADORIA!$A$5:$A$22,0)))</f>
        <v/>
      </c>
      <c r="F465" s="23" t="n"/>
      <c r="G465" s="24">
        <f>IF(D465="","",INDEX(VALOR!$B$5:$B$8,MATCH(D465,VALOR!$A$5:$A$8,0)))</f>
        <v/>
      </c>
      <c r="H465" s="15">
        <f>IF(OR(G465="",F465=""),0,F465*G465)</f>
        <v/>
      </c>
      <c r="I465" s="20" t="n"/>
      <c r="J465" s="20" t="n"/>
      <c r="K465" s="24">
        <f>IF(OR(O465=0,J465=""),0,INDEX(MAPA!$C$5:$C$14,MATCH(J465,MAPA!$A$5:$A$14,0)))</f>
        <v/>
      </c>
      <c r="L465" s="25">
        <f>H465+K465</f>
        <v/>
      </c>
      <c r="M465" s="20" t="n"/>
      <c r="N465" s="20" t="n"/>
      <c r="O465" s="14">
        <f>IF(A465="",0,IF(COUNTIF($A$5:A465,A465)=1,1,0))</f>
        <v/>
      </c>
    </row>
    <row r="466">
      <c r="A466" s="20" t="n"/>
      <c r="B466" s="21" t="n"/>
      <c r="C466" s="20" t="n"/>
      <c r="D466" s="22">
        <f>IF(C466="","",INDEX(MERCADORIA!$B$5:$B$22,MATCH(C466,MERCADORIA!$A$5:$A$22,0)))</f>
        <v/>
      </c>
      <c r="E466" s="22">
        <f>IF(C466="","",INDEX(MERCADORIA!$C$5:$C$22,MATCH(C466,MERCADORIA!$A$5:$A$22,0)))</f>
        <v/>
      </c>
      <c r="F466" s="23" t="n"/>
      <c r="G466" s="24">
        <f>IF(D466="","",INDEX(VALOR!$B$5:$B$8,MATCH(D466,VALOR!$A$5:$A$8,0)))</f>
        <v/>
      </c>
      <c r="H466" s="15">
        <f>IF(OR(G466="",F466=""),0,F466*G466)</f>
        <v/>
      </c>
      <c r="I466" s="20" t="n"/>
      <c r="J466" s="20" t="n"/>
      <c r="K466" s="24">
        <f>IF(OR(O466=0,J466=""),0,INDEX(MAPA!$C$5:$C$14,MATCH(J466,MAPA!$A$5:$A$14,0)))</f>
        <v/>
      </c>
      <c r="L466" s="25">
        <f>H466+K466</f>
        <v/>
      </c>
      <c r="M466" s="20" t="n"/>
      <c r="N466" s="20" t="n"/>
      <c r="O466" s="14">
        <f>IF(A466="",0,IF(COUNTIF($A$5:A466,A466)=1,1,0))</f>
        <v/>
      </c>
    </row>
    <row r="467">
      <c r="A467" s="20" t="n"/>
      <c r="B467" s="21" t="n"/>
      <c r="C467" s="20" t="n"/>
      <c r="D467" s="22">
        <f>IF(C467="","",INDEX(MERCADORIA!$B$5:$B$22,MATCH(C467,MERCADORIA!$A$5:$A$22,0)))</f>
        <v/>
      </c>
      <c r="E467" s="22">
        <f>IF(C467="","",INDEX(MERCADORIA!$C$5:$C$22,MATCH(C467,MERCADORIA!$A$5:$A$22,0)))</f>
        <v/>
      </c>
      <c r="F467" s="23" t="n"/>
      <c r="G467" s="24">
        <f>IF(D467="","",INDEX(VALOR!$B$5:$B$8,MATCH(D467,VALOR!$A$5:$A$8,0)))</f>
        <v/>
      </c>
      <c r="H467" s="15">
        <f>IF(OR(G467="",F467=""),0,F467*G467)</f>
        <v/>
      </c>
      <c r="I467" s="20" t="n"/>
      <c r="J467" s="20" t="n"/>
      <c r="K467" s="24">
        <f>IF(OR(O467=0,J467=""),0,INDEX(MAPA!$C$5:$C$14,MATCH(J467,MAPA!$A$5:$A$14,0)))</f>
        <v/>
      </c>
      <c r="L467" s="25">
        <f>H467+K467</f>
        <v/>
      </c>
      <c r="M467" s="20" t="n"/>
      <c r="N467" s="20" t="n"/>
      <c r="O467" s="14">
        <f>IF(A467="",0,IF(COUNTIF($A$5:A467,A467)=1,1,0))</f>
        <v/>
      </c>
    </row>
    <row r="468">
      <c r="A468" s="20" t="n"/>
      <c r="B468" s="21" t="n"/>
      <c r="C468" s="20" t="n"/>
      <c r="D468" s="22">
        <f>IF(C468="","",INDEX(MERCADORIA!$B$5:$B$22,MATCH(C468,MERCADORIA!$A$5:$A$22,0)))</f>
        <v/>
      </c>
      <c r="E468" s="22">
        <f>IF(C468="","",INDEX(MERCADORIA!$C$5:$C$22,MATCH(C468,MERCADORIA!$A$5:$A$22,0)))</f>
        <v/>
      </c>
      <c r="F468" s="23" t="n"/>
      <c r="G468" s="24">
        <f>IF(D468="","",INDEX(VALOR!$B$5:$B$8,MATCH(D468,VALOR!$A$5:$A$8,0)))</f>
        <v/>
      </c>
      <c r="H468" s="15">
        <f>IF(OR(G468="",F468=""),0,F468*G468)</f>
        <v/>
      </c>
      <c r="I468" s="20" t="n"/>
      <c r="J468" s="20" t="n"/>
      <c r="K468" s="24">
        <f>IF(OR(O468=0,J468=""),0,INDEX(MAPA!$C$5:$C$14,MATCH(J468,MAPA!$A$5:$A$14,0)))</f>
        <v/>
      </c>
      <c r="L468" s="25">
        <f>H468+K468</f>
        <v/>
      </c>
      <c r="M468" s="20" t="n"/>
      <c r="N468" s="20" t="n"/>
      <c r="O468" s="14">
        <f>IF(A468="",0,IF(COUNTIF($A$5:A468,A468)=1,1,0))</f>
        <v/>
      </c>
    </row>
    <row r="469">
      <c r="A469" s="20" t="n"/>
      <c r="B469" s="21" t="n"/>
      <c r="C469" s="20" t="n"/>
      <c r="D469" s="22">
        <f>IF(C469="","",INDEX(MERCADORIA!$B$5:$B$22,MATCH(C469,MERCADORIA!$A$5:$A$22,0)))</f>
        <v/>
      </c>
      <c r="E469" s="22">
        <f>IF(C469="","",INDEX(MERCADORIA!$C$5:$C$22,MATCH(C469,MERCADORIA!$A$5:$A$22,0)))</f>
        <v/>
      </c>
      <c r="F469" s="23" t="n"/>
      <c r="G469" s="24">
        <f>IF(D469="","",INDEX(VALOR!$B$5:$B$8,MATCH(D469,VALOR!$A$5:$A$8,0)))</f>
        <v/>
      </c>
      <c r="H469" s="15">
        <f>IF(OR(G469="",F469=""),0,F469*G469)</f>
        <v/>
      </c>
      <c r="I469" s="20" t="n"/>
      <c r="J469" s="20" t="n"/>
      <c r="K469" s="24">
        <f>IF(OR(O469=0,J469=""),0,INDEX(MAPA!$C$5:$C$14,MATCH(J469,MAPA!$A$5:$A$14,0)))</f>
        <v/>
      </c>
      <c r="L469" s="25">
        <f>H469+K469</f>
        <v/>
      </c>
      <c r="M469" s="20" t="n"/>
      <c r="N469" s="20" t="n"/>
      <c r="O469" s="14">
        <f>IF(A469="",0,IF(COUNTIF($A$5:A469,A469)=1,1,0))</f>
        <v/>
      </c>
    </row>
    <row r="470">
      <c r="A470" s="20" t="n"/>
      <c r="B470" s="21" t="n"/>
      <c r="C470" s="20" t="n"/>
      <c r="D470" s="22">
        <f>IF(C470="","",INDEX(MERCADORIA!$B$5:$B$22,MATCH(C470,MERCADORIA!$A$5:$A$22,0)))</f>
        <v/>
      </c>
      <c r="E470" s="22">
        <f>IF(C470="","",INDEX(MERCADORIA!$C$5:$C$22,MATCH(C470,MERCADORIA!$A$5:$A$22,0)))</f>
        <v/>
      </c>
      <c r="F470" s="23" t="n"/>
      <c r="G470" s="24">
        <f>IF(D470="","",INDEX(VALOR!$B$5:$B$8,MATCH(D470,VALOR!$A$5:$A$8,0)))</f>
        <v/>
      </c>
      <c r="H470" s="15">
        <f>IF(OR(G470="",F470=""),0,F470*G470)</f>
        <v/>
      </c>
      <c r="I470" s="20" t="n"/>
      <c r="J470" s="20" t="n"/>
      <c r="K470" s="24">
        <f>IF(OR(O470=0,J470=""),0,INDEX(MAPA!$C$5:$C$14,MATCH(J470,MAPA!$A$5:$A$14,0)))</f>
        <v/>
      </c>
      <c r="L470" s="25">
        <f>H470+K470</f>
        <v/>
      </c>
      <c r="M470" s="20" t="n"/>
      <c r="N470" s="20" t="n"/>
      <c r="O470" s="14">
        <f>IF(A470="",0,IF(COUNTIF($A$5:A470,A470)=1,1,0))</f>
        <v/>
      </c>
    </row>
    <row r="471">
      <c r="A471" s="20" t="n"/>
      <c r="B471" s="21" t="n"/>
      <c r="C471" s="20" t="n"/>
      <c r="D471" s="22">
        <f>IF(C471="","",INDEX(MERCADORIA!$B$5:$B$22,MATCH(C471,MERCADORIA!$A$5:$A$22,0)))</f>
        <v/>
      </c>
      <c r="E471" s="22">
        <f>IF(C471="","",INDEX(MERCADORIA!$C$5:$C$22,MATCH(C471,MERCADORIA!$A$5:$A$22,0)))</f>
        <v/>
      </c>
      <c r="F471" s="23" t="n"/>
      <c r="G471" s="24">
        <f>IF(D471="","",INDEX(VALOR!$B$5:$B$8,MATCH(D471,VALOR!$A$5:$A$8,0)))</f>
        <v/>
      </c>
      <c r="H471" s="15">
        <f>IF(OR(G471="",F471=""),0,F471*G471)</f>
        <v/>
      </c>
      <c r="I471" s="20" t="n"/>
      <c r="J471" s="20" t="n"/>
      <c r="K471" s="24">
        <f>IF(OR(O471=0,J471=""),0,INDEX(MAPA!$C$5:$C$14,MATCH(J471,MAPA!$A$5:$A$14,0)))</f>
        <v/>
      </c>
      <c r="L471" s="25">
        <f>H471+K471</f>
        <v/>
      </c>
      <c r="M471" s="20" t="n"/>
      <c r="N471" s="20" t="n"/>
      <c r="O471" s="14">
        <f>IF(A471="",0,IF(COUNTIF($A$5:A471,A471)=1,1,0))</f>
        <v/>
      </c>
    </row>
    <row r="472">
      <c r="A472" s="20" t="n"/>
      <c r="B472" s="21" t="n"/>
      <c r="C472" s="20" t="n"/>
      <c r="D472" s="22">
        <f>IF(C472="","",INDEX(MERCADORIA!$B$5:$B$22,MATCH(C472,MERCADORIA!$A$5:$A$22,0)))</f>
        <v/>
      </c>
      <c r="E472" s="22">
        <f>IF(C472="","",INDEX(MERCADORIA!$C$5:$C$22,MATCH(C472,MERCADORIA!$A$5:$A$22,0)))</f>
        <v/>
      </c>
      <c r="F472" s="23" t="n"/>
      <c r="G472" s="24">
        <f>IF(D472="","",INDEX(VALOR!$B$5:$B$8,MATCH(D472,VALOR!$A$5:$A$8,0)))</f>
        <v/>
      </c>
      <c r="H472" s="15">
        <f>IF(OR(G472="",F472=""),0,F472*G472)</f>
        <v/>
      </c>
      <c r="I472" s="20" t="n"/>
      <c r="J472" s="20" t="n"/>
      <c r="K472" s="24">
        <f>IF(OR(O472=0,J472=""),0,INDEX(MAPA!$C$5:$C$14,MATCH(J472,MAPA!$A$5:$A$14,0)))</f>
        <v/>
      </c>
      <c r="L472" s="25">
        <f>H472+K472</f>
        <v/>
      </c>
      <c r="M472" s="20" t="n"/>
      <c r="N472" s="20" t="n"/>
      <c r="O472" s="14">
        <f>IF(A472="",0,IF(COUNTIF($A$5:A472,A472)=1,1,0))</f>
        <v/>
      </c>
    </row>
    <row r="473">
      <c r="A473" s="20" t="n"/>
      <c r="B473" s="21" t="n"/>
      <c r="C473" s="20" t="n"/>
      <c r="D473" s="22">
        <f>IF(C473="","",INDEX(MERCADORIA!$B$5:$B$22,MATCH(C473,MERCADORIA!$A$5:$A$22,0)))</f>
        <v/>
      </c>
      <c r="E473" s="22">
        <f>IF(C473="","",INDEX(MERCADORIA!$C$5:$C$22,MATCH(C473,MERCADORIA!$A$5:$A$22,0)))</f>
        <v/>
      </c>
      <c r="F473" s="23" t="n"/>
      <c r="G473" s="24">
        <f>IF(D473="","",INDEX(VALOR!$B$5:$B$8,MATCH(D473,VALOR!$A$5:$A$8,0)))</f>
        <v/>
      </c>
      <c r="H473" s="15">
        <f>IF(OR(G473="",F473=""),0,F473*G473)</f>
        <v/>
      </c>
      <c r="I473" s="20" t="n"/>
      <c r="J473" s="20" t="n"/>
      <c r="K473" s="24">
        <f>IF(OR(O473=0,J473=""),0,INDEX(MAPA!$C$5:$C$14,MATCH(J473,MAPA!$A$5:$A$14,0)))</f>
        <v/>
      </c>
      <c r="L473" s="25">
        <f>H473+K473</f>
        <v/>
      </c>
      <c r="M473" s="20" t="n"/>
      <c r="N473" s="20" t="n"/>
      <c r="O473" s="14">
        <f>IF(A473="",0,IF(COUNTIF($A$5:A473,A473)=1,1,0))</f>
        <v/>
      </c>
    </row>
    <row r="474">
      <c r="A474" s="20" t="n"/>
      <c r="B474" s="21" t="n"/>
      <c r="C474" s="20" t="n"/>
      <c r="D474" s="22">
        <f>IF(C474="","",INDEX(MERCADORIA!$B$5:$B$22,MATCH(C474,MERCADORIA!$A$5:$A$22,0)))</f>
        <v/>
      </c>
      <c r="E474" s="22">
        <f>IF(C474="","",INDEX(MERCADORIA!$C$5:$C$22,MATCH(C474,MERCADORIA!$A$5:$A$22,0)))</f>
        <v/>
      </c>
      <c r="F474" s="23" t="n"/>
      <c r="G474" s="24">
        <f>IF(D474="","",INDEX(VALOR!$B$5:$B$8,MATCH(D474,VALOR!$A$5:$A$8,0)))</f>
        <v/>
      </c>
      <c r="H474" s="15">
        <f>IF(OR(G474="",F474=""),0,F474*G474)</f>
        <v/>
      </c>
      <c r="I474" s="20" t="n"/>
      <c r="J474" s="20" t="n"/>
      <c r="K474" s="24">
        <f>IF(OR(O474=0,J474=""),0,INDEX(MAPA!$C$5:$C$14,MATCH(J474,MAPA!$A$5:$A$14,0)))</f>
        <v/>
      </c>
      <c r="L474" s="25">
        <f>H474+K474</f>
        <v/>
      </c>
      <c r="M474" s="20" t="n"/>
      <c r="N474" s="20" t="n"/>
      <c r="O474" s="14">
        <f>IF(A474="",0,IF(COUNTIF($A$5:A474,A474)=1,1,0))</f>
        <v/>
      </c>
    </row>
    <row r="475">
      <c r="A475" s="20" t="n"/>
      <c r="B475" s="21" t="n"/>
      <c r="C475" s="20" t="n"/>
      <c r="D475" s="22">
        <f>IF(C475="","",INDEX(MERCADORIA!$B$5:$B$22,MATCH(C475,MERCADORIA!$A$5:$A$22,0)))</f>
        <v/>
      </c>
      <c r="E475" s="22">
        <f>IF(C475="","",INDEX(MERCADORIA!$C$5:$C$22,MATCH(C475,MERCADORIA!$A$5:$A$22,0)))</f>
        <v/>
      </c>
      <c r="F475" s="23" t="n"/>
      <c r="G475" s="24">
        <f>IF(D475="","",INDEX(VALOR!$B$5:$B$8,MATCH(D475,VALOR!$A$5:$A$8,0)))</f>
        <v/>
      </c>
      <c r="H475" s="15">
        <f>IF(OR(G475="",F475=""),0,F475*G475)</f>
        <v/>
      </c>
      <c r="I475" s="20" t="n"/>
      <c r="J475" s="20" t="n"/>
      <c r="K475" s="24">
        <f>IF(OR(O475=0,J475=""),0,INDEX(MAPA!$C$5:$C$14,MATCH(J475,MAPA!$A$5:$A$14,0)))</f>
        <v/>
      </c>
      <c r="L475" s="25">
        <f>H475+K475</f>
        <v/>
      </c>
      <c r="M475" s="20" t="n"/>
      <c r="N475" s="20" t="n"/>
      <c r="O475" s="14">
        <f>IF(A475="",0,IF(COUNTIF($A$5:A475,A475)=1,1,0))</f>
        <v/>
      </c>
    </row>
    <row r="476">
      <c r="A476" s="20" t="n"/>
      <c r="B476" s="21" t="n"/>
      <c r="C476" s="20" t="n"/>
      <c r="D476" s="22">
        <f>IF(C476="","",INDEX(MERCADORIA!$B$5:$B$22,MATCH(C476,MERCADORIA!$A$5:$A$22,0)))</f>
        <v/>
      </c>
      <c r="E476" s="22">
        <f>IF(C476="","",INDEX(MERCADORIA!$C$5:$C$22,MATCH(C476,MERCADORIA!$A$5:$A$22,0)))</f>
        <v/>
      </c>
      <c r="F476" s="23" t="n"/>
      <c r="G476" s="24">
        <f>IF(D476="","",INDEX(VALOR!$B$5:$B$8,MATCH(D476,VALOR!$A$5:$A$8,0)))</f>
        <v/>
      </c>
      <c r="H476" s="15">
        <f>IF(OR(G476="",F476=""),0,F476*G476)</f>
        <v/>
      </c>
      <c r="I476" s="20" t="n"/>
      <c r="J476" s="20" t="n"/>
      <c r="K476" s="24">
        <f>IF(OR(O476=0,J476=""),0,INDEX(MAPA!$C$5:$C$14,MATCH(J476,MAPA!$A$5:$A$14,0)))</f>
        <v/>
      </c>
      <c r="L476" s="25">
        <f>H476+K476</f>
        <v/>
      </c>
      <c r="M476" s="20" t="n"/>
      <c r="N476" s="20" t="n"/>
      <c r="O476" s="14">
        <f>IF(A476="",0,IF(COUNTIF($A$5:A476,A476)=1,1,0))</f>
        <v/>
      </c>
    </row>
    <row r="477">
      <c r="A477" s="20" t="n"/>
      <c r="B477" s="21" t="n"/>
      <c r="C477" s="20" t="n"/>
      <c r="D477" s="22">
        <f>IF(C477="","",INDEX(MERCADORIA!$B$5:$B$22,MATCH(C477,MERCADORIA!$A$5:$A$22,0)))</f>
        <v/>
      </c>
      <c r="E477" s="22">
        <f>IF(C477="","",INDEX(MERCADORIA!$C$5:$C$22,MATCH(C477,MERCADORIA!$A$5:$A$22,0)))</f>
        <v/>
      </c>
      <c r="F477" s="23" t="n"/>
      <c r="G477" s="24">
        <f>IF(D477="","",INDEX(VALOR!$B$5:$B$8,MATCH(D477,VALOR!$A$5:$A$8,0)))</f>
        <v/>
      </c>
      <c r="H477" s="15">
        <f>IF(OR(G477="",F477=""),0,F477*G477)</f>
        <v/>
      </c>
      <c r="I477" s="20" t="n"/>
      <c r="J477" s="20" t="n"/>
      <c r="K477" s="24">
        <f>IF(OR(O477=0,J477=""),0,INDEX(MAPA!$C$5:$C$14,MATCH(J477,MAPA!$A$5:$A$14,0)))</f>
        <v/>
      </c>
      <c r="L477" s="25">
        <f>H477+K477</f>
        <v/>
      </c>
      <c r="M477" s="20" t="n"/>
      <c r="N477" s="20" t="n"/>
      <c r="O477" s="14">
        <f>IF(A477="",0,IF(COUNTIF($A$5:A477,A477)=1,1,0))</f>
        <v/>
      </c>
    </row>
    <row r="478">
      <c r="A478" s="20" t="n"/>
      <c r="B478" s="21" t="n"/>
      <c r="C478" s="20" t="n"/>
      <c r="D478" s="22">
        <f>IF(C478="","",INDEX(MERCADORIA!$B$5:$B$22,MATCH(C478,MERCADORIA!$A$5:$A$22,0)))</f>
        <v/>
      </c>
      <c r="E478" s="22">
        <f>IF(C478="","",INDEX(MERCADORIA!$C$5:$C$22,MATCH(C478,MERCADORIA!$A$5:$A$22,0)))</f>
        <v/>
      </c>
      <c r="F478" s="23" t="n"/>
      <c r="G478" s="24">
        <f>IF(D478="","",INDEX(VALOR!$B$5:$B$8,MATCH(D478,VALOR!$A$5:$A$8,0)))</f>
        <v/>
      </c>
      <c r="H478" s="15">
        <f>IF(OR(G478="",F478=""),0,F478*G478)</f>
        <v/>
      </c>
      <c r="I478" s="20" t="n"/>
      <c r="J478" s="20" t="n"/>
      <c r="K478" s="24">
        <f>IF(OR(O478=0,J478=""),0,INDEX(MAPA!$C$5:$C$14,MATCH(J478,MAPA!$A$5:$A$14,0)))</f>
        <v/>
      </c>
      <c r="L478" s="25">
        <f>H478+K478</f>
        <v/>
      </c>
      <c r="M478" s="20" t="n"/>
      <c r="N478" s="20" t="n"/>
      <c r="O478" s="14">
        <f>IF(A478="",0,IF(COUNTIF($A$5:A478,A478)=1,1,0))</f>
        <v/>
      </c>
    </row>
    <row r="479">
      <c r="A479" s="20" t="n"/>
      <c r="B479" s="21" t="n"/>
      <c r="C479" s="20" t="n"/>
      <c r="D479" s="22">
        <f>IF(C479="","",INDEX(MERCADORIA!$B$5:$B$22,MATCH(C479,MERCADORIA!$A$5:$A$22,0)))</f>
        <v/>
      </c>
      <c r="E479" s="22">
        <f>IF(C479="","",INDEX(MERCADORIA!$C$5:$C$22,MATCH(C479,MERCADORIA!$A$5:$A$22,0)))</f>
        <v/>
      </c>
      <c r="F479" s="23" t="n"/>
      <c r="G479" s="24">
        <f>IF(D479="","",INDEX(VALOR!$B$5:$B$8,MATCH(D479,VALOR!$A$5:$A$8,0)))</f>
        <v/>
      </c>
      <c r="H479" s="15">
        <f>IF(OR(G479="",F479=""),0,F479*G479)</f>
        <v/>
      </c>
      <c r="I479" s="20" t="n"/>
      <c r="J479" s="20" t="n"/>
      <c r="K479" s="24">
        <f>IF(OR(O479=0,J479=""),0,INDEX(MAPA!$C$5:$C$14,MATCH(J479,MAPA!$A$5:$A$14,0)))</f>
        <v/>
      </c>
      <c r="L479" s="25">
        <f>H479+K479</f>
        <v/>
      </c>
      <c r="M479" s="20" t="n"/>
      <c r="N479" s="20" t="n"/>
      <c r="O479" s="14">
        <f>IF(A479="",0,IF(COUNTIF($A$5:A479,A479)=1,1,0))</f>
        <v/>
      </c>
    </row>
    <row r="480">
      <c r="A480" s="20" t="n"/>
      <c r="B480" s="21" t="n"/>
      <c r="C480" s="20" t="n"/>
      <c r="D480" s="22">
        <f>IF(C480="","",INDEX(MERCADORIA!$B$5:$B$22,MATCH(C480,MERCADORIA!$A$5:$A$22,0)))</f>
        <v/>
      </c>
      <c r="E480" s="22">
        <f>IF(C480="","",INDEX(MERCADORIA!$C$5:$C$22,MATCH(C480,MERCADORIA!$A$5:$A$22,0)))</f>
        <v/>
      </c>
      <c r="F480" s="23" t="n"/>
      <c r="G480" s="24">
        <f>IF(D480="","",INDEX(VALOR!$B$5:$B$8,MATCH(D480,VALOR!$A$5:$A$8,0)))</f>
        <v/>
      </c>
      <c r="H480" s="15">
        <f>IF(OR(G480="",F480=""),0,F480*G480)</f>
        <v/>
      </c>
      <c r="I480" s="20" t="n"/>
      <c r="J480" s="20" t="n"/>
      <c r="K480" s="24">
        <f>IF(OR(O480=0,J480=""),0,INDEX(MAPA!$C$5:$C$14,MATCH(J480,MAPA!$A$5:$A$14,0)))</f>
        <v/>
      </c>
      <c r="L480" s="25">
        <f>H480+K480</f>
        <v/>
      </c>
      <c r="M480" s="20" t="n"/>
      <c r="N480" s="20" t="n"/>
      <c r="O480" s="14">
        <f>IF(A480="",0,IF(COUNTIF($A$5:A480,A480)=1,1,0))</f>
        <v/>
      </c>
    </row>
    <row r="481">
      <c r="A481" s="20" t="n"/>
      <c r="B481" s="21" t="n"/>
      <c r="C481" s="20" t="n"/>
      <c r="D481" s="22">
        <f>IF(C481="","",INDEX(MERCADORIA!$B$5:$B$22,MATCH(C481,MERCADORIA!$A$5:$A$22,0)))</f>
        <v/>
      </c>
      <c r="E481" s="22">
        <f>IF(C481="","",INDEX(MERCADORIA!$C$5:$C$22,MATCH(C481,MERCADORIA!$A$5:$A$22,0)))</f>
        <v/>
      </c>
      <c r="F481" s="23" t="n"/>
      <c r="G481" s="24">
        <f>IF(D481="","",INDEX(VALOR!$B$5:$B$8,MATCH(D481,VALOR!$A$5:$A$8,0)))</f>
        <v/>
      </c>
      <c r="H481" s="15">
        <f>IF(OR(G481="",F481=""),0,F481*G481)</f>
        <v/>
      </c>
      <c r="I481" s="20" t="n"/>
      <c r="J481" s="20" t="n"/>
      <c r="K481" s="24">
        <f>IF(OR(O481=0,J481=""),0,INDEX(MAPA!$C$5:$C$14,MATCH(J481,MAPA!$A$5:$A$14,0)))</f>
        <v/>
      </c>
      <c r="L481" s="25">
        <f>H481+K481</f>
        <v/>
      </c>
      <c r="M481" s="20" t="n"/>
      <c r="N481" s="20" t="n"/>
      <c r="O481" s="14">
        <f>IF(A481="",0,IF(COUNTIF($A$5:A481,A481)=1,1,0))</f>
        <v/>
      </c>
    </row>
    <row r="482">
      <c r="A482" s="20" t="n"/>
      <c r="B482" s="21" t="n"/>
      <c r="C482" s="20" t="n"/>
      <c r="D482" s="22">
        <f>IF(C482="","",INDEX(MERCADORIA!$B$5:$B$22,MATCH(C482,MERCADORIA!$A$5:$A$22,0)))</f>
        <v/>
      </c>
      <c r="E482" s="22">
        <f>IF(C482="","",INDEX(MERCADORIA!$C$5:$C$22,MATCH(C482,MERCADORIA!$A$5:$A$22,0)))</f>
        <v/>
      </c>
      <c r="F482" s="23" t="n"/>
      <c r="G482" s="24">
        <f>IF(D482="","",INDEX(VALOR!$B$5:$B$8,MATCH(D482,VALOR!$A$5:$A$8,0)))</f>
        <v/>
      </c>
      <c r="H482" s="15">
        <f>IF(OR(G482="",F482=""),0,F482*G482)</f>
        <v/>
      </c>
      <c r="I482" s="20" t="n"/>
      <c r="J482" s="20" t="n"/>
      <c r="K482" s="24">
        <f>IF(OR(O482=0,J482=""),0,INDEX(MAPA!$C$5:$C$14,MATCH(J482,MAPA!$A$5:$A$14,0)))</f>
        <v/>
      </c>
      <c r="L482" s="25">
        <f>H482+K482</f>
        <v/>
      </c>
      <c r="M482" s="20" t="n"/>
      <c r="N482" s="20" t="n"/>
      <c r="O482" s="14">
        <f>IF(A482="",0,IF(COUNTIF($A$5:A482,A482)=1,1,0))</f>
        <v/>
      </c>
    </row>
    <row r="483">
      <c r="A483" s="20" t="n"/>
      <c r="B483" s="21" t="n"/>
      <c r="C483" s="20" t="n"/>
      <c r="D483" s="22">
        <f>IF(C483="","",INDEX(MERCADORIA!$B$5:$B$22,MATCH(C483,MERCADORIA!$A$5:$A$22,0)))</f>
        <v/>
      </c>
      <c r="E483" s="22">
        <f>IF(C483="","",INDEX(MERCADORIA!$C$5:$C$22,MATCH(C483,MERCADORIA!$A$5:$A$22,0)))</f>
        <v/>
      </c>
      <c r="F483" s="23" t="n"/>
      <c r="G483" s="24">
        <f>IF(D483="","",INDEX(VALOR!$B$5:$B$8,MATCH(D483,VALOR!$A$5:$A$8,0)))</f>
        <v/>
      </c>
      <c r="H483" s="15">
        <f>IF(OR(G483="",F483=""),0,F483*G483)</f>
        <v/>
      </c>
      <c r="I483" s="20" t="n"/>
      <c r="J483" s="20" t="n"/>
      <c r="K483" s="24">
        <f>IF(OR(O483=0,J483=""),0,INDEX(MAPA!$C$5:$C$14,MATCH(J483,MAPA!$A$5:$A$14,0)))</f>
        <v/>
      </c>
      <c r="L483" s="25">
        <f>H483+K483</f>
        <v/>
      </c>
      <c r="M483" s="20" t="n"/>
      <c r="N483" s="20" t="n"/>
      <c r="O483" s="14">
        <f>IF(A483="",0,IF(COUNTIF($A$5:A483,A483)=1,1,0))</f>
        <v/>
      </c>
    </row>
    <row r="484">
      <c r="A484" s="20" t="n"/>
      <c r="B484" s="21" t="n"/>
      <c r="C484" s="20" t="n"/>
      <c r="D484" s="22">
        <f>IF(C484="","",INDEX(MERCADORIA!$B$5:$B$22,MATCH(C484,MERCADORIA!$A$5:$A$22,0)))</f>
        <v/>
      </c>
      <c r="E484" s="22">
        <f>IF(C484="","",INDEX(MERCADORIA!$C$5:$C$22,MATCH(C484,MERCADORIA!$A$5:$A$22,0)))</f>
        <v/>
      </c>
      <c r="F484" s="23" t="n"/>
      <c r="G484" s="24">
        <f>IF(D484="","",INDEX(VALOR!$B$5:$B$8,MATCH(D484,VALOR!$A$5:$A$8,0)))</f>
        <v/>
      </c>
      <c r="H484" s="15">
        <f>IF(OR(G484="",F484=""),0,F484*G484)</f>
        <v/>
      </c>
      <c r="I484" s="20" t="n"/>
      <c r="J484" s="20" t="n"/>
      <c r="K484" s="24">
        <f>IF(OR(O484=0,J484=""),0,INDEX(MAPA!$C$5:$C$14,MATCH(J484,MAPA!$A$5:$A$14,0)))</f>
        <v/>
      </c>
      <c r="L484" s="25">
        <f>H484+K484</f>
        <v/>
      </c>
      <c r="M484" s="20" t="n"/>
      <c r="N484" s="20" t="n"/>
      <c r="O484" s="14">
        <f>IF(A484="",0,IF(COUNTIF($A$5:A484,A484)=1,1,0))</f>
        <v/>
      </c>
    </row>
    <row r="485">
      <c r="A485" s="20" t="n"/>
      <c r="B485" s="21" t="n"/>
      <c r="C485" s="20" t="n"/>
      <c r="D485" s="22">
        <f>IF(C485="","",INDEX(MERCADORIA!$B$5:$B$22,MATCH(C485,MERCADORIA!$A$5:$A$22,0)))</f>
        <v/>
      </c>
      <c r="E485" s="22">
        <f>IF(C485="","",INDEX(MERCADORIA!$C$5:$C$22,MATCH(C485,MERCADORIA!$A$5:$A$22,0)))</f>
        <v/>
      </c>
      <c r="F485" s="23" t="n"/>
      <c r="G485" s="24">
        <f>IF(D485="","",INDEX(VALOR!$B$5:$B$8,MATCH(D485,VALOR!$A$5:$A$8,0)))</f>
        <v/>
      </c>
      <c r="H485" s="15">
        <f>IF(OR(G485="",F485=""),0,F485*G485)</f>
        <v/>
      </c>
      <c r="I485" s="20" t="n"/>
      <c r="J485" s="20" t="n"/>
      <c r="K485" s="24">
        <f>IF(OR(O485=0,J485=""),0,INDEX(MAPA!$C$5:$C$14,MATCH(J485,MAPA!$A$5:$A$14,0)))</f>
        <v/>
      </c>
      <c r="L485" s="25">
        <f>H485+K485</f>
        <v/>
      </c>
      <c r="M485" s="20" t="n"/>
      <c r="N485" s="20" t="n"/>
      <c r="O485" s="14">
        <f>IF(A485="",0,IF(COUNTIF($A$5:A485,A485)=1,1,0))</f>
        <v/>
      </c>
    </row>
    <row r="486">
      <c r="A486" s="20" t="n"/>
      <c r="B486" s="21" t="n"/>
      <c r="C486" s="20" t="n"/>
      <c r="D486" s="22">
        <f>IF(C486="","",INDEX(MERCADORIA!$B$5:$B$22,MATCH(C486,MERCADORIA!$A$5:$A$22,0)))</f>
        <v/>
      </c>
      <c r="E486" s="22">
        <f>IF(C486="","",INDEX(MERCADORIA!$C$5:$C$22,MATCH(C486,MERCADORIA!$A$5:$A$22,0)))</f>
        <v/>
      </c>
      <c r="F486" s="23" t="n"/>
      <c r="G486" s="24">
        <f>IF(D486="","",INDEX(VALOR!$B$5:$B$8,MATCH(D486,VALOR!$A$5:$A$8,0)))</f>
        <v/>
      </c>
      <c r="H486" s="15">
        <f>IF(OR(G486="",F486=""),0,F486*G486)</f>
        <v/>
      </c>
      <c r="I486" s="20" t="n"/>
      <c r="J486" s="20" t="n"/>
      <c r="K486" s="24">
        <f>IF(OR(O486=0,J486=""),0,INDEX(MAPA!$C$5:$C$14,MATCH(J486,MAPA!$A$5:$A$14,0)))</f>
        <v/>
      </c>
      <c r="L486" s="25">
        <f>H486+K486</f>
        <v/>
      </c>
      <c r="M486" s="20" t="n"/>
      <c r="N486" s="20" t="n"/>
      <c r="O486" s="14">
        <f>IF(A486="",0,IF(COUNTIF($A$5:A486,A486)=1,1,0))</f>
        <v/>
      </c>
    </row>
    <row r="487">
      <c r="A487" s="20" t="n"/>
      <c r="B487" s="21" t="n"/>
      <c r="C487" s="20" t="n"/>
      <c r="D487" s="22">
        <f>IF(C487="","",INDEX(MERCADORIA!$B$5:$B$22,MATCH(C487,MERCADORIA!$A$5:$A$22,0)))</f>
        <v/>
      </c>
      <c r="E487" s="22">
        <f>IF(C487="","",INDEX(MERCADORIA!$C$5:$C$22,MATCH(C487,MERCADORIA!$A$5:$A$22,0)))</f>
        <v/>
      </c>
      <c r="F487" s="23" t="n"/>
      <c r="G487" s="24">
        <f>IF(D487="","",INDEX(VALOR!$B$5:$B$8,MATCH(D487,VALOR!$A$5:$A$8,0)))</f>
        <v/>
      </c>
      <c r="H487" s="15">
        <f>IF(OR(G487="",F487=""),0,F487*G487)</f>
        <v/>
      </c>
      <c r="I487" s="20" t="n"/>
      <c r="J487" s="20" t="n"/>
      <c r="K487" s="24">
        <f>IF(OR(O487=0,J487=""),0,INDEX(MAPA!$C$5:$C$14,MATCH(J487,MAPA!$A$5:$A$14,0)))</f>
        <v/>
      </c>
      <c r="L487" s="25">
        <f>H487+K487</f>
        <v/>
      </c>
      <c r="M487" s="20" t="n"/>
      <c r="N487" s="20" t="n"/>
      <c r="O487" s="14">
        <f>IF(A487="",0,IF(COUNTIF($A$5:A487,A487)=1,1,0))</f>
        <v/>
      </c>
    </row>
    <row r="488">
      <c r="A488" s="20" t="n"/>
      <c r="B488" s="21" t="n"/>
      <c r="C488" s="20" t="n"/>
      <c r="D488" s="22">
        <f>IF(C488="","",INDEX(MERCADORIA!$B$5:$B$22,MATCH(C488,MERCADORIA!$A$5:$A$22,0)))</f>
        <v/>
      </c>
      <c r="E488" s="22">
        <f>IF(C488="","",INDEX(MERCADORIA!$C$5:$C$22,MATCH(C488,MERCADORIA!$A$5:$A$22,0)))</f>
        <v/>
      </c>
      <c r="F488" s="23" t="n"/>
      <c r="G488" s="24">
        <f>IF(D488="","",INDEX(VALOR!$B$5:$B$8,MATCH(D488,VALOR!$A$5:$A$8,0)))</f>
        <v/>
      </c>
      <c r="H488" s="15">
        <f>IF(OR(G488="",F488=""),0,F488*G488)</f>
        <v/>
      </c>
      <c r="I488" s="20" t="n"/>
      <c r="J488" s="20" t="n"/>
      <c r="K488" s="24">
        <f>IF(OR(O488=0,J488=""),0,INDEX(MAPA!$C$5:$C$14,MATCH(J488,MAPA!$A$5:$A$14,0)))</f>
        <v/>
      </c>
      <c r="L488" s="25">
        <f>H488+K488</f>
        <v/>
      </c>
      <c r="M488" s="20" t="n"/>
      <c r="N488" s="20" t="n"/>
      <c r="O488" s="14">
        <f>IF(A488="",0,IF(COUNTIF($A$5:A488,A488)=1,1,0))</f>
        <v/>
      </c>
    </row>
    <row r="489">
      <c r="A489" s="20" t="n"/>
      <c r="B489" s="21" t="n"/>
      <c r="C489" s="20" t="n"/>
      <c r="D489" s="22">
        <f>IF(C489="","",INDEX(MERCADORIA!$B$5:$B$22,MATCH(C489,MERCADORIA!$A$5:$A$22,0)))</f>
        <v/>
      </c>
      <c r="E489" s="22">
        <f>IF(C489="","",INDEX(MERCADORIA!$C$5:$C$22,MATCH(C489,MERCADORIA!$A$5:$A$22,0)))</f>
        <v/>
      </c>
      <c r="F489" s="23" t="n"/>
      <c r="G489" s="24">
        <f>IF(D489="","",INDEX(VALOR!$B$5:$B$8,MATCH(D489,VALOR!$A$5:$A$8,0)))</f>
        <v/>
      </c>
      <c r="H489" s="15">
        <f>IF(OR(G489="",F489=""),0,F489*G489)</f>
        <v/>
      </c>
      <c r="I489" s="20" t="n"/>
      <c r="J489" s="20" t="n"/>
      <c r="K489" s="24">
        <f>IF(OR(O489=0,J489=""),0,INDEX(MAPA!$C$5:$C$14,MATCH(J489,MAPA!$A$5:$A$14,0)))</f>
        <v/>
      </c>
      <c r="L489" s="25">
        <f>H489+K489</f>
        <v/>
      </c>
      <c r="M489" s="20" t="n"/>
      <c r="N489" s="20" t="n"/>
      <c r="O489" s="14">
        <f>IF(A489="",0,IF(COUNTIF($A$5:A489,A489)=1,1,0))</f>
        <v/>
      </c>
    </row>
    <row r="490">
      <c r="A490" s="20" t="n"/>
      <c r="B490" s="21" t="n"/>
      <c r="C490" s="20" t="n"/>
      <c r="D490" s="22">
        <f>IF(C490="","",INDEX(MERCADORIA!$B$5:$B$22,MATCH(C490,MERCADORIA!$A$5:$A$22,0)))</f>
        <v/>
      </c>
      <c r="E490" s="22">
        <f>IF(C490="","",INDEX(MERCADORIA!$C$5:$C$22,MATCH(C490,MERCADORIA!$A$5:$A$22,0)))</f>
        <v/>
      </c>
      <c r="F490" s="23" t="n"/>
      <c r="G490" s="24">
        <f>IF(D490="","",INDEX(VALOR!$B$5:$B$8,MATCH(D490,VALOR!$A$5:$A$8,0)))</f>
        <v/>
      </c>
      <c r="H490" s="15">
        <f>IF(OR(G490="",F490=""),0,F490*G490)</f>
        <v/>
      </c>
      <c r="I490" s="20" t="n"/>
      <c r="J490" s="20" t="n"/>
      <c r="K490" s="24">
        <f>IF(OR(O490=0,J490=""),0,INDEX(MAPA!$C$5:$C$14,MATCH(J490,MAPA!$A$5:$A$14,0)))</f>
        <v/>
      </c>
      <c r="L490" s="25">
        <f>H490+K490</f>
        <v/>
      </c>
      <c r="M490" s="20" t="n"/>
      <c r="N490" s="20" t="n"/>
      <c r="O490" s="14">
        <f>IF(A490="",0,IF(COUNTIF($A$5:A490,A490)=1,1,0))</f>
        <v/>
      </c>
    </row>
    <row r="491">
      <c r="A491" s="20" t="n"/>
      <c r="B491" s="21" t="n"/>
      <c r="C491" s="20" t="n"/>
      <c r="D491" s="22">
        <f>IF(C491="","",INDEX(MERCADORIA!$B$5:$B$22,MATCH(C491,MERCADORIA!$A$5:$A$22,0)))</f>
        <v/>
      </c>
      <c r="E491" s="22">
        <f>IF(C491="","",INDEX(MERCADORIA!$C$5:$C$22,MATCH(C491,MERCADORIA!$A$5:$A$22,0)))</f>
        <v/>
      </c>
      <c r="F491" s="23" t="n"/>
      <c r="G491" s="24">
        <f>IF(D491="","",INDEX(VALOR!$B$5:$B$8,MATCH(D491,VALOR!$A$5:$A$8,0)))</f>
        <v/>
      </c>
      <c r="H491" s="15">
        <f>IF(OR(G491="",F491=""),0,F491*G491)</f>
        <v/>
      </c>
      <c r="I491" s="20" t="n"/>
      <c r="J491" s="20" t="n"/>
      <c r="K491" s="24">
        <f>IF(OR(O491=0,J491=""),0,INDEX(MAPA!$C$5:$C$14,MATCH(J491,MAPA!$A$5:$A$14,0)))</f>
        <v/>
      </c>
      <c r="L491" s="25">
        <f>H491+K491</f>
        <v/>
      </c>
      <c r="M491" s="20" t="n"/>
      <c r="N491" s="20" t="n"/>
      <c r="O491" s="14">
        <f>IF(A491="",0,IF(COUNTIF($A$5:A491,A491)=1,1,0))</f>
        <v/>
      </c>
    </row>
    <row r="492">
      <c r="A492" s="20" t="n"/>
      <c r="B492" s="21" t="n"/>
      <c r="C492" s="20" t="n"/>
      <c r="D492" s="22">
        <f>IF(C492="","",INDEX(MERCADORIA!$B$5:$B$22,MATCH(C492,MERCADORIA!$A$5:$A$22,0)))</f>
        <v/>
      </c>
      <c r="E492" s="22">
        <f>IF(C492="","",INDEX(MERCADORIA!$C$5:$C$22,MATCH(C492,MERCADORIA!$A$5:$A$22,0)))</f>
        <v/>
      </c>
      <c r="F492" s="23" t="n"/>
      <c r="G492" s="24">
        <f>IF(D492="","",INDEX(VALOR!$B$5:$B$8,MATCH(D492,VALOR!$A$5:$A$8,0)))</f>
        <v/>
      </c>
      <c r="H492" s="15">
        <f>IF(OR(G492="",F492=""),0,F492*G492)</f>
        <v/>
      </c>
      <c r="I492" s="20" t="n"/>
      <c r="J492" s="20" t="n"/>
      <c r="K492" s="24">
        <f>IF(OR(O492=0,J492=""),0,INDEX(MAPA!$C$5:$C$14,MATCH(J492,MAPA!$A$5:$A$14,0)))</f>
        <v/>
      </c>
      <c r="L492" s="25">
        <f>H492+K492</f>
        <v/>
      </c>
      <c r="M492" s="20" t="n"/>
      <c r="N492" s="20" t="n"/>
      <c r="O492" s="14">
        <f>IF(A492="",0,IF(COUNTIF($A$5:A492,A492)=1,1,0))</f>
        <v/>
      </c>
    </row>
    <row r="493">
      <c r="A493" s="20" t="n"/>
      <c r="B493" s="21" t="n"/>
      <c r="C493" s="20" t="n"/>
      <c r="D493" s="22">
        <f>IF(C493="","",INDEX(MERCADORIA!$B$5:$B$22,MATCH(C493,MERCADORIA!$A$5:$A$22,0)))</f>
        <v/>
      </c>
      <c r="E493" s="22">
        <f>IF(C493="","",INDEX(MERCADORIA!$C$5:$C$22,MATCH(C493,MERCADORIA!$A$5:$A$22,0)))</f>
        <v/>
      </c>
      <c r="F493" s="23" t="n"/>
      <c r="G493" s="24">
        <f>IF(D493="","",INDEX(VALOR!$B$5:$B$8,MATCH(D493,VALOR!$A$5:$A$8,0)))</f>
        <v/>
      </c>
      <c r="H493" s="15">
        <f>IF(OR(G493="",F493=""),0,F493*G493)</f>
        <v/>
      </c>
      <c r="I493" s="20" t="n"/>
      <c r="J493" s="20" t="n"/>
      <c r="K493" s="24">
        <f>IF(OR(O493=0,J493=""),0,INDEX(MAPA!$C$5:$C$14,MATCH(J493,MAPA!$A$5:$A$14,0)))</f>
        <v/>
      </c>
      <c r="L493" s="25">
        <f>H493+K493</f>
        <v/>
      </c>
      <c r="M493" s="20" t="n"/>
      <c r="N493" s="20" t="n"/>
      <c r="O493" s="14">
        <f>IF(A493="",0,IF(COUNTIF($A$5:A493,A493)=1,1,0))</f>
        <v/>
      </c>
    </row>
    <row r="494">
      <c r="A494" s="20" t="n"/>
      <c r="B494" s="21" t="n"/>
      <c r="C494" s="20" t="n"/>
      <c r="D494" s="22">
        <f>IF(C494="","",INDEX(MERCADORIA!$B$5:$B$22,MATCH(C494,MERCADORIA!$A$5:$A$22,0)))</f>
        <v/>
      </c>
      <c r="E494" s="22">
        <f>IF(C494="","",INDEX(MERCADORIA!$C$5:$C$22,MATCH(C494,MERCADORIA!$A$5:$A$22,0)))</f>
        <v/>
      </c>
      <c r="F494" s="23" t="n"/>
      <c r="G494" s="24">
        <f>IF(D494="","",INDEX(VALOR!$B$5:$B$8,MATCH(D494,VALOR!$A$5:$A$8,0)))</f>
        <v/>
      </c>
      <c r="H494" s="15">
        <f>IF(OR(G494="",F494=""),0,F494*G494)</f>
        <v/>
      </c>
      <c r="I494" s="20" t="n"/>
      <c r="J494" s="20" t="n"/>
      <c r="K494" s="24">
        <f>IF(OR(O494=0,J494=""),0,INDEX(MAPA!$C$5:$C$14,MATCH(J494,MAPA!$A$5:$A$14,0)))</f>
        <v/>
      </c>
      <c r="L494" s="25">
        <f>H494+K494</f>
        <v/>
      </c>
      <c r="M494" s="20" t="n"/>
      <c r="N494" s="20" t="n"/>
      <c r="O494" s="14">
        <f>IF(A494="",0,IF(COUNTIF($A$5:A494,A494)=1,1,0))</f>
        <v/>
      </c>
    </row>
    <row r="495">
      <c r="A495" s="20" t="n"/>
      <c r="B495" s="21" t="n"/>
      <c r="C495" s="20" t="n"/>
      <c r="D495" s="22">
        <f>IF(C495="","",INDEX(MERCADORIA!$B$5:$B$22,MATCH(C495,MERCADORIA!$A$5:$A$22,0)))</f>
        <v/>
      </c>
      <c r="E495" s="22">
        <f>IF(C495="","",INDEX(MERCADORIA!$C$5:$C$22,MATCH(C495,MERCADORIA!$A$5:$A$22,0)))</f>
        <v/>
      </c>
      <c r="F495" s="23" t="n"/>
      <c r="G495" s="24">
        <f>IF(D495="","",INDEX(VALOR!$B$5:$B$8,MATCH(D495,VALOR!$A$5:$A$8,0)))</f>
        <v/>
      </c>
      <c r="H495" s="15">
        <f>IF(OR(G495="",F495=""),0,F495*G495)</f>
        <v/>
      </c>
      <c r="I495" s="20" t="n"/>
      <c r="J495" s="20" t="n"/>
      <c r="K495" s="24">
        <f>IF(OR(O495=0,J495=""),0,INDEX(MAPA!$C$5:$C$14,MATCH(J495,MAPA!$A$5:$A$14,0)))</f>
        <v/>
      </c>
      <c r="L495" s="25">
        <f>H495+K495</f>
        <v/>
      </c>
      <c r="M495" s="20" t="n"/>
      <c r="N495" s="20" t="n"/>
      <c r="O495" s="14">
        <f>IF(A495="",0,IF(COUNTIF($A$5:A495,A495)=1,1,0))</f>
        <v/>
      </c>
    </row>
    <row r="496">
      <c r="A496" s="20" t="n"/>
      <c r="B496" s="21" t="n"/>
      <c r="C496" s="20" t="n"/>
      <c r="D496" s="22">
        <f>IF(C496="","",INDEX(MERCADORIA!$B$5:$B$22,MATCH(C496,MERCADORIA!$A$5:$A$22,0)))</f>
        <v/>
      </c>
      <c r="E496" s="22">
        <f>IF(C496="","",INDEX(MERCADORIA!$C$5:$C$22,MATCH(C496,MERCADORIA!$A$5:$A$22,0)))</f>
        <v/>
      </c>
      <c r="F496" s="23" t="n"/>
      <c r="G496" s="24">
        <f>IF(D496="","",INDEX(VALOR!$B$5:$B$8,MATCH(D496,VALOR!$A$5:$A$8,0)))</f>
        <v/>
      </c>
      <c r="H496" s="15">
        <f>IF(OR(G496="",F496=""),0,F496*G496)</f>
        <v/>
      </c>
      <c r="I496" s="20" t="n"/>
      <c r="J496" s="20" t="n"/>
      <c r="K496" s="24">
        <f>IF(OR(O496=0,J496=""),0,INDEX(MAPA!$C$5:$C$14,MATCH(J496,MAPA!$A$5:$A$14,0)))</f>
        <v/>
      </c>
      <c r="L496" s="25">
        <f>H496+K496</f>
        <v/>
      </c>
      <c r="M496" s="20" t="n"/>
      <c r="N496" s="20" t="n"/>
      <c r="O496" s="14">
        <f>IF(A496="",0,IF(COUNTIF($A$5:A496,A496)=1,1,0))</f>
        <v/>
      </c>
    </row>
    <row r="497">
      <c r="A497" s="20" t="n"/>
      <c r="B497" s="21" t="n"/>
      <c r="C497" s="20" t="n"/>
      <c r="D497" s="22">
        <f>IF(C497="","",INDEX(MERCADORIA!$B$5:$B$22,MATCH(C497,MERCADORIA!$A$5:$A$22,0)))</f>
        <v/>
      </c>
      <c r="E497" s="22">
        <f>IF(C497="","",INDEX(MERCADORIA!$C$5:$C$22,MATCH(C497,MERCADORIA!$A$5:$A$22,0)))</f>
        <v/>
      </c>
      <c r="F497" s="23" t="n"/>
      <c r="G497" s="24">
        <f>IF(D497="","",INDEX(VALOR!$B$5:$B$8,MATCH(D497,VALOR!$A$5:$A$8,0)))</f>
        <v/>
      </c>
      <c r="H497" s="15">
        <f>IF(OR(G497="",F497=""),0,F497*G497)</f>
        <v/>
      </c>
      <c r="I497" s="20" t="n"/>
      <c r="J497" s="20" t="n"/>
      <c r="K497" s="24">
        <f>IF(OR(O497=0,J497=""),0,INDEX(MAPA!$C$5:$C$14,MATCH(J497,MAPA!$A$5:$A$14,0)))</f>
        <v/>
      </c>
      <c r="L497" s="25">
        <f>H497+K497</f>
        <v/>
      </c>
      <c r="M497" s="20" t="n"/>
      <c r="N497" s="20" t="n"/>
      <c r="O497" s="14">
        <f>IF(A497="",0,IF(COUNTIF($A$5:A497,A497)=1,1,0))</f>
        <v/>
      </c>
    </row>
    <row r="498">
      <c r="A498" s="20" t="n"/>
      <c r="B498" s="21" t="n"/>
      <c r="C498" s="20" t="n"/>
      <c r="D498" s="22">
        <f>IF(C498="","",INDEX(MERCADORIA!$B$5:$B$22,MATCH(C498,MERCADORIA!$A$5:$A$22,0)))</f>
        <v/>
      </c>
      <c r="E498" s="22">
        <f>IF(C498="","",INDEX(MERCADORIA!$C$5:$C$22,MATCH(C498,MERCADORIA!$A$5:$A$22,0)))</f>
        <v/>
      </c>
      <c r="F498" s="23" t="n"/>
      <c r="G498" s="24">
        <f>IF(D498="","",INDEX(VALOR!$B$5:$B$8,MATCH(D498,VALOR!$A$5:$A$8,0)))</f>
        <v/>
      </c>
      <c r="H498" s="15">
        <f>IF(OR(G498="",F498=""),0,F498*G498)</f>
        <v/>
      </c>
      <c r="I498" s="20" t="n"/>
      <c r="J498" s="20" t="n"/>
      <c r="K498" s="24">
        <f>IF(OR(O498=0,J498=""),0,INDEX(MAPA!$C$5:$C$14,MATCH(J498,MAPA!$A$5:$A$14,0)))</f>
        <v/>
      </c>
      <c r="L498" s="25">
        <f>H498+K498</f>
        <v/>
      </c>
      <c r="M498" s="20" t="n"/>
      <c r="N498" s="20" t="n"/>
      <c r="O498" s="14">
        <f>IF(A498="",0,IF(COUNTIF($A$5:A498,A498)=1,1,0))</f>
        <v/>
      </c>
    </row>
    <row r="499">
      <c r="A499" s="20" t="n"/>
      <c r="B499" s="21" t="n"/>
      <c r="C499" s="20" t="n"/>
      <c r="D499" s="22">
        <f>IF(C499="","",INDEX(MERCADORIA!$B$5:$B$22,MATCH(C499,MERCADORIA!$A$5:$A$22,0)))</f>
        <v/>
      </c>
      <c r="E499" s="22">
        <f>IF(C499="","",INDEX(MERCADORIA!$C$5:$C$22,MATCH(C499,MERCADORIA!$A$5:$A$22,0)))</f>
        <v/>
      </c>
      <c r="F499" s="23" t="n"/>
      <c r="G499" s="24">
        <f>IF(D499="","",INDEX(VALOR!$B$5:$B$8,MATCH(D499,VALOR!$A$5:$A$8,0)))</f>
        <v/>
      </c>
      <c r="H499" s="15">
        <f>IF(OR(G499="",F499=""),0,F499*G499)</f>
        <v/>
      </c>
      <c r="I499" s="20" t="n"/>
      <c r="J499" s="20" t="n"/>
      <c r="K499" s="24">
        <f>IF(OR(O499=0,J499=""),0,INDEX(MAPA!$C$5:$C$14,MATCH(J499,MAPA!$A$5:$A$14,0)))</f>
        <v/>
      </c>
      <c r="L499" s="25">
        <f>H499+K499</f>
        <v/>
      </c>
      <c r="M499" s="20" t="n"/>
      <c r="N499" s="20" t="n"/>
      <c r="O499" s="14">
        <f>IF(A499="",0,IF(COUNTIF($A$5:A499,A499)=1,1,0))</f>
        <v/>
      </c>
    </row>
    <row r="500">
      <c r="A500" s="20" t="n"/>
      <c r="B500" s="21" t="n"/>
      <c r="C500" s="20" t="n"/>
      <c r="D500" s="22">
        <f>IF(C500="","",INDEX(MERCADORIA!$B$5:$B$22,MATCH(C500,MERCADORIA!$A$5:$A$22,0)))</f>
        <v/>
      </c>
      <c r="E500" s="22">
        <f>IF(C500="","",INDEX(MERCADORIA!$C$5:$C$22,MATCH(C500,MERCADORIA!$A$5:$A$22,0)))</f>
        <v/>
      </c>
      <c r="F500" s="23" t="n"/>
      <c r="G500" s="24">
        <f>IF(D500="","",INDEX(VALOR!$B$5:$B$8,MATCH(D500,VALOR!$A$5:$A$8,0)))</f>
        <v/>
      </c>
      <c r="H500" s="15">
        <f>IF(OR(G500="",F500=""),0,F500*G500)</f>
        <v/>
      </c>
      <c r="I500" s="20" t="n"/>
      <c r="J500" s="20" t="n"/>
      <c r="K500" s="24">
        <f>IF(OR(O500=0,J500=""),0,INDEX(MAPA!$C$5:$C$14,MATCH(J500,MAPA!$A$5:$A$14,0)))</f>
        <v/>
      </c>
      <c r="L500" s="25">
        <f>H500+K500</f>
        <v/>
      </c>
      <c r="M500" s="20" t="n"/>
      <c r="N500" s="20" t="n"/>
      <c r="O500" s="14">
        <f>IF(A500="",0,IF(COUNTIF($A$5:A500,A500)=1,1,0))</f>
        <v/>
      </c>
    </row>
    <row r="501">
      <c r="A501" s="20" t="n"/>
      <c r="B501" s="21" t="n"/>
      <c r="C501" s="20" t="n"/>
      <c r="D501" s="22">
        <f>IF(C501="","",INDEX(MERCADORIA!$B$5:$B$22,MATCH(C501,MERCADORIA!$A$5:$A$22,0)))</f>
        <v/>
      </c>
      <c r="E501" s="22">
        <f>IF(C501="","",INDEX(MERCADORIA!$C$5:$C$22,MATCH(C501,MERCADORIA!$A$5:$A$22,0)))</f>
        <v/>
      </c>
      <c r="F501" s="23" t="n"/>
      <c r="G501" s="24">
        <f>IF(D501="","",INDEX(VALOR!$B$5:$B$8,MATCH(D501,VALOR!$A$5:$A$8,0)))</f>
        <v/>
      </c>
      <c r="H501" s="15">
        <f>IF(OR(G501="",F501=""),0,F501*G501)</f>
        <v/>
      </c>
      <c r="I501" s="20" t="n"/>
      <c r="J501" s="20" t="n"/>
      <c r="K501" s="24">
        <f>IF(OR(O501=0,J501=""),0,INDEX(MAPA!$C$5:$C$14,MATCH(J501,MAPA!$A$5:$A$14,0)))</f>
        <v/>
      </c>
      <c r="L501" s="25">
        <f>H501+K501</f>
        <v/>
      </c>
      <c r="M501" s="20" t="n"/>
      <c r="N501" s="20" t="n"/>
      <c r="O501" s="14">
        <f>IF(A501="",0,IF(COUNTIF($A$5:A501,A501)=1,1,0))</f>
        <v/>
      </c>
    </row>
    <row r="502">
      <c r="A502" s="20" t="n"/>
      <c r="B502" s="21" t="n"/>
      <c r="C502" s="20" t="n"/>
      <c r="D502" s="22">
        <f>IF(C502="","",INDEX(MERCADORIA!$B$5:$B$22,MATCH(C502,MERCADORIA!$A$5:$A$22,0)))</f>
        <v/>
      </c>
      <c r="E502" s="22">
        <f>IF(C502="","",INDEX(MERCADORIA!$C$5:$C$22,MATCH(C502,MERCADORIA!$A$5:$A$22,0)))</f>
        <v/>
      </c>
      <c r="F502" s="23" t="n"/>
      <c r="G502" s="24">
        <f>IF(D502="","",INDEX(VALOR!$B$5:$B$8,MATCH(D502,VALOR!$A$5:$A$8,0)))</f>
        <v/>
      </c>
      <c r="H502" s="15">
        <f>IF(OR(G502="",F502=""),0,F502*G502)</f>
        <v/>
      </c>
      <c r="I502" s="20" t="n"/>
      <c r="J502" s="20" t="n"/>
      <c r="K502" s="24">
        <f>IF(OR(O502=0,J502=""),0,INDEX(MAPA!$C$5:$C$14,MATCH(J502,MAPA!$A$5:$A$14,0)))</f>
        <v/>
      </c>
      <c r="L502" s="25">
        <f>H502+K502</f>
        <v/>
      </c>
      <c r="M502" s="20" t="n"/>
      <c r="N502" s="20" t="n"/>
      <c r="O502" s="14">
        <f>IF(A502="",0,IF(COUNTIF($A$5:A502,A502)=1,1,0))</f>
        <v/>
      </c>
    </row>
    <row r="503">
      <c r="A503" s="20" t="n"/>
      <c r="B503" s="21" t="n"/>
      <c r="C503" s="20" t="n"/>
      <c r="D503" s="22">
        <f>IF(C503="","",INDEX(MERCADORIA!$B$5:$B$22,MATCH(C503,MERCADORIA!$A$5:$A$22,0)))</f>
        <v/>
      </c>
      <c r="E503" s="22">
        <f>IF(C503="","",INDEX(MERCADORIA!$C$5:$C$22,MATCH(C503,MERCADORIA!$A$5:$A$22,0)))</f>
        <v/>
      </c>
      <c r="F503" s="23" t="n"/>
      <c r="G503" s="24">
        <f>IF(D503="","",INDEX(VALOR!$B$5:$B$8,MATCH(D503,VALOR!$A$5:$A$8,0)))</f>
        <v/>
      </c>
      <c r="H503" s="15">
        <f>IF(OR(G503="",F503=""),0,F503*G503)</f>
        <v/>
      </c>
      <c r="I503" s="20" t="n"/>
      <c r="J503" s="20" t="n"/>
      <c r="K503" s="24">
        <f>IF(OR(O503=0,J503=""),0,INDEX(MAPA!$C$5:$C$14,MATCH(J503,MAPA!$A$5:$A$14,0)))</f>
        <v/>
      </c>
      <c r="L503" s="25">
        <f>H503+K503</f>
        <v/>
      </c>
      <c r="M503" s="20" t="n"/>
      <c r="N503" s="20" t="n"/>
      <c r="O503" s="14">
        <f>IF(A503="",0,IF(COUNTIF($A$5:A503,A503)=1,1,0))</f>
        <v/>
      </c>
    </row>
    <row r="504">
      <c r="A504" s="20" t="n"/>
      <c r="B504" s="21" t="n"/>
      <c r="C504" s="20" t="n"/>
      <c r="D504" s="22">
        <f>IF(C504="","",INDEX(MERCADORIA!$B$5:$B$22,MATCH(C504,MERCADORIA!$A$5:$A$22,0)))</f>
        <v/>
      </c>
      <c r="E504" s="22">
        <f>IF(C504="","",INDEX(MERCADORIA!$C$5:$C$22,MATCH(C504,MERCADORIA!$A$5:$A$22,0)))</f>
        <v/>
      </c>
      <c r="F504" s="23" t="n"/>
      <c r="G504" s="24">
        <f>IF(D504="","",INDEX(VALOR!$B$5:$B$8,MATCH(D504,VALOR!$A$5:$A$8,0)))</f>
        <v/>
      </c>
      <c r="H504" s="15">
        <f>IF(OR(G504="",F504=""),0,F504*G504)</f>
        <v/>
      </c>
      <c r="I504" s="20" t="n"/>
      <c r="J504" s="20" t="n"/>
      <c r="K504" s="24">
        <f>IF(OR(O504=0,J504=""),0,INDEX(MAPA!$C$5:$C$14,MATCH(J504,MAPA!$A$5:$A$14,0)))</f>
        <v/>
      </c>
      <c r="L504" s="25">
        <f>H504+K504</f>
        <v/>
      </c>
      <c r="M504" s="20" t="n"/>
      <c r="N504" s="20" t="n"/>
      <c r="O504" s="14">
        <f>IF(A504="",0,IF(COUNTIF($A$5:A504,A504)=1,1,0))</f>
        <v/>
      </c>
    </row>
    <row r="505">
      <c r="A505" s="20" t="n"/>
      <c r="B505" s="21" t="n"/>
      <c r="C505" s="20" t="n"/>
      <c r="D505" s="22">
        <f>IF(C505="","",INDEX(MERCADORIA!$B$5:$B$22,MATCH(C505,MERCADORIA!$A$5:$A$22,0)))</f>
        <v/>
      </c>
      <c r="E505" s="22">
        <f>IF(C505="","",INDEX(MERCADORIA!$C$5:$C$22,MATCH(C505,MERCADORIA!$A$5:$A$22,0)))</f>
        <v/>
      </c>
      <c r="F505" s="23" t="n"/>
      <c r="G505" s="24">
        <f>IF(D505="","",INDEX(VALOR!$B$5:$B$8,MATCH(D505,VALOR!$A$5:$A$8,0)))</f>
        <v/>
      </c>
      <c r="H505" s="15">
        <f>IF(OR(G505="",F505=""),0,F505*G505)</f>
        <v/>
      </c>
      <c r="I505" s="20" t="n"/>
      <c r="J505" s="20" t="n"/>
      <c r="K505" s="24">
        <f>IF(OR(O505=0,J505=""),0,INDEX(MAPA!$C$5:$C$14,MATCH(J505,MAPA!$A$5:$A$14,0)))</f>
        <v/>
      </c>
      <c r="L505" s="25">
        <f>H505+K505</f>
        <v/>
      </c>
      <c r="M505" s="20" t="n"/>
      <c r="N505" s="20" t="n"/>
      <c r="O505" s="14">
        <f>IF(A505="",0,IF(COUNTIF($A$5:A505,A505)=1,1,0))</f>
        <v/>
      </c>
    </row>
    <row r="506">
      <c r="A506" s="20" t="n"/>
      <c r="B506" s="21" t="n"/>
      <c r="C506" s="20" t="n"/>
      <c r="D506" s="22">
        <f>IF(C506="","",INDEX(MERCADORIA!$B$5:$B$22,MATCH(C506,MERCADORIA!$A$5:$A$22,0)))</f>
        <v/>
      </c>
      <c r="E506" s="22">
        <f>IF(C506="","",INDEX(MERCADORIA!$C$5:$C$22,MATCH(C506,MERCADORIA!$A$5:$A$22,0)))</f>
        <v/>
      </c>
      <c r="F506" s="23" t="n"/>
      <c r="G506" s="24">
        <f>IF(D506="","",INDEX(VALOR!$B$5:$B$8,MATCH(D506,VALOR!$A$5:$A$8,0)))</f>
        <v/>
      </c>
      <c r="H506" s="15">
        <f>IF(OR(G506="",F506=""),0,F506*G506)</f>
        <v/>
      </c>
      <c r="I506" s="20" t="n"/>
      <c r="J506" s="20" t="n"/>
      <c r="K506" s="24">
        <f>IF(OR(O506=0,J506=""),0,INDEX(MAPA!$C$5:$C$14,MATCH(J506,MAPA!$A$5:$A$14,0)))</f>
        <v/>
      </c>
      <c r="L506" s="25">
        <f>H506+K506</f>
        <v/>
      </c>
      <c r="M506" s="20" t="n"/>
      <c r="N506" s="20" t="n"/>
      <c r="O506" s="14">
        <f>IF(A506="",0,IF(COUNTIF($A$5:A506,A506)=1,1,0))</f>
        <v/>
      </c>
    </row>
    <row r="507">
      <c r="A507" s="20" t="n"/>
      <c r="B507" s="21" t="n"/>
      <c r="C507" s="20" t="n"/>
      <c r="D507" s="22">
        <f>IF(C507="","",INDEX(MERCADORIA!$B$5:$B$22,MATCH(C507,MERCADORIA!$A$5:$A$22,0)))</f>
        <v/>
      </c>
      <c r="E507" s="22">
        <f>IF(C507="","",INDEX(MERCADORIA!$C$5:$C$22,MATCH(C507,MERCADORIA!$A$5:$A$22,0)))</f>
        <v/>
      </c>
      <c r="F507" s="23" t="n"/>
      <c r="G507" s="24">
        <f>IF(D507="","",INDEX(VALOR!$B$5:$B$8,MATCH(D507,VALOR!$A$5:$A$8,0)))</f>
        <v/>
      </c>
      <c r="H507" s="15">
        <f>IF(OR(G507="",F507=""),0,F507*G507)</f>
        <v/>
      </c>
      <c r="I507" s="20" t="n"/>
      <c r="J507" s="20" t="n"/>
      <c r="K507" s="24">
        <f>IF(OR(O507=0,J507=""),0,INDEX(MAPA!$C$5:$C$14,MATCH(J507,MAPA!$A$5:$A$14,0)))</f>
        <v/>
      </c>
      <c r="L507" s="25">
        <f>H507+K507</f>
        <v/>
      </c>
      <c r="M507" s="20" t="n"/>
      <c r="N507" s="20" t="n"/>
      <c r="O507" s="14">
        <f>IF(A507="",0,IF(COUNTIF($A$5:A507,A507)=1,1,0))</f>
        <v/>
      </c>
    </row>
    <row r="508">
      <c r="A508" s="20" t="n"/>
      <c r="B508" s="21" t="n"/>
      <c r="C508" s="20" t="n"/>
      <c r="D508" s="22">
        <f>IF(C508="","",INDEX(MERCADORIA!$B$5:$B$22,MATCH(C508,MERCADORIA!$A$5:$A$22,0)))</f>
        <v/>
      </c>
      <c r="E508" s="22">
        <f>IF(C508="","",INDEX(MERCADORIA!$C$5:$C$22,MATCH(C508,MERCADORIA!$A$5:$A$22,0)))</f>
        <v/>
      </c>
      <c r="F508" s="23" t="n"/>
      <c r="G508" s="24">
        <f>IF(D508="","",INDEX(VALOR!$B$5:$B$8,MATCH(D508,VALOR!$A$5:$A$8,0)))</f>
        <v/>
      </c>
      <c r="H508" s="15">
        <f>IF(OR(G508="",F508=""),0,F508*G508)</f>
        <v/>
      </c>
      <c r="I508" s="20" t="n"/>
      <c r="J508" s="20" t="n"/>
      <c r="K508" s="24">
        <f>IF(OR(O508=0,J508=""),0,INDEX(MAPA!$C$5:$C$14,MATCH(J508,MAPA!$A$5:$A$14,0)))</f>
        <v/>
      </c>
      <c r="L508" s="25">
        <f>H508+K508</f>
        <v/>
      </c>
      <c r="M508" s="20" t="n"/>
      <c r="N508" s="20" t="n"/>
      <c r="O508" s="14">
        <f>IF(A508="",0,IF(COUNTIF($A$5:A508,A508)=1,1,0))</f>
        <v/>
      </c>
    </row>
    <row r="509">
      <c r="A509" s="20" t="n"/>
      <c r="B509" s="21" t="n"/>
      <c r="C509" s="20" t="n"/>
      <c r="D509" s="22">
        <f>IF(C509="","",INDEX(MERCADORIA!$B$5:$B$22,MATCH(C509,MERCADORIA!$A$5:$A$22,0)))</f>
        <v/>
      </c>
      <c r="E509" s="22">
        <f>IF(C509="","",INDEX(MERCADORIA!$C$5:$C$22,MATCH(C509,MERCADORIA!$A$5:$A$22,0)))</f>
        <v/>
      </c>
      <c r="F509" s="23" t="n"/>
      <c r="G509" s="24">
        <f>IF(D509="","",INDEX(VALOR!$B$5:$B$8,MATCH(D509,VALOR!$A$5:$A$8,0)))</f>
        <v/>
      </c>
      <c r="H509" s="15">
        <f>IF(OR(G509="",F509=""),0,F509*G509)</f>
        <v/>
      </c>
      <c r="I509" s="20" t="n"/>
      <c r="J509" s="20" t="n"/>
      <c r="K509" s="24">
        <f>IF(OR(O509=0,J509=""),0,INDEX(MAPA!$C$5:$C$14,MATCH(J509,MAPA!$A$5:$A$14,0)))</f>
        <v/>
      </c>
      <c r="L509" s="25">
        <f>H509+K509</f>
        <v/>
      </c>
      <c r="M509" s="20" t="n"/>
      <c r="N509" s="20" t="n"/>
      <c r="O509" s="14">
        <f>IF(A509="",0,IF(COUNTIF($A$5:A509,A509)=1,1,0))</f>
        <v/>
      </c>
    </row>
    <row r="510">
      <c r="A510" s="20" t="n"/>
      <c r="B510" s="21" t="n"/>
      <c r="C510" s="20" t="n"/>
      <c r="D510" s="22">
        <f>IF(C510="","",INDEX(MERCADORIA!$B$5:$B$22,MATCH(C510,MERCADORIA!$A$5:$A$22,0)))</f>
        <v/>
      </c>
      <c r="E510" s="22">
        <f>IF(C510="","",INDEX(MERCADORIA!$C$5:$C$22,MATCH(C510,MERCADORIA!$A$5:$A$22,0)))</f>
        <v/>
      </c>
      <c r="F510" s="23" t="n"/>
      <c r="G510" s="24">
        <f>IF(D510="","",INDEX(VALOR!$B$5:$B$8,MATCH(D510,VALOR!$A$5:$A$8,0)))</f>
        <v/>
      </c>
      <c r="H510" s="15">
        <f>IF(OR(G510="",F510=""),0,F510*G510)</f>
        <v/>
      </c>
      <c r="I510" s="20" t="n"/>
      <c r="J510" s="20" t="n"/>
      <c r="K510" s="24">
        <f>IF(OR(O510=0,J510=""),0,INDEX(MAPA!$C$5:$C$14,MATCH(J510,MAPA!$A$5:$A$14,0)))</f>
        <v/>
      </c>
      <c r="L510" s="25">
        <f>H510+K510</f>
        <v/>
      </c>
      <c r="M510" s="20" t="n"/>
      <c r="N510" s="20" t="n"/>
      <c r="O510" s="14">
        <f>IF(A510="",0,IF(COUNTIF($A$5:A510,A510)=1,1,0))</f>
        <v/>
      </c>
    </row>
    <row r="511">
      <c r="A511" s="20" t="n"/>
      <c r="B511" s="21" t="n"/>
      <c r="C511" s="20" t="n"/>
      <c r="D511" s="22">
        <f>IF(C511="","",INDEX(MERCADORIA!$B$5:$B$22,MATCH(C511,MERCADORIA!$A$5:$A$22,0)))</f>
        <v/>
      </c>
      <c r="E511" s="22">
        <f>IF(C511="","",INDEX(MERCADORIA!$C$5:$C$22,MATCH(C511,MERCADORIA!$A$5:$A$22,0)))</f>
        <v/>
      </c>
      <c r="F511" s="23" t="n"/>
      <c r="G511" s="24">
        <f>IF(D511="","",INDEX(VALOR!$B$5:$B$8,MATCH(D511,VALOR!$A$5:$A$8,0)))</f>
        <v/>
      </c>
      <c r="H511" s="15">
        <f>IF(OR(G511="",F511=""),0,F511*G511)</f>
        <v/>
      </c>
      <c r="I511" s="20" t="n"/>
      <c r="J511" s="20" t="n"/>
      <c r="K511" s="24">
        <f>IF(OR(O511=0,J511=""),0,INDEX(MAPA!$C$5:$C$14,MATCH(J511,MAPA!$A$5:$A$14,0)))</f>
        <v/>
      </c>
      <c r="L511" s="25">
        <f>H511+K511</f>
        <v/>
      </c>
      <c r="M511" s="20" t="n"/>
      <c r="N511" s="20" t="n"/>
      <c r="O511" s="14">
        <f>IF(A511="",0,IF(COUNTIF($A$5:A511,A511)=1,1,0))</f>
        <v/>
      </c>
    </row>
    <row r="512">
      <c r="A512" s="20" t="n"/>
      <c r="B512" s="21" t="n"/>
      <c r="C512" s="20" t="n"/>
      <c r="D512" s="22">
        <f>IF(C512="","",INDEX(MERCADORIA!$B$5:$B$22,MATCH(C512,MERCADORIA!$A$5:$A$22,0)))</f>
        <v/>
      </c>
      <c r="E512" s="22">
        <f>IF(C512="","",INDEX(MERCADORIA!$C$5:$C$22,MATCH(C512,MERCADORIA!$A$5:$A$22,0)))</f>
        <v/>
      </c>
      <c r="F512" s="23" t="n"/>
      <c r="G512" s="24">
        <f>IF(D512="","",INDEX(VALOR!$B$5:$B$8,MATCH(D512,VALOR!$A$5:$A$8,0)))</f>
        <v/>
      </c>
      <c r="H512" s="15">
        <f>IF(OR(G512="",F512=""),0,F512*G512)</f>
        <v/>
      </c>
      <c r="I512" s="20" t="n"/>
      <c r="J512" s="20" t="n"/>
      <c r="K512" s="24">
        <f>IF(OR(O512=0,J512=""),0,INDEX(MAPA!$C$5:$C$14,MATCH(J512,MAPA!$A$5:$A$14,0)))</f>
        <v/>
      </c>
      <c r="L512" s="25">
        <f>H512+K512</f>
        <v/>
      </c>
      <c r="M512" s="20" t="n"/>
      <c r="N512" s="20" t="n"/>
      <c r="O512" s="14">
        <f>IF(A512="",0,IF(COUNTIF($A$5:A512,A512)=1,1,0))</f>
        <v/>
      </c>
    </row>
    <row r="513">
      <c r="A513" s="20" t="n"/>
      <c r="B513" s="21" t="n"/>
      <c r="C513" s="20" t="n"/>
      <c r="D513" s="22">
        <f>IF(C513="","",INDEX(MERCADORIA!$B$5:$B$22,MATCH(C513,MERCADORIA!$A$5:$A$22,0)))</f>
        <v/>
      </c>
      <c r="E513" s="22">
        <f>IF(C513="","",INDEX(MERCADORIA!$C$5:$C$22,MATCH(C513,MERCADORIA!$A$5:$A$22,0)))</f>
        <v/>
      </c>
      <c r="F513" s="23" t="n"/>
      <c r="G513" s="24">
        <f>IF(D513="","",INDEX(VALOR!$B$5:$B$8,MATCH(D513,VALOR!$A$5:$A$8,0)))</f>
        <v/>
      </c>
      <c r="H513" s="15">
        <f>IF(OR(G513="",F513=""),0,F513*G513)</f>
        <v/>
      </c>
      <c r="I513" s="20" t="n"/>
      <c r="J513" s="20" t="n"/>
      <c r="K513" s="24">
        <f>IF(OR(O513=0,J513=""),0,INDEX(MAPA!$C$5:$C$14,MATCH(J513,MAPA!$A$5:$A$14,0)))</f>
        <v/>
      </c>
      <c r="L513" s="25">
        <f>H513+K513</f>
        <v/>
      </c>
      <c r="M513" s="20" t="n"/>
      <c r="N513" s="20" t="n"/>
      <c r="O513" s="14">
        <f>IF(A513="",0,IF(COUNTIF($A$5:A513,A513)=1,1,0))</f>
        <v/>
      </c>
    </row>
    <row r="514">
      <c r="A514" s="20" t="n"/>
      <c r="B514" s="21" t="n"/>
      <c r="C514" s="20" t="n"/>
      <c r="D514" s="22">
        <f>IF(C514="","",INDEX(MERCADORIA!$B$5:$B$22,MATCH(C514,MERCADORIA!$A$5:$A$22,0)))</f>
        <v/>
      </c>
      <c r="E514" s="22">
        <f>IF(C514="","",INDEX(MERCADORIA!$C$5:$C$22,MATCH(C514,MERCADORIA!$A$5:$A$22,0)))</f>
        <v/>
      </c>
      <c r="F514" s="23" t="n"/>
      <c r="G514" s="24">
        <f>IF(D514="","",INDEX(VALOR!$B$5:$B$8,MATCH(D514,VALOR!$A$5:$A$8,0)))</f>
        <v/>
      </c>
      <c r="H514" s="15">
        <f>IF(OR(G514="",F514=""),0,F514*G514)</f>
        <v/>
      </c>
      <c r="I514" s="20" t="n"/>
      <c r="J514" s="20" t="n"/>
      <c r="K514" s="24">
        <f>IF(OR(O514=0,J514=""),0,INDEX(MAPA!$C$5:$C$14,MATCH(J514,MAPA!$A$5:$A$14,0)))</f>
        <v/>
      </c>
      <c r="L514" s="25">
        <f>H514+K514</f>
        <v/>
      </c>
      <c r="M514" s="20" t="n"/>
      <c r="N514" s="20" t="n"/>
      <c r="O514" s="14">
        <f>IF(A514="",0,IF(COUNTIF($A$5:A514,A514)=1,1,0))</f>
        <v/>
      </c>
    </row>
    <row r="515">
      <c r="A515" s="20" t="n"/>
      <c r="B515" s="21" t="n"/>
      <c r="C515" s="20" t="n"/>
      <c r="D515" s="22">
        <f>IF(C515="","",INDEX(MERCADORIA!$B$5:$B$22,MATCH(C515,MERCADORIA!$A$5:$A$22,0)))</f>
        <v/>
      </c>
      <c r="E515" s="22">
        <f>IF(C515="","",INDEX(MERCADORIA!$C$5:$C$22,MATCH(C515,MERCADORIA!$A$5:$A$22,0)))</f>
        <v/>
      </c>
      <c r="F515" s="23" t="n"/>
      <c r="G515" s="24">
        <f>IF(D515="","",INDEX(VALOR!$B$5:$B$8,MATCH(D515,VALOR!$A$5:$A$8,0)))</f>
        <v/>
      </c>
      <c r="H515" s="15">
        <f>IF(OR(G515="",F515=""),0,F515*G515)</f>
        <v/>
      </c>
      <c r="I515" s="20" t="n"/>
      <c r="J515" s="20" t="n"/>
      <c r="K515" s="24">
        <f>IF(OR(O515=0,J515=""),0,INDEX(MAPA!$C$5:$C$14,MATCH(J515,MAPA!$A$5:$A$14,0)))</f>
        <v/>
      </c>
      <c r="L515" s="25">
        <f>H515+K515</f>
        <v/>
      </c>
      <c r="M515" s="20" t="n"/>
      <c r="N515" s="20" t="n"/>
      <c r="O515" s="14">
        <f>IF(A515="",0,IF(COUNTIF($A$5:A515,A515)=1,1,0))</f>
        <v/>
      </c>
    </row>
    <row r="516">
      <c r="A516" s="20" t="n"/>
      <c r="B516" s="21" t="n"/>
      <c r="C516" s="20" t="n"/>
      <c r="D516" s="22">
        <f>IF(C516="","",INDEX(MERCADORIA!$B$5:$B$22,MATCH(C516,MERCADORIA!$A$5:$A$22,0)))</f>
        <v/>
      </c>
      <c r="E516" s="22">
        <f>IF(C516="","",INDEX(MERCADORIA!$C$5:$C$22,MATCH(C516,MERCADORIA!$A$5:$A$22,0)))</f>
        <v/>
      </c>
      <c r="F516" s="23" t="n"/>
      <c r="G516" s="24">
        <f>IF(D516="","",INDEX(VALOR!$B$5:$B$8,MATCH(D516,VALOR!$A$5:$A$8,0)))</f>
        <v/>
      </c>
      <c r="H516" s="15">
        <f>IF(OR(G516="",F516=""),0,F516*G516)</f>
        <v/>
      </c>
      <c r="I516" s="20" t="n"/>
      <c r="J516" s="20" t="n"/>
      <c r="K516" s="24">
        <f>IF(OR(O516=0,J516=""),0,INDEX(MAPA!$C$5:$C$14,MATCH(J516,MAPA!$A$5:$A$14,0)))</f>
        <v/>
      </c>
      <c r="L516" s="25">
        <f>H516+K516</f>
        <v/>
      </c>
      <c r="M516" s="20" t="n"/>
      <c r="N516" s="20" t="n"/>
      <c r="O516" s="14">
        <f>IF(A516="",0,IF(COUNTIF($A$5:A516,A516)=1,1,0))</f>
        <v/>
      </c>
    </row>
    <row r="517">
      <c r="A517" s="20" t="n"/>
      <c r="B517" s="21" t="n"/>
      <c r="C517" s="20" t="n"/>
      <c r="D517" s="22">
        <f>IF(C517="","",INDEX(MERCADORIA!$B$5:$B$22,MATCH(C517,MERCADORIA!$A$5:$A$22,0)))</f>
        <v/>
      </c>
      <c r="E517" s="22">
        <f>IF(C517="","",INDEX(MERCADORIA!$C$5:$C$22,MATCH(C517,MERCADORIA!$A$5:$A$22,0)))</f>
        <v/>
      </c>
      <c r="F517" s="23" t="n"/>
      <c r="G517" s="24">
        <f>IF(D517="","",INDEX(VALOR!$B$5:$B$8,MATCH(D517,VALOR!$A$5:$A$8,0)))</f>
        <v/>
      </c>
      <c r="H517" s="15">
        <f>IF(OR(G517="",F517=""),0,F517*G517)</f>
        <v/>
      </c>
      <c r="I517" s="20" t="n"/>
      <c r="J517" s="20" t="n"/>
      <c r="K517" s="24">
        <f>IF(OR(O517=0,J517=""),0,INDEX(MAPA!$C$5:$C$14,MATCH(J517,MAPA!$A$5:$A$14,0)))</f>
        <v/>
      </c>
      <c r="L517" s="25">
        <f>H517+K517</f>
        <v/>
      </c>
      <c r="M517" s="20" t="n"/>
      <c r="N517" s="20" t="n"/>
      <c r="O517" s="14">
        <f>IF(A517="",0,IF(COUNTIF($A$5:A517,A517)=1,1,0))</f>
        <v/>
      </c>
    </row>
    <row r="518">
      <c r="A518" s="20" t="n"/>
      <c r="B518" s="21" t="n"/>
      <c r="C518" s="20" t="n"/>
      <c r="D518" s="22">
        <f>IF(C518="","",INDEX(MERCADORIA!$B$5:$B$22,MATCH(C518,MERCADORIA!$A$5:$A$22,0)))</f>
        <v/>
      </c>
      <c r="E518" s="22">
        <f>IF(C518="","",INDEX(MERCADORIA!$C$5:$C$22,MATCH(C518,MERCADORIA!$A$5:$A$22,0)))</f>
        <v/>
      </c>
      <c r="F518" s="23" t="n"/>
      <c r="G518" s="24">
        <f>IF(D518="","",INDEX(VALOR!$B$5:$B$8,MATCH(D518,VALOR!$A$5:$A$8,0)))</f>
        <v/>
      </c>
      <c r="H518" s="15">
        <f>IF(OR(G518="",F518=""),0,F518*G518)</f>
        <v/>
      </c>
      <c r="I518" s="20" t="n"/>
      <c r="J518" s="20" t="n"/>
      <c r="K518" s="24">
        <f>IF(OR(O518=0,J518=""),0,INDEX(MAPA!$C$5:$C$14,MATCH(J518,MAPA!$A$5:$A$14,0)))</f>
        <v/>
      </c>
      <c r="L518" s="25">
        <f>H518+K518</f>
        <v/>
      </c>
      <c r="M518" s="20" t="n"/>
      <c r="N518" s="20" t="n"/>
      <c r="O518" s="14">
        <f>IF(A518="",0,IF(COUNTIF($A$5:A518,A518)=1,1,0))</f>
        <v/>
      </c>
    </row>
    <row r="519">
      <c r="A519" s="20" t="n"/>
      <c r="B519" s="21" t="n"/>
      <c r="C519" s="20" t="n"/>
      <c r="D519" s="22">
        <f>IF(C519="","",INDEX(MERCADORIA!$B$5:$B$22,MATCH(C519,MERCADORIA!$A$5:$A$22,0)))</f>
        <v/>
      </c>
      <c r="E519" s="22">
        <f>IF(C519="","",INDEX(MERCADORIA!$C$5:$C$22,MATCH(C519,MERCADORIA!$A$5:$A$22,0)))</f>
        <v/>
      </c>
      <c r="F519" s="23" t="n"/>
      <c r="G519" s="24">
        <f>IF(D519="","",INDEX(VALOR!$B$5:$B$8,MATCH(D519,VALOR!$A$5:$A$8,0)))</f>
        <v/>
      </c>
      <c r="H519" s="15">
        <f>IF(OR(G519="",F519=""),0,F519*G519)</f>
        <v/>
      </c>
      <c r="I519" s="20" t="n"/>
      <c r="J519" s="20" t="n"/>
      <c r="K519" s="24">
        <f>IF(OR(O519=0,J519=""),0,INDEX(MAPA!$C$5:$C$14,MATCH(J519,MAPA!$A$5:$A$14,0)))</f>
        <v/>
      </c>
      <c r="L519" s="25">
        <f>H519+K519</f>
        <v/>
      </c>
      <c r="M519" s="20" t="n"/>
      <c r="N519" s="20" t="n"/>
      <c r="O519" s="14">
        <f>IF(A519="",0,IF(COUNTIF($A$5:A519,A519)=1,1,0))</f>
        <v/>
      </c>
    </row>
    <row r="520">
      <c r="A520" s="20" t="n"/>
      <c r="B520" s="21" t="n"/>
      <c r="C520" s="20" t="n"/>
      <c r="D520" s="22">
        <f>IF(C520="","",INDEX(MERCADORIA!$B$5:$B$22,MATCH(C520,MERCADORIA!$A$5:$A$22,0)))</f>
        <v/>
      </c>
      <c r="E520" s="22">
        <f>IF(C520="","",INDEX(MERCADORIA!$C$5:$C$22,MATCH(C520,MERCADORIA!$A$5:$A$22,0)))</f>
        <v/>
      </c>
      <c r="F520" s="23" t="n"/>
      <c r="G520" s="24">
        <f>IF(D520="","",INDEX(VALOR!$B$5:$B$8,MATCH(D520,VALOR!$A$5:$A$8,0)))</f>
        <v/>
      </c>
      <c r="H520" s="15">
        <f>IF(OR(G520="",F520=""),0,F520*G520)</f>
        <v/>
      </c>
      <c r="I520" s="20" t="n"/>
      <c r="J520" s="20" t="n"/>
      <c r="K520" s="24">
        <f>IF(OR(O520=0,J520=""),0,INDEX(MAPA!$C$5:$C$14,MATCH(J520,MAPA!$A$5:$A$14,0)))</f>
        <v/>
      </c>
      <c r="L520" s="25">
        <f>H520+K520</f>
        <v/>
      </c>
      <c r="M520" s="20" t="n"/>
      <c r="N520" s="20" t="n"/>
      <c r="O520" s="14">
        <f>IF(A520="",0,IF(COUNTIF($A$5:A520,A520)=1,1,0))</f>
        <v/>
      </c>
    </row>
    <row r="521">
      <c r="A521" s="20" t="n"/>
      <c r="B521" s="21" t="n"/>
      <c r="C521" s="20" t="n"/>
      <c r="D521" s="22">
        <f>IF(C521="","",INDEX(MERCADORIA!$B$5:$B$22,MATCH(C521,MERCADORIA!$A$5:$A$22,0)))</f>
        <v/>
      </c>
      <c r="E521" s="22">
        <f>IF(C521="","",INDEX(MERCADORIA!$C$5:$C$22,MATCH(C521,MERCADORIA!$A$5:$A$22,0)))</f>
        <v/>
      </c>
      <c r="F521" s="23" t="n"/>
      <c r="G521" s="24">
        <f>IF(D521="","",INDEX(VALOR!$B$5:$B$8,MATCH(D521,VALOR!$A$5:$A$8,0)))</f>
        <v/>
      </c>
      <c r="H521" s="15">
        <f>IF(OR(G521="",F521=""),0,F521*G521)</f>
        <v/>
      </c>
      <c r="I521" s="20" t="n"/>
      <c r="J521" s="20" t="n"/>
      <c r="K521" s="24">
        <f>IF(OR(O521=0,J521=""),0,INDEX(MAPA!$C$5:$C$14,MATCH(J521,MAPA!$A$5:$A$14,0)))</f>
        <v/>
      </c>
      <c r="L521" s="25">
        <f>H521+K521</f>
        <v/>
      </c>
      <c r="M521" s="20" t="n"/>
      <c r="N521" s="20" t="n"/>
      <c r="O521" s="14">
        <f>IF(A521="",0,IF(COUNTIF($A$5:A521,A521)=1,1,0))</f>
        <v/>
      </c>
    </row>
    <row r="522">
      <c r="A522" s="20" t="n"/>
      <c r="B522" s="21" t="n"/>
      <c r="C522" s="20" t="n"/>
      <c r="D522" s="22">
        <f>IF(C522="","",INDEX(MERCADORIA!$B$5:$B$22,MATCH(C522,MERCADORIA!$A$5:$A$22,0)))</f>
        <v/>
      </c>
      <c r="E522" s="22">
        <f>IF(C522="","",INDEX(MERCADORIA!$C$5:$C$22,MATCH(C522,MERCADORIA!$A$5:$A$22,0)))</f>
        <v/>
      </c>
      <c r="F522" s="23" t="n"/>
      <c r="G522" s="24">
        <f>IF(D522="","",INDEX(VALOR!$B$5:$B$8,MATCH(D522,VALOR!$A$5:$A$8,0)))</f>
        <v/>
      </c>
      <c r="H522" s="15">
        <f>IF(OR(G522="",F522=""),0,F522*G522)</f>
        <v/>
      </c>
      <c r="I522" s="20" t="n"/>
      <c r="J522" s="20" t="n"/>
      <c r="K522" s="24">
        <f>IF(OR(O522=0,J522=""),0,INDEX(MAPA!$C$5:$C$14,MATCH(J522,MAPA!$A$5:$A$14,0)))</f>
        <v/>
      </c>
      <c r="L522" s="25">
        <f>H522+K522</f>
        <v/>
      </c>
      <c r="M522" s="20" t="n"/>
      <c r="N522" s="20" t="n"/>
      <c r="O522" s="14">
        <f>IF(A522="",0,IF(COUNTIF($A$5:A522,A522)=1,1,0))</f>
        <v/>
      </c>
    </row>
    <row r="523">
      <c r="A523" s="20" t="n"/>
      <c r="B523" s="21" t="n"/>
      <c r="C523" s="20" t="n"/>
      <c r="D523" s="22">
        <f>IF(C523="","",INDEX(MERCADORIA!$B$5:$B$22,MATCH(C523,MERCADORIA!$A$5:$A$22,0)))</f>
        <v/>
      </c>
      <c r="E523" s="22">
        <f>IF(C523="","",INDEX(MERCADORIA!$C$5:$C$22,MATCH(C523,MERCADORIA!$A$5:$A$22,0)))</f>
        <v/>
      </c>
      <c r="F523" s="23" t="n"/>
      <c r="G523" s="24">
        <f>IF(D523="","",INDEX(VALOR!$B$5:$B$8,MATCH(D523,VALOR!$A$5:$A$8,0)))</f>
        <v/>
      </c>
      <c r="H523" s="15">
        <f>IF(OR(G523="",F523=""),0,F523*G523)</f>
        <v/>
      </c>
      <c r="I523" s="20" t="n"/>
      <c r="J523" s="20" t="n"/>
      <c r="K523" s="24">
        <f>IF(OR(O523=0,J523=""),0,INDEX(MAPA!$C$5:$C$14,MATCH(J523,MAPA!$A$5:$A$14,0)))</f>
        <v/>
      </c>
      <c r="L523" s="25">
        <f>H523+K523</f>
        <v/>
      </c>
      <c r="M523" s="20" t="n"/>
      <c r="N523" s="20" t="n"/>
      <c r="O523" s="14">
        <f>IF(A523="",0,IF(COUNTIF($A$5:A523,A523)=1,1,0))</f>
        <v/>
      </c>
    </row>
    <row r="524">
      <c r="A524" s="20" t="n"/>
      <c r="B524" s="21" t="n"/>
      <c r="C524" s="20" t="n"/>
      <c r="D524" s="22">
        <f>IF(C524="","",INDEX(MERCADORIA!$B$5:$B$22,MATCH(C524,MERCADORIA!$A$5:$A$22,0)))</f>
        <v/>
      </c>
      <c r="E524" s="22">
        <f>IF(C524="","",INDEX(MERCADORIA!$C$5:$C$22,MATCH(C524,MERCADORIA!$A$5:$A$22,0)))</f>
        <v/>
      </c>
      <c r="F524" s="23" t="n"/>
      <c r="G524" s="24">
        <f>IF(D524="","",INDEX(VALOR!$B$5:$B$8,MATCH(D524,VALOR!$A$5:$A$8,0)))</f>
        <v/>
      </c>
      <c r="H524" s="15">
        <f>IF(OR(G524="",F524=""),0,F524*G524)</f>
        <v/>
      </c>
      <c r="I524" s="20" t="n"/>
      <c r="J524" s="20" t="n"/>
      <c r="K524" s="24">
        <f>IF(OR(O524=0,J524=""),0,INDEX(MAPA!$C$5:$C$14,MATCH(J524,MAPA!$A$5:$A$14,0)))</f>
        <v/>
      </c>
      <c r="L524" s="25">
        <f>H524+K524</f>
        <v/>
      </c>
      <c r="M524" s="20" t="n"/>
      <c r="N524" s="20" t="n"/>
      <c r="O524" s="14">
        <f>IF(A524="",0,IF(COUNTIF($A$5:A524,A524)=1,1,0))</f>
        <v/>
      </c>
    </row>
    <row r="525">
      <c r="A525" s="20" t="n"/>
      <c r="B525" s="21" t="n"/>
      <c r="C525" s="20" t="n"/>
      <c r="D525" s="22">
        <f>IF(C525="","",INDEX(MERCADORIA!$B$5:$B$22,MATCH(C525,MERCADORIA!$A$5:$A$22,0)))</f>
        <v/>
      </c>
      <c r="E525" s="22">
        <f>IF(C525="","",INDEX(MERCADORIA!$C$5:$C$22,MATCH(C525,MERCADORIA!$A$5:$A$22,0)))</f>
        <v/>
      </c>
      <c r="F525" s="23" t="n"/>
      <c r="G525" s="24">
        <f>IF(D525="","",INDEX(VALOR!$B$5:$B$8,MATCH(D525,VALOR!$A$5:$A$8,0)))</f>
        <v/>
      </c>
      <c r="H525" s="15">
        <f>IF(OR(G525="",F525=""),0,F525*G525)</f>
        <v/>
      </c>
      <c r="I525" s="20" t="n"/>
      <c r="J525" s="20" t="n"/>
      <c r="K525" s="24">
        <f>IF(OR(O525=0,J525=""),0,INDEX(MAPA!$C$5:$C$14,MATCH(J525,MAPA!$A$5:$A$14,0)))</f>
        <v/>
      </c>
      <c r="L525" s="25">
        <f>H525+K525</f>
        <v/>
      </c>
      <c r="M525" s="20" t="n"/>
      <c r="N525" s="20" t="n"/>
      <c r="O525" s="14">
        <f>IF(A525="",0,IF(COUNTIF($A$5:A525,A525)=1,1,0))</f>
        <v/>
      </c>
    </row>
    <row r="526">
      <c r="A526" s="20" t="n"/>
      <c r="B526" s="21" t="n"/>
      <c r="C526" s="20" t="n"/>
      <c r="D526" s="22">
        <f>IF(C526="","",INDEX(MERCADORIA!$B$5:$B$22,MATCH(C526,MERCADORIA!$A$5:$A$22,0)))</f>
        <v/>
      </c>
      <c r="E526" s="22">
        <f>IF(C526="","",INDEX(MERCADORIA!$C$5:$C$22,MATCH(C526,MERCADORIA!$A$5:$A$22,0)))</f>
        <v/>
      </c>
      <c r="F526" s="23" t="n"/>
      <c r="G526" s="24">
        <f>IF(D526="","",INDEX(VALOR!$B$5:$B$8,MATCH(D526,VALOR!$A$5:$A$8,0)))</f>
        <v/>
      </c>
      <c r="H526" s="15">
        <f>IF(OR(G526="",F526=""),0,F526*G526)</f>
        <v/>
      </c>
      <c r="I526" s="20" t="n"/>
      <c r="J526" s="20" t="n"/>
      <c r="K526" s="24">
        <f>IF(OR(O526=0,J526=""),0,INDEX(MAPA!$C$5:$C$14,MATCH(J526,MAPA!$A$5:$A$14,0)))</f>
        <v/>
      </c>
      <c r="L526" s="25">
        <f>H526+K526</f>
        <v/>
      </c>
      <c r="M526" s="20" t="n"/>
      <c r="N526" s="20" t="n"/>
      <c r="O526" s="14">
        <f>IF(A526="",0,IF(COUNTIF($A$5:A526,A526)=1,1,0))</f>
        <v/>
      </c>
    </row>
    <row r="527">
      <c r="A527" s="20" t="n"/>
      <c r="B527" s="21" t="n"/>
      <c r="C527" s="20" t="n"/>
      <c r="D527" s="22">
        <f>IF(C527="","",INDEX(MERCADORIA!$B$5:$B$22,MATCH(C527,MERCADORIA!$A$5:$A$22,0)))</f>
        <v/>
      </c>
      <c r="E527" s="22">
        <f>IF(C527="","",INDEX(MERCADORIA!$C$5:$C$22,MATCH(C527,MERCADORIA!$A$5:$A$22,0)))</f>
        <v/>
      </c>
      <c r="F527" s="23" t="n"/>
      <c r="G527" s="24">
        <f>IF(D527="","",INDEX(VALOR!$B$5:$B$8,MATCH(D527,VALOR!$A$5:$A$8,0)))</f>
        <v/>
      </c>
      <c r="H527" s="15">
        <f>IF(OR(G527="",F527=""),0,F527*G527)</f>
        <v/>
      </c>
      <c r="I527" s="20" t="n"/>
      <c r="J527" s="20" t="n"/>
      <c r="K527" s="24">
        <f>IF(OR(O527=0,J527=""),0,INDEX(MAPA!$C$5:$C$14,MATCH(J527,MAPA!$A$5:$A$14,0)))</f>
        <v/>
      </c>
      <c r="L527" s="25">
        <f>H527+K527</f>
        <v/>
      </c>
      <c r="M527" s="20" t="n"/>
      <c r="N527" s="20" t="n"/>
      <c r="O527" s="14">
        <f>IF(A527="",0,IF(COUNTIF($A$5:A527,A527)=1,1,0))</f>
        <v/>
      </c>
    </row>
    <row r="528">
      <c r="A528" s="20" t="n"/>
      <c r="B528" s="21" t="n"/>
      <c r="C528" s="20" t="n"/>
      <c r="D528" s="22">
        <f>IF(C528="","",INDEX(MERCADORIA!$B$5:$B$22,MATCH(C528,MERCADORIA!$A$5:$A$22,0)))</f>
        <v/>
      </c>
      <c r="E528" s="22">
        <f>IF(C528="","",INDEX(MERCADORIA!$C$5:$C$22,MATCH(C528,MERCADORIA!$A$5:$A$22,0)))</f>
        <v/>
      </c>
      <c r="F528" s="23" t="n"/>
      <c r="G528" s="24">
        <f>IF(D528="","",INDEX(VALOR!$B$5:$B$8,MATCH(D528,VALOR!$A$5:$A$8,0)))</f>
        <v/>
      </c>
      <c r="H528" s="15">
        <f>IF(OR(G528="",F528=""),0,F528*G528)</f>
        <v/>
      </c>
      <c r="I528" s="20" t="n"/>
      <c r="J528" s="20" t="n"/>
      <c r="K528" s="24">
        <f>IF(OR(O528=0,J528=""),0,INDEX(MAPA!$C$5:$C$14,MATCH(J528,MAPA!$A$5:$A$14,0)))</f>
        <v/>
      </c>
      <c r="L528" s="25">
        <f>H528+K528</f>
        <v/>
      </c>
      <c r="M528" s="20" t="n"/>
      <c r="N528" s="20" t="n"/>
      <c r="O528" s="14">
        <f>IF(A528="",0,IF(COUNTIF($A$5:A528,A528)=1,1,0))</f>
        <v/>
      </c>
    </row>
    <row r="529">
      <c r="A529" s="20" t="n"/>
      <c r="B529" s="21" t="n"/>
      <c r="C529" s="20" t="n"/>
      <c r="D529" s="22">
        <f>IF(C529="","",INDEX(MERCADORIA!$B$5:$B$22,MATCH(C529,MERCADORIA!$A$5:$A$22,0)))</f>
        <v/>
      </c>
      <c r="E529" s="22">
        <f>IF(C529="","",INDEX(MERCADORIA!$C$5:$C$22,MATCH(C529,MERCADORIA!$A$5:$A$22,0)))</f>
        <v/>
      </c>
      <c r="F529" s="23" t="n"/>
      <c r="G529" s="24">
        <f>IF(D529="","",INDEX(VALOR!$B$5:$B$8,MATCH(D529,VALOR!$A$5:$A$8,0)))</f>
        <v/>
      </c>
      <c r="H529" s="15">
        <f>IF(OR(G529="",F529=""),0,F529*G529)</f>
        <v/>
      </c>
      <c r="I529" s="20" t="n"/>
      <c r="J529" s="20" t="n"/>
      <c r="K529" s="24">
        <f>IF(OR(O529=0,J529=""),0,INDEX(MAPA!$C$5:$C$14,MATCH(J529,MAPA!$A$5:$A$14,0)))</f>
        <v/>
      </c>
      <c r="L529" s="25">
        <f>H529+K529</f>
        <v/>
      </c>
      <c r="M529" s="20" t="n"/>
      <c r="N529" s="20" t="n"/>
      <c r="O529" s="14">
        <f>IF(A529="",0,IF(COUNTIF($A$5:A529,A529)=1,1,0))</f>
        <v/>
      </c>
    </row>
    <row r="530">
      <c r="A530" s="20" t="n"/>
      <c r="B530" s="21" t="n"/>
      <c r="C530" s="20" t="n"/>
      <c r="D530" s="22">
        <f>IF(C530="","",INDEX(MERCADORIA!$B$5:$B$22,MATCH(C530,MERCADORIA!$A$5:$A$22,0)))</f>
        <v/>
      </c>
      <c r="E530" s="22">
        <f>IF(C530="","",INDEX(MERCADORIA!$C$5:$C$22,MATCH(C530,MERCADORIA!$A$5:$A$22,0)))</f>
        <v/>
      </c>
      <c r="F530" s="23" t="n"/>
      <c r="G530" s="24">
        <f>IF(D530="","",INDEX(VALOR!$B$5:$B$8,MATCH(D530,VALOR!$A$5:$A$8,0)))</f>
        <v/>
      </c>
      <c r="H530" s="15">
        <f>IF(OR(G530="",F530=""),0,F530*G530)</f>
        <v/>
      </c>
      <c r="I530" s="20" t="n"/>
      <c r="J530" s="20" t="n"/>
      <c r="K530" s="24">
        <f>IF(OR(O530=0,J530=""),0,INDEX(MAPA!$C$5:$C$14,MATCH(J530,MAPA!$A$5:$A$14,0)))</f>
        <v/>
      </c>
      <c r="L530" s="25">
        <f>H530+K530</f>
        <v/>
      </c>
      <c r="M530" s="20" t="n"/>
      <c r="N530" s="20" t="n"/>
      <c r="O530" s="14">
        <f>IF(A530="",0,IF(COUNTIF($A$5:A530,A530)=1,1,0))</f>
        <v/>
      </c>
    </row>
    <row r="531">
      <c r="A531" s="20" t="n"/>
      <c r="B531" s="21" t="n"/>
      <c r="C531" s="20" t="n"/>
      <c r="D531" s="22">
        <f>IF(C531="","",INDEX(MERCADORIA!$B$5:$B$22,MATCH(C531,MERCADORIA!$A$5:$A$22,0)))</f>
        <v/>
      </c>
      <c r="E531" s="22">
        <f>IF(C531="","",INDEX(MERCADORIA!$C$5:$C$22,MATCH(C531,MERCADORIA!$A$5:$A$22,0)))</f>
        <v/>
      </c>
      <c r="F531" s="23" t="n"/>
      <c r="G531" s="24">
        <f>IF(D531="","",INDEX(VALOR!$B$5:$B$8,MATCH(D531,VALOR!$A$5:$A$8,0)))</f>
        <v/>
      </c>
      <c r="H531" s="15">
        <f>IF(OR(G531="",F531=""),0,F531*G531)</f>
        <v/>
      </c>
      <c r="I531" s="20" t="n"/>
      <c r="J531" s="20" t="n"/>
      <c r="K531" s="24">
        <f>IF(OR(O531=0,J531=""),0,INDEX(MAPA!$C$5:$C$14,MATCH(J531,MAPA!$A$5:$A$14,0)))</f>
        <v/>
      </c>
      <c r="L531" s="25">
        <f>H531+K531</f>
        <v/>
      </c>
      <c r="M531" s="20" t="n"/>
      <c r="N531" s="20" t="n"/>
      <c r="O531" s="14">
        <f>IF(A531="",0,IF(COUNTIF($A$5:A531,A531)=1,1,0))</f>
        <v/>
      </c>
    </row>
    <row r="532">
      <c r="A532" s="20" t="n"/>
      <c r="B532" s="21" t="n"/>
      <c r="C532" s="20" t="n"/>
      <c r="D532" s="22">
        <f>IF(C532="","",INDEX(MERCADORIA!$B$5:$B$22,MATCH(C532,MERCADORIA!$A$5:$A$22,0)))</f>
        <v/>
      </c>
      <c r="E532" s="22">
        <f>IF(C532="","",INDEX(MERCADORIA!$C$5:$C$22,MATCH(C532,MERCADORIA!$A$5:$A$22,0)))</f>
        <v/>
      </c>
      <c r="F532" s="23" t="n"/>
      <c r="G532" s="24">
        <f>IF(D532="","",INDEX(VALOR!$B$5:$B$8,MATCH(D532,VALOR!$A$5:$A$8,0)))</f>
        <v/>
      </c>
      <c r="H532" s="15">
        <f>IF(OR(G532="",F532=""),0,F532*G532)</f>
        <v/>
      </c>
      <c r="I532" s="20" t="n"/>
      <c r="J532" s="20" t="n"/>
      <c r="K532" s="24">
        <f>IF(OR(O532=0,J532=""),0,INDEX(MAPA!$C$5:$C$14,MATCH(J532,MAPA!$A$5:$A$14,0)))</f>
        <v/>
      </c>
      <c r="L532" s="25">
        <f>H532+K532</f>
        <v/>
      </c>
      <c r="M532" s="20" t="n"/>
      <c r="N532" s="20" t="n"/>
      <c r="O532" s="14">
        <f>IF(A532="",0,IF(COUNTIF($A$5:A532,A532)=1,1,0))</f>
        <v/>
      </c>
    </row>
    <row r="533">
      <c r="A533" s="20" t="n"/>
      <c r="B533" s="21" t="n"/>
      <c r="C533" s="20" t="n"/>
      <c r="D533" s="22">
        <f>IF(C533="","",INDEX(MERCADORIA!$B$5:$B$22,MATCH(C533,MERCADORIA!$A$5:$A$22,0)))</f>
        <v/>
      </c>
      <c r="E533" s="22">
        <f>IF(C533="","",INDEX(MERCADORIA!$C$5:$C$22,MATCH(C533,MERCADORIA!$A$5:$A$22,0)))</f>
        <v/>
      </c>
      <c r="F533" s="23" t="n"/>
      <c r="G533" s="24">
        <f>IF(D533="","",INDEX(VALOR!$B$5:$B$8,MATCH(D533,VALOR!$A$5:$A$8,0)))</f>
        <v/>
      </c>
      <c r="H533" s="15">
        <f>IF(OR(G533="",F533=""),0,F533*G533)</f>
        <v/>
      </c>
      <c r="I533" s="20" t="n"/>
      <c r="J533" s="20" t="n"/>
      <c r="K533" s="24">
        <f>IF(OR(O533=0,J533=""),0,INDEX(MAPA!$C$5:$C$14,MATCH(J533,MAPA!$A$5:$A$14,0)))</f>
        <v/>
      </c>
      <c r="L533" s="25">
        <f>H533+K533</f>
        <v/>
      </c>
      <c r="M533" s="20" t="n"/>
      <c r="N533" s="20" t="n"/>
      <c r="O533" s="14">
        <f>IF(A533="",0,IF(COUNTIF($A$5:A533,A533)=1,1,0))</f>
        <v/>
      </c>
    </row>
    <row r="534">
      <c r="A534" s="20" t="n"/>
      <c r="B534" s="21" t="n"/>
      <c r="C534" s="20" t="n"/>
      <c r="D534" s="22">
        <f>IF(C534="","",INDEX(MERCADORIA!$B$5:$B$22,MATCH(C534,MERCADORIA!$A$5:$A$22,0)))</f>
        <v/>
      </c>
      <c r="E534" s="22">
        <f>IF(C534="","",INDEX(MERCADORIA!$C$5:$C$22,MATCH(C534,MERCADORIA!$A$5:$A$22,0)))</f>
        <v/>
      </c>
      <c r="F534" s="23" t="n"/>
      <c r="G534" s="24">
        <f>IF(D534="","",INDEX(VALOR!$B$5:$B$8,MATCH(D534,VALOR!$A$5:$A$8,0)))</f>
        <v/>
      </c>
      <c r="H534" s="15">
        <f>IF(OR(G534="",F534=""),0,F534*G534)</f>
        <v/>
      </c>
      <c r="I534" s="20" t="n"/>
      <c r="J534" s="20" t="n"/>
      <c r="K534" s="24">
        <f>IF(OR(O534=0,J534=""),0,INDEX(MAPA!$C$5:$C$14,MATCH(J534,MAPA!$A$5:$A$14,0)))</f>
        <v/>
      </c>
      <c r="L534" s="25">
        <f>H534+K534</f>
        <v/>
      </c>
      <c r="M534" s="20" t="n"/>
      <c r="N534" s="20" t="n"/>
      <c r="O534" s="14">
        <f>IF(A534="",0,IF(COUNTIF($A$5:A534,A534)=1,1,0))</f>
        <v/>
      </c>
    </row>
    <row r="535">
      <c r="A535" s="20" t="n"/>
      <c r="B535" s="21" t="n"/>
      <c r="C535" s="20" t="n"/>
      <c r="D535" s="22">
        <f>IF(C535="","",INDEX(MERCADORIA!$B$5:$B$22,MATCH(C535,MERCADORIA!$A$5:$A$22,0)))</f>
        <v/>
      </c>
      <c r="E535" s="22">
        <f>IF(C535="","",INDEX(MERCADORIA!$C$5:$C$22,MATCH(C535,MERCADORIA!$A$5:$A$22,0)))</f>
        <v/>
      </c>
      <c r="F535" s="23" t="n"/>
      <c r="G535" s="24">
        <f>IF(D535="","",INDEX(VALOR!$B$5:$B$8,MATCH(D535,VALOR!$A$5:$A$8,0)))</f>
        <v/>
      </c>
      <c r="H535" s="15">
        <f>IF(OR(G535="",F535=""),0,F535*G535)</f>
        <v/>
      </c>
      <c r="I535" s="20" t="n"/>
      <c r="J535" s="20" t="n"/>
      <c r="K535" s="24">
        <f>IF(OR(O535=0,J535=""),0,INDEX(MAPA!$C$5:$C$14,MATCH(J535,MAPA!$A$5:$A$14,0)))</f>
        <v/>
      </c>
      <c r="L535" s="25">
        <f>H535+K535</f>
        <v/>
      </c>
      <c r="M535" s="20" t="n"/>
      <c r="N535" s="20" t="n"/>
      <c r="O535" s="14">
        <f>IF(A535="",0,IF(COUNTIF($A$5:A535,A535)=1,1,0))</f>
        <v/>
      </c>
    </row>
    <row r="536">
      <c r="A536" s="20" t="n"/>
      <c r="B536" s="21" t="n"/>
      <c r="C536" s="20" t="n"/>
      <c r="D536" s="22">
        <f>IF(C536="","",INDEX(MERCADORIA!$B$5:$B$22,MATCH(C536,MERCADORIA!$A$5:$A$22,0)))</f>
        <v/>
      </c>
      <c r="E536" s="22">
        <f>IF(C536="","",INDEX(MERCADORIA!$C$5:$C$22,MATCH(C536,MERCADORIA!$A$5:$A$22,0)))</f>
        <v/>
      </c>
      <c r="F536" s="23" t="n"/>
      <c r="G536" s="24">
        <f>IF(D536="","",INDEX(VALOR!$B$5:$B$8,MATCH(D536,VALOR!$A$5:$A$8,0)))</f>
        <v/>
      </c>
      <c r="H536" s="15">
        <f>IF(OR(G536="",F536=""),0,F536*G536)</f>
        <v/>
      </c>
      <c r="I536" s="20" t="n"/>
      <c r="J536" s="20" t="n"/>
      <c r="K536" s="24">
        <f>IF(OR(O536=0,J536=""),0,INDEX(MAPA!$C$5:$C$14,MATCH(J536,MAPA!$A$5:$A$14,0)))</f>
        <v/>
      </c>
      <c r="L536" s="25">
        <f>H536+K536</f>
        <v/>
      </c>
      <c r="M536" s="20" t="n"/>
      <c r="N536" s="20" t="n"/>
      <c r="O536" s="14">
        <f>IF(A536="",0,IF(COUNTIF($A$5:A536,A536)=1,1,0))</f>
        <v/>
      </c>
    </row>
    <row r="537">
      <c r="A537" s="20" t="n"/>
      <c r="B537" s="21" t="n"/>
      <c r="C537" s="20" t="n"/>
      <c r="D537" s="22">
        <f>IF(C537="","",INDEX(MERCADORIA!$B$5:$B$22,MATCH(C537,MERCADORIA!$A$5:$A$22,0)))</f>
        <v/>
      </c>
      <c r="E537" s="22">
        <f>IF(C537="","",INDEX(MERCADORIA!$C$5:$C$22,MATCH(C537,MERCADORIA!$A$5:$A$22,0)))</f>
        <v/>
      </c>
      <c r="F537" s="23" t="n"/>
      <c r="G537" s="24">
        <f>IF(D537="","",INDEX(VALOR!$B$5:$B$8,MATCH(D537,VALOR!$A$5:$A$8,0)))</f>
        <v/>
      </c>
      <c r="H537" s="15">
        <f>IF(OR(G537="",F537=""),0,F537*G537)</f>
        <v/>
      </c>
      <c r="I537" s="20" t="n"/>
      <c r="J537" s="20" t="n"/>
      <c r="K537" s="24">
        <f>IF(OR(O537=0,J537=""),0,INDEX(MAPA!$C$5:$C$14,MATCH(J537,MAPA!$A$5:$A$14,0)))</f>
        <v/>
      </c>
      <c r="L537" s="25">
        <f>H537+K537</f>
        <v/>
      </c>
      <c r="M537" s="20" t="n"/>
      <c r="N537" s="20" t="n"/>
      <c r="O537" s="14">
        <f>IF(A537="",0,IF(COUNTIF($A$5:A537,A537)=1,1,0))</f>
        <v/>
      </c>
    </row>
    <row r="538">
      <c r="A538" s="20" t="n"/>
      <c r="B538" s="21" t="n"/>
      <c r="C538" s="20" t="n"/>
      <c r="D538" s="22">
        <f>IF(C538="","",INDEX(MERCADORIA!$B$5:$B$22,MATCH(C538,MERCADORIA!$A$5:$A$22,0)))</f>
        <v/>
      </c>
      <c r="E538" s="22">
        <f>IF(C538="","",INDEX(MERCADORIA!$C$5:$C$22,MATCH(C538,MERCADORIA!$A$5:$A$22,0)))</f>
        <v/>
      </c>
      <c r="F538" s="23" t="n"/>
      <c r="G538" s="24">
        <f>IF(D538="","",INDEX(VALOR!$B$5:$B$8,MATCH(D538,VALOR!$A$5:$A$8,0)))</f>
        <v/>
      </c>
      <c r="H538" s="15">
        <f>IF(OR(G538="",F538=""),0,F538*G538)</f>
        <v/>
      </c>
      <c r="I538" s="20" t="n"/>
      <c r="J538" s="20" t="n"/>
      <c r="K538" s="24">
        <f>IF(OR(O538=0,J538=""),0,INDEX(MAPA!$C$5:$C$14,MATCH(J538,MAPA!$A$5:$A$14,0)))</f>
        <v/>
      </c>
      <c r="L538" s="25">
        <f>H538+K538</f>
        <v/>
      </c>
      <c r="M538" s="20" t="n"/>
      <c r="N538" s="20" t="n"/>
      <c r="O538" s="14">
        <f>IF(A538="",0,IF(COUNTIF($A$5:A538,A538)=1,1,0))</f>
        <v/>
      </c>
    </row>
    <row r="539">
      <c r="A539" s="20" t="n"/>
      <c r="B539" s="21" t="n"/>
      <c r="C539" s="20" t="n"/>
      <c r="D539" s="22">
        <f>IF(C539="","",INDEX(MERCADORIA!$B$5:$B$22,MATCH(C539,MERCADORIA!$A$5:$A$22,0)))</f>
        <v/>
      </c>
      <c r="E539" s="22">
        <f>IF(C539="","",INDEX(MERCADORIA!$C$5:$C$22,MATCH(C539,MERCADORIA!$A$5:$A$22,0)))</f>
        <v/>
      </c>
      <c r="F539" s="23" t="n"/>
      <c r="G539" s="24">
        <f>IF(D539="","",INDEX(VALOR!$B$5:$B$8,MATCH(D539,VALOR!$A$5:$A$8,0)))</f>
        <v/>
      </c>
      <c r="H539" s="15">
        <f>IF(OR(G539="",F539=""),0,F539*G539)</f>
        <v/>
      </c>
      <c r="I539" s="20" t="n"/>
      <c r="J539" s="20" t="n"/>
      <c r="K539" s="24">
        <f>IF(OR(O539=0,J539=""),0,INDEX(MAPA!$C$5:$C$14,MATCH(J539,MAPA!$A$5:$A$14,0)))</f>
        <v/>
      </c>
      <c r="L539" s="25">
        <f>H539+K539</f>
        <v/>
      </c>
      <c r="M539" s="20" t="n"/>
      <c r="N539" s="20" t="n"/>
      <c r="O539" s="14">
        <f>IF(A539="",0,IF(COUNTIF($A$5:A539,A539)=1,1,0))</f>
        <v/>
      </c>
    </row>
    <row r="540">
      <c r="A540" s="20" t="n"/>
      <c r="B540" s="21" t="n"/>
      <c r="C540" s="20" t="n"/>
      <c r="D540" s="22">
        <f>IF(C540="","",INDEX(MERCADORIA!$B$5:$B$22,MATCH(C540,MERCADORIA!$A$5:$A$22,0)))</f>
        <v/>
      </c>
      <c r="E540" s="22">
        <f>IF(C540="","",INDEX(MERCADORIA!$C$5:$C$22,MATCH(C540,MERCADORIA!$A$5:$A$22,0)))</f>
        <v/>
      </c>
      <c r="F540" s="23" t="n"/>
      <c r="G540" s="24">
        <f>IF(D540="","",INDEX(VALOR!$B$5:$B$8,MATCH(D540,VALOR!$A$5:$A$8,0)))</f>
        <v/>
      </c>
      <c r="H540" s="15">
        <f>IF(OR(G540="",F540=""),0,F540*G540)</f>
        <v/>
      </c>
      <c r="I540" s="20" t="n"/>
      <c r="J540" s="20" t="n"/>
      <c r="K540" s="24">
        <f>IF(OR(O540=0,J540=""),0,INDEX(MAPA!$C$5:$C$14,MATCH(J540,MAPA!$A$5:$A$14,0)))</f>
        <v/>
      </c>
      <c r="L540" s="25">
        <f>H540+K540</f>
        <v/>
      </c>
      <c r="M540" s="20" t="n"/>
      <c r="N540" s="20" t="n"/>
      <c r="O540" s="14">
        <f>IF(A540="",0,IF(COUNTIF($A$5:A540,A540)=1,1,0))</f>
        <v/>
      </c>
    </row>
    <row r="541">
      <c r="A541" s="20" t="n"/>
      <c r="B541" s="21" t="n"/>
      <c r="C541" s="20" t="n"/>
      <c r="D541" s="22">
        <f>IF(C541="","",INDEX(MERCADORIA!$B$5:$B$22,MATCH(C541,MERCADORIA!$A$5:$A$22,0)))</f>
        <v/>
      </c>
      <c r="E541" s="22">
        <f>IF(C541="","",INDEX(MERCADORIA!$C$5:$C$22,MATCH(C541,MERCADORIA!$A$5:$A$22,0)))</f>
        <v/>
      </c>
      <c r="F541" s="23" t="n"/>
      <c r="G541" s="24">
        <f>IF(D541="","",INDEX(VALOR!$B$5:$B$8,MATCH(D541,VALOR!$A$5:$A$8,0)))</f>
        <v/>
      </c>
      <c r="H541" s="15">
        <f>IF(OR(G541="",F541=""),0,F541*G541)</f>
        <v/>
      </c>
      <c r="I541" s="20" t="n"/>
      <c r="J541" s="20" t="n"/>
      <c r="K541" s="24">
        <f>IF(OR(O541=0,J541=""),0,INDEX(MAPA!$C$5:$C$14,MATCH(J541,MAPA!$A$5:$A$14,0)))</f>
        <v/>
      </c>
      <c r="L541" s="25">
        <f>H541+K541</f>
        <v/>
      </c>
      <c r="M541" s="20" t="n"/>
      <c r="N541" s="20" t="n"/>
      <c r="O541" s="14">
        <f>IF(A541="",0,IF(COUNTIF($A$5:A541,A541)=1,1,0))</f>
        <v/>
      </c>
    </row>
    <row r="542">
      <c r="A542" s="20" t="n"/>
      <c r="B542" s="21" t="n"/>
      <c r="C542" s="20" t="n"/>
      <c r="D542" s="22">
        <f>IF(C542="","",INDEX(MERCADORIA!$B$5:$B$22,MATCH(C542,MERCADORIA!$A$5:$A$22,0)))</f>
        <v/>
      </c>
      <c r="E542" s="22">
        <f>IF(C542="","",INDEX(MERCADORIA!$C$5:$C$22,MATCH(C542,MERCADORIA!$A$5:$A$22,0)))</f>
        <v/>
      </c>
      <c r="F542" s="23" t="n"/>
      <c r="G542" s="24">
        <f>IF(D542="","",INDEX(VALOR!$B$5:$B$8,MATCH(D542,VALOR!$A$5:$A$8,0)))</f>
        <v/>
      </c>
      <c r="H542" s="15">
        <f>IF(OR(G542="",F542=""),0,F542*G542)</f>
        <v/>
      </c>
      <c r="I542" s="20" t="n"/>
      <c r="J542" s="20" t="n"/>
      <c r="K542" s="24">
        <f>IF(OR(O542=0,J542=""),0,INDEX(MAPA!$C$5:$C$14,MATCH(J542,MAPA!$A$5:$A$14,0)))</f>
        <v/>
      </c>
      <c r="L542" s="25">
        <f>H542+K542</f>
        <v/>
      </c>
      <c r="M542" s="20" t="n"/>
      <c r="N542" s="20" t="n"/>
      <c r="O542" s="14">
        <f>IF(A542="",0,IF(COUNTIF($A$5:A542,A542)=1,1,0))</f>
        <v/>
      </c>
    </row>
    <row r="543">
      <c r="A543" s="20" t="n"/>
      <c r="B543" s="21" t="n"/>
      <c r="C543" s="20" t="n"/>
      <c r="D543" s="22">
        <f>IF(C543="","",INDEX(MERCADORIA!$B$5:$B$22,MATCH(C543,MERCADORIA!$A$5:$A$22,0)))</f>
        <v/>
      </c>
      <c r="E543" s="22">
        <f>IF(C543="","",INDEX(MERCADORIA!$C$5:$C$22,MATCH(C543,MERCADORIA!$A$5:$A$22,0)))</f>
        <v/>
      </c>
      <c r="F543" s="23" t="n"/>
      <c r="G543" s="24">
        <f>IF(D543="","",INDEX(VALOR!$B$5:$B$8,MATCH(D543,VALOR!$A$5:$A$8,0)))</f>
        <v/>
      </c>
      <c r="H543" s="15">
        <f>IF(OR(G543="",F543=""),0,F543*G543)</f>
        <v/>
      </c>
      <c r="I543" s="20" t="n"/>
      <c r="J543" s="20" t="n"/>
      <c r="K543" s="24">
        <f>IF(OR(O543=0,J543=""),0,INDEX(MAPA!$C$5:$C$14,MATCH(J543,MAPA!$A$5:$A$14,0)))</f>
        <v/>
      </c>
      <c r="L543" s="25">
        <f>H543+K543</f>
        <v/>
      </c>
      <c r="M543" s="20" t="n"/>
      <c r="N543" s="20" t="n"/>
      <c r="O543" s="14">
        <f>IF(A543="",0,IF(COUNTIF($A$5:A543,A543)=1,1,0))</f>
        <v/>
      </c>
    </row>
    <row r="544">
      <c r="A544" s="20" t="n"/>
      <c r="B544" s="21" t="n"/>
      <c r="C544" s="20" t="n"/>
      <c r="D544" s="22">
        <f>IF(C544="","",INDEX(MERCADORIA!$B$5:$B$22,MATCH(C544,MERCADORIA!$A$5:$A$22,0)))</f>
        <v/>
      </c>
      <c r="E544" s="22">
        <f>IF(C544="","",INDEX(MERCADORIA!$C$5:$C$22,MATCH(C544,MERCADORIA!$A$5:$A$22,0)))</f>
        <v/>
      </c>
      <c r="F544" s="23" t="n"/>
      <c r="G544" s="24">
        <f>IF(D544="","",INDEX(VALOR!$B$5:$B$8,MATCH(D544,VALOR!$A$5:$A$8,0)))</f>
        <v/>
      </c>
      <c r="H544" s="15">
        <f>IF(OR(G544="",F544=""),0,F544*G544)</f>
        <v/>
      </c>
      <c r="I544" s="20" t="n"/>
      <c r="J544" s="20" t="n"/>
      <c r="K544" s="24">
        <f>IF(OR(O544=0,J544=""),0,INDEX(MAPA!$C$5:$C$14,MATCH(J544,MAPA!$A$5:$A$14,0)))</f>
        <v/>
      </c>
      <c r="L544" s="25">
        <f>H544+K544</f>
        <v/>
      </c>
      <c r="M544" s="20" t="n"/>
      <c r="N544" s="20" t="n"/>
      <c r="O544" s="14">
        <f>IF(A544="",0,IF(COUNTIF($A$5:A544,A544)=1,1,0))</f>
        <v/>
      </c>
    </row>
    <row r="545">
      <c r="A545" s="20" t="n"/>
      <c r="B545" s="21" t="n"/>
      <c r="C545" s="20" t="n"/>
      <c r="D545" s="22">
        <f>IF(C545="","",INDEX(MERCADORIA!$B$5:$B$22,MATCH(C545,MERCADORIA!$A$5:$A$22,0)))</f>
        <v/>
      </c>
      <c r="E545" s="22">
        <f>IF(C545="","",INDEX(MERCADORIA!$C$5:$C$22,MATCH(C545,MERCADORIA!$A$5:$A$22,0)))</f>
        <v/>
      </c>
      <c r="F545" s="23" t="n"/>
      <c r="G545" s="24">
        <f>IF(D545="","",INDEX(VALOR!$B$5:$B$8,MATCH(D545,VALOR!$A$5:$A$8,0)))</f>
        <v/>
      </c>
      <c r="H545" s="15">
        <f>IF(OR(G545="",F545=""),0,F545*G545)</f>
        <v/>
      </c>
      <c r="I545" s="20" t="n"/>
      <c r="J545" s="20" t="n"/>
      <c r="K545" s="24">
        <f>IF(OR(O545=0,J545=""),0,INDEX(MAPA!$C$5:$C$14,MATCH(J545,MAPA!$A$5:$A$14,0)))</f>
        <v/>
      </c>
      <c r="L545" s="25">
        <f>H545+K545</f>
        <v/>
      </c>
      <c r="M545" s="20" t="n"/>
      <c r="N545" s="20" t="n"/>
      <c r="O545" s="14">
        <f>IF(A545="",0,IF(COUNTIF($A$5:A545,A545)=1,1,0))</f>
        <v/>
      </c>
    </row>
    <row r="546">
      <c r="A546" s="20" t="n"/>
      <c r="B546" s="21" t="n"/>
      <c r="C546" s="20" t="n"/>
      <c r="D546" s="22">
        <f>IF(C546="","",INDEX(MERCADORIA!$B$5:$B$22,MATCH(C546,MERCADORIA!$A$5:$A$22,0)))</f>
        <v/>
      </c>
      <c r="E546" s="22">
        <f>IF(C546="","",INDEX(MERCADORIA!$C$5:$C$22,MATCH(C546,MERCADORIA!$A$5:$A$22,0)))</f>
        <v/>
      </c>
      <c r="F546" s="23" t="n"/>
      <c r="G546" s="24">
        <f>IF(D546="","",INDEX(VALOR!$B$5:$B$8,MATCH(D546,VALOR!$A$5:$A$8,0)))</f>
        <v/>
      </c>
      <c r="H546" s="15">
        <f>IF(OR(G546="",F546=""),0,F546*G546)</f>
        <v/>
      </c>
      <c r="I546" s="20" t="n"/>
      <c r="J546" s="20" t="n"/>
      <c r="K546" s="24">
        <f>IF(OR(O546=0,J546=""),0,INDEX(MAPA!$C$5:$C$14,MATCH(J546,MAPA!$A$5:$A$14,0)))</f>
        <v/>
      </c>
      <c r="L546" s="25">
        <f>H546+K546</f>
        <v/>
      </c>
      <c r="M546" s="20" t="n"/>
      <c r="N546" s="20" t="n"/>
      <c r="O546" s="14">
        <f>IF(A546="",0,IF(COUNTIF($A$5:A546,A546)=1,1,0))</f>
        <v/>
      </c>
    </row>
    <row r="547">
      <c r="A547" s="20" t="n"/>
      <c r="B547" s="21" t="n"/>
      <c r="C547" s="20" t="n"/>
      <c r="D547" s="22">
        <f>IF(C547="","",INDEX(MERCADORIA!$B$5:$B$22,MATCH(C547,MERCADORIA!$A$5:$A$22,0)))</f>
        <v/>
      </c>
      <c r="E547" s="22">
        <f>IF(C547="","",INDEX(MERCADORIA!$C$5:$C$22,MATCH(C547,MERCADORIA!$A$5:$A$22,0)))</f>
        <v/>
      </c>
      <c r="F547" s="23" t="n"/>
      <c r="G547" s="24">
        <f>IF(D547="","",INDEX(VALOR!$B$5:$B$8,MATCH(D547,VALOR!$A$5:$A$8,0)))</f>
        <v/>
      </c>
      <c r="H547" s="15">
        <f>IF(OR(G547="",F547=""),0,F547*G547)</f>
        <v/>
      </c>
      <c r="I547" s="20" t="n"/>
      <c r="J547" s="20" t="n"/>
      <c r="K547" s="24">
        <f>IF(OR(O547=0,J547=""),0,INDEX(MAPA!$C$5:$C$14,MATCH(J547,MAPA!$A$5:$A$14,0)))</f>
        <v/>
      </c>
      <c r="L547" s="25">
        <f>H547+K547</f>
        <v/>
      </c>
      <c r="M547" s="20" t="n"/>
      <c r="N547" s="20" t="n"/>
      <c r="O547" s="14">
        <f>IF(A547="",0,IF(COUNTIF($A$5:A547,A547)=1,1,0))</f>
        <v/>
      </c>
    </row>
    <row r="548">
      <c r="A548" s="20" t="n"/>
      <c r="B548" s="21" t="n"/>
      <c r="C548" s="20" t="n"/>
      <c r="D548" s="22">
        <f>IF(C548="","",INDEX(MERCADORIA!$B$5:$B$22,MATCH(C548,MERCADORIA!$A$5:$A$22,0)))</f>
        <v/>
      </c>
      <c r="E548" s="22">
        <f>IF(C548="","",INDEX(MERCADORIA!$C$5:$C$22,MATCH(C548,MERCADORIA!$A$5:$A$22,0)))</f>
        <v/>
      </c>
      <c r="F548" s="23" t="n"/>
      <c r="G548" s="24">
        <f>IF(D548="","",INDEX(VALOR!$B$5:$B$8,MATCH(D548,VALOR!$A$5:$A$8,0)))</f>
        <v/>
      </c>
      <c r="H548" s="15">
        <f>IF(OR(G548="",F548=""),0,F548*G548)</f>
        <v/>
      </c>
      <c r="I548" s="20" t="n"/>
      <c r="J548" s="20" t="n"/>
      <c r="K548" s="24">
        <f>IF(OR(O548=0,J548=""),0,INDEX(MAPA!$C$5:$C$14,MATCH(J548,MAPA!$A$5:$A$14,0)))</f>
        <v/>
      </c>
      <c r="L548" s="25">
        <f>H548+K548</f>
        <v/>
      </c>
      <c r="M548" s="20" t="n"/>
      <c r="N548" s="20" t="n"/>
      <c r="O548" s="14">
        <f>IF(A548="",0,IF(COUNTIF($A$5:A548,A548)=1,1,0))</f>
        <v/>
      </c>
    </row>
    <row r="549">
      <c r="A549" s="20" t="n"/>
      <c r="B549" s="21" t="n"/>
      <c r="C549" s="20" t="n"/>
      <c r="D549" s="22">
        <f>IF(C549="","",INDEX(MERCADORIA!$B$5:$B$22,MATCH(C549,MERCADORIA!$A$5:$A$22,0)))</f>
        <v/>
      </c>
      <c r="E549" s="22">
        <f>IF(C549="","",INDEX(MERCADORIA!$C$5:$C$22,MATCH(C549,MERCADORIA!$A$5:$A$22,0)))</f>
        <v/>
      </c>
      <c r="F549" s="23" t="n"/>
      <c r="G549" s="24">
        <f>IF(D549="","",INDEX(VALOR!$B$5:$B$8,MATCH(D549,VALOR!$A$5:$A$8,0)))</f>
        <v/>
      </c>
      <c r="H549" s="15">
        <f>IF(OR(G549="",F549=""),0,F549*G549)</f>
        <v/>
      </c>
      <c r="I549" s="20" t="n"/>
      <c r="J549" s="20" t="n"/>
      <c r="K549" s="24">
        <f>IF(OR(O549=0,J549=""),0,INDEX(MAPA!$C$5:$C$14,MATCH(J549,MAPA!$A$5:$A$14,0)))</f>
        <v/>
      </c>
      <c r="L549" s="25">
        <f>H549+K549</f>
        <v/>
      </c>
      <c r="M549" s="20" t="n"/>
      <c r="N549" s="20" t="n"/>
      <c r="O549" s="14">
        <f>IF(A549="",0,IF(COUNTIF($A$5:A549,A549)=1,1,0))</f>
        <v/>
      </c>
    </row>
    <row r="550">
      <c r="A550" s="20" t="n"/>
      <c r="B550" s="21" t="n"/>
      <c r="C550" s="20" t="n"/>
      <c r="D550" s="22">
        <f>IF(C550="","",INDEX(MERCADORIA!$B$5:$B$22,MATCH(C550,MERCADORIA!$A$5:$A$22,0)))</f>
        <v/>
      </c>
      <c r="E550" s="22">
        <f>IF(C550="","",INDEX(MERCADORIA!$C$5:$C$22,MATCH(C550,MERCADORIA!$A$5:$A$22,0)))</f>
        <v/>
      </c>
      <c r="F550" s="23" t="n"/>
      <c r="G550" s="24">
        <f>IF(D550="","",INDEX(VALOR!$B$5:$B$8,MATCH(D550,VALOR!$A$5:$A$8,0)))</f>
        <v/>
      </c>
      <c r="H550" s="15">
        <f>IF(OR(G550="",F550=""),0,F550*G550)</f>
        <v/>
      </c>
      <c r="I550" s="20" t="n"/>
      <c r="J550" s="20" t="n"/>
      <c r="K550" s="24">
        <f>IF(OR(O550=0,J550=""),0,INDEX(MAPA!$C$5:$C$14,MATCH(J550,MAPA!$A$5:$A$14,0)))</f>
        <v/>
      </c>
      <c r="L550" s="25">
        <f>H550+K550</f>
        <v/>
      </c>
      <c r="M550" s="20" t="n"/>
      <c r="N550" s="20" t="n"/>
      <c r="O550" s="14">
        <f>IF(A550="",0,IF(COUNTIF($A$5:A550,A550)=1,1,0))</f>
        <v/>
      </c>
    </row>
    <row r="551">
      <c r="A551" s="20" t="n"/>
      <c r="B551" s="21" t="n"/>
      <c r="C551" s="20" t="n"/>
      <c r="D551" s="22">
        <f>IF(C551="","",INDEX(MERCADORIA!$B$5:$B$22,MATCH(C551,MERCADORIA!$A$5:$A$22,0)))</f>
        <v/>
      </c>
      <c r="E551" s="22">
        <f>IF(C551="","",INDEX(MERCADORIA!$C$5:$C$22,MATCH(C551,MERCADORIA!$A$5:$A$22,0)))</f>
        <v/>
      </c>
      <c r="F551" s="23" t="n"/>
      <c r="G551" s="24">
        <f>IF(D551="","",INDEX(VALOR!$B$5:$B$8,MATCH(D551,VALOR!$A$5:$A$8,0)))</f>
        <v/>
      </c>
      <c r="H551" s="15">
        <f>IF(OR(G551="",F551=""),0,F551*G551)</f>
        <v/>
      </c>
      <c r="I551" s="20" t="n"/>
      <c r="J551" s="20" t="n"/>
      <c r="K551" s="24">
        <f>IF(OR(O551=0,J551=""),0,INDEX(MAPA!$C$5:$C$14,MATCH(J551,MAPA!$A$5:$A$14,0)))</f>
        <v/>
      </c>
      <c r="L551" s="25">
        <f>H551+K551</f>
        <v/>
      </c>
      <c r="M551" s="20" t="n"/>
      <c r="N551" s="20" t="n"/>
      <c r="O551" s="14">
        <f>IF(A551="",0,IF(COUNTIF($A$5:A551,A551)=1,1,0))</f>
        <v/>
      </c>
    </row>
    <row r="552">
      <c r="A552" s="20" t="n"/>
      <c r="B552" s="21" t="n"/>
      <c r="C552" s="20" t="n"/>
      <c r="D552" s="22">
        <f>IF(C552="","",INDEX(MERCADORIA!$B$5:$B$22,MATCH(C552,MERCADORIA!$A$5:$A$22,0)))</f>
        <v/>
      </c>
      <c r="E552" s="22">
        <f>IF(C552="","",INDEX(MERCADORIA!$C$5:$C$22,MATCH(C552,MERCADORIA!$A$5:$A$22,0)))</f>
        <v/>
      </c>
      <c r="F552" s="23" t="n"/>
      <c r="G552" s="24">
        <f>IF(D552="","",INDEX(VALOR!$B$5:$B$8,MATCH(D552,VALOR!$A$5:$A$8,0)))</f>
        <v/>
      </c>
      <c r="H552" s="15">
        <f>IF(OR(G552="",F552=""),0,F552*G552)</f>
        <v/>
      </c>
      <c r="I552" s="20" t="n"/>
      <c r="J552" s="20" t="n"/>
      <c r="K552" s="24">
        <f>IF(OR(O552=0,J552=""),0,INDEX(MAPA!$C$5:$C$14,MATCH(J552,MAPA!$A$5:$A$14,0)))</f>
        <v/>
      </c>
      <c r="L552" s="25">
        <f>H552+K552</f>
        <v/>
      </c>
      <c r="M552" s="20" t="n"/>
      <c r="N552" s="20" t="n"/>
      <c r="O552" s="14">
        <f>IF(A552="",0,IF(COUNTIF($A$5:A552,A552)=1,1,0))</f>
        <v/>
      </c>
    </row>
    <row r="553">
      <c r="A553" s="20" t="n"/>
      <c r="B553" s="21" t="n"/>
      <c r="C553" s="20" t="n"/>
      <c r="D553" s="22">
        <f>IF(C553="","",INDEX(MERCADORIA!$B$5:$B$22,MATCH(C553,MERCADORIA!$A$5:$A$22,0)))</f>
        <v/>
      </c>
      <c r="E553" s="22">
        <f>IF(C553="","",INDEX(MERCADORIA!$C$5:$C$22,MATCH(C553,MERCADORIA!$A$5:$A$22,0)))</f>
        <v/>
      </c>
      <c r="F553" s="23" t="n"/>
      <c r="G553" s="24">
        <f>IF(D553="","",INDEX(VALOR!$B$5:$B$8,MATCH(D553,VALOR!$A$5:$A$8,0)))</f>
        <v/>
      </c>
      <c r="H553" s="15">
        <f>IF(OR(G553="",F553=""),0,F553*G553)</f>
        <v/>
      </c>
      <c r="I553" s="20" t="n"/>
      <c r="J553" s="20" t="n"/>
      <c r="K553" s="24">
        <f>IF(OR(O553=0,J553=""),0,INDEX(MAPA!$C$5:$C$14,MATCH(J553,MAPA!$A$5:$A$14,0)))</f>
        <v/>
      </c>
      <c r="L553" s="25">
        <f>H553+K553</f>
        <v/>
      </c>
      <c r="M553" s="20" t="n"/>
      <c r="N553" s="20" t="n"/>
      <c r="O553" s="14">
        <f>IF(A553="",0,IF(COUNTIF($A$5:A553,A553)=1,1,0))</f>
        <v/>
      </c>
    </row>
    <row r="554">
      <c r="A554" s="20" t="n"/>
      <c r="B554" s="21" t="n"/>
      <c r="C554" s="20" t="n"/>
      <c r="D554" s="22">
        <f>IF(C554="","",INDEX(MERCADORIA!$B$5:$B$22,MATCH(C554,MERCADORIA!$A$5:$A$22,0)))</f>
        <v/>
      </c>
      <c r="E554" s="22">
        <f>IF(C554="","",INDEX(MERCADORIA!$C$5:$C$22,MATCH(C554,MERCADORIA!$A$5:$A$22,0)))</f>
        <v/>
      </c>
      <c r="F554" s="23" t="n"/>
      <c r="G554" s="24">
        <f>IF(D554="","",INDEX(VALOR!$B$5:$B$8,MATCH(D554,VALOR!$A$5:$A$8,0)))</f>
        <v/>
      </c>
      <c r="H554" s="15">
        <f>IF(OR(G554="",F554=""),0,F554*G554)</f>
        <v/>
      </c>
      <c r="I554" s="20" t="n"/>
      <c r="J554" s="20" t="n"/>
      <c r="K554" s="24">
        <f>IF(OR(O554=0,J554=""),0,INDEX(MAPA!$C$5:$C$14,MATCH(J554,MAPA!$A$5:$A$14,0)))</f>
        <v/>
      </c>
      <c r="L554" s="25">
        <f>H554+K554</f>
        <v/>
      </c>
      <c r="M554" s="20" t="n"/>
      <c r="N554" s="20" t="n"/>
      <c r="O554" s="14">
        <f>IF(A554="",0,IF(COUNTIF($A$5:A554,A554)=1,1,0))</f>
        <v/>
      </c>
    </row>
    <row r="555">
      <c r="A555" s="20" t="n"/>
      <c r="B555" s="21" t="n"/>
      <c r="C555" s="20" t="n"/>
      <c r="D555" s="22">
        <f>IF(C555="","",INDEX(MERCADORIA!$B$5:$B$22,MATCH(C555,MERCADORIA!$A$5:$A$22,0)))</f>
        <v/>
      </c>
      <c r="E555" s="22">
        <f>IF(C555="","",INDEX(MERCADORIA!$C$5:$C$22,MATCH(C555,MERCADORIA!$A$5:$A$22,0)))</f>
        <v/>
      </c>
      <c r="F555" s="23" t="n"/>
      <c r="G555" s="24">
        <f>IF(D555="","",INDEX(VALOR!$B$5:$B$8,MATCH(D555,VALOR!$A$5:$A$8,0)))</f>
        <v/>
      </c>
      <c r="H555" s="15">
        <f>IF(OR(G555="",F555=""),0,F555*G555)</f>
        <v/>
      </c>
      <c r="I555" s="20" t="n"/>
      <c r="J555" s="20" t="n"/>
      <c r="K555" s="24">
        <f>IF(OR(O555=0,J555=""),0,INDEX(MAPA!$C$5:$C$14,MATCH(J555,MAPA!$A$5:$A$14,0)))</f>
        <v/>
      </c>
      <c r="L555" s="25">
        <f>H555+K555</f>
        <v/>
      </c>
      <c r="M555" s="20" t="n"/>
      <c r="N555" s="20" t="n"/>
      <c r="O555" s="14">
        <f>IF(A555="",0,IF(COUNTIF($A$5:A555,A555)=1,1,0))</f>
        <v/>
      </c>
    </row>
    <row r="556">
      <c r="A556" s="20" t="n"/>
      <c r="B556" s="21" t="n"/>
      <c r="C556" s="20" t="n"/>
      <c r="D556" s="22">
        <f>IF(C556="","",INDEX(MERCADORIA!$B$5:$B$22,MATCH(C556,MERCADORIA!$A$5:$A$22,0)))</f>
        <v/>
      </c>
      <c r="E556" s="22">
        <f>IF(C556="","",INDEX(MERCADORIA!$C$5:$C$22,MATCH(C556,MERCADORIA!$A$5:$A$22,0)))</f>
        <v/>
      </c>
      <c r="F556" s="23" t="n"/>
      <c r="G556" s="24">
        <f>IF(D556="","",INDEX(VALOR!$B$5:$B$8,MATCH(D556,VALOR!$A$5:$A$8,0)))</f>
        <v/>
      </c>
      <c r="H556" s="15">
        <f>IF(OR(G556="",F556=""),0,F556*G556)</f>
        <v/>
      </c>
      <c r="I556" s="20" t="n"/>
      <c r="J556" s="20" t="n"/>
      <c r="K556" s="24">
        <f>IF(OR(O556=0,J556=""),0,INDEX(MAPA!$C$5:$C$14,MATCH(J556,MAPA!$A$5:$A$14,0)))</f>
        <v/>
      </c>
      <c r="L556" s="25">
        <f>H556+K556</f>
        <v/>
      </c>
      <c r="M556" s="20" t="n"/>
      <c r="N556" s="20" t="n"/>
      <c r="O556" s="14">
        <f>IF(A556="",0,IF(COUNTIF($A$5:A556,A556)=1,1,0))</f>
        <v/>
      </c>
    </row>
    <row r="557">
      <c r="A557" s="20" t="n"/>
      <c r="B557" s="21" t="n"/>
      <c r="C557" s="20" t="n"/>
      <c r="D557" s="22">
        <f>IF(C557="","",INDEX(MERCADORIA!$B$5:$B$22,MATCH(C557,MERCADORIA!$A$5:$A$22,0)))</f>
        <v/>
      </c>
      <c r="E557" s="22">
        <f>IF(C557="","",INDEX(MERCADORIA!$C$5:$C$22,MATCH(C557,MERCADORIA!$A$5:$A$22,0)))</f>
        <v/>
      </c>
      <c r="F557" s="23" t="n"/>
      <c r="G557" s="24">
        <f>IF(D557="","",INDEX(VALOR!$B$5:$B$8,MATCH(D557,VALOR!$A$5:$A$8,0)))</f>
        <v/>
      </c>
      <c r="H557" s="15">
        <f>IF(OR(G557="",F557=""),0,F557*G557)</f>
        <v/>
      </c>
      <c r="I557" s="20" t="n"/>
      <c r="J557" s="20" t="n"/>
      <c r="K557" s="24">
        <f>IF(OR(O557=0,J557=""),0,INDEX(MAPA!$C$5:$C$14,MATCH(J557,MAPA!$A$5:$A$14,0)))</f>
        <v/>
      </c>
      <c r="L557" s="25">
        <f>H557+K557</f>
        <v/>
      </c>
      <c r="M557" s="20" t="n"/>
      <c r="N557" s="20" t="n"/>
      <c r="O557" s="14">
        <f>IF(A557="",0,IF(COUNTIF($A$5:A557,A557)=1,1,0))</f>
        <v/>
      </c>
    </row>
    <row r="558">
      <c r="A558" s="20" t="n"/>
      <c r="B558" s="21" t="n"/>
      <c r="C558" s="20" t="n"/>
      <c r="D558" s="22">
        <f>IF(C558="","",INDEX(MERCADORIA!$B$5:$B$22,MATCH(C558,MERCADORIA!$A$5:$A$22,0)))</f>
        <v/>
      </c>
      <c r="E558" s="22">
        <f>IF(C558="","",INDEX(MERCADORIA!$C$5:$C$22,MATCH(C558,MERCADORIA!$A$5:$A$22,0)))</f>
        <v/>
      </c>
      <c r="F558" s="23" t="n"/>
      <c r="G558" s="24">
        <f>IF(D558="","",INDEX(VALOR!$B$5:$B$8,MATCH(D558,VALOR!$A$5:$A$8,0)))</f>
        <v/>
      </c>
      <c r="H558" s="15">
        <f>IF(OR(G558="",F558=""),0,F558*G558)</f>
        <v/>
      </c>
      <c r="I558" s="20" t="n"/>
      <c r="J558" s="20" t="n"/>
      <c r="K558" s="24">
        <f>IF(OR(O558=0,J558=""),0,INDEX(MAPA!$C$5:$C$14,MATCH(J558,MAPA!$A$5:$A$14,0)))</f>
        <v/>
      </c>
      <c r="L558" s="25">
        <f>H558+K558</f>
        <v/>
      </c>
      <c r="M558" s="20" t="n"/>
      <c r="N558" s="20" t="n"/>
      <c r="O558" s="14">
        <f>IF(A558="",0,IF(COUNTIF($A$5:A558,A558)=1,1,0))</f>
        <v/>
      </c>
    </row>
    <row r="559">
      <c r="A559" s="20" t="n"/>
      <c r="B559" s="21" t="n"/>
      <c r="C559" s="20" t="n"/>
      <c r="D559" s="22">
        <f>IF(C559="","",INDEX(MERCADORIA!$B$5:$B$22,MATCH(C559,MERCADORIA!$A$5:$A$22,0)))</f>
        <v/>
      </c>
      <c r="E559" s="22">
        <f>IF(C559="","",INDEX(MERCADORIA!$C$5:$C$22,MATCH(C559,MERCADORIA!$A$5:$A$22,0)))</f>
        <v/>
      </c>
      <c r="F559" s="23" t="n"/>
      <c r="G559" s="24">
        <f>IF(D559="","",INDEX(VALOR!$B$5:$B$8,MATCH(D559,VALOR!$A$5:$A$8,0)))</f>
        <v/>
      </c>
      <c r="H559" s="15">
        <f>IF(OR(G559="",F559=""),0,F559*G559)</f>
        <v/>
      </c>
      <c r="I559" s="20" t="n"/>
      <c r="J559" s="20" t="n"/>
      <c r="K559" s="24">
        <f>IF(OR(O559=0,J559=""),0,INDEX(MAPA!$C$5:$C$14,MATCH(J559,MAPA!$A$5:$A$14,0)))</f>
        <v/>
      </c>
      <c r="L559" s="25">
        <f>H559+K559</f>
        <v/>
      </c>
      <c r="M559" s="20" t="n"/>
      <c r="N559" s="20" t="n"/>
      <c r="O559" s="14">
        <f>IF(A559="",0,IF(COUNTIF($A$5:A559,A559)=1,1,0))</f>
        <v/>
      </c>
    </row>
    <row r="560">
      <c r="A560" s="20" t="n"/>
      <c r="B560" s="21" t="n"/>
      <c r="C560" s="20" t="n"/>
      <c r="D560" s="22">
        <f>IF(C560="","",INDEX(MERCADORIA!$B$5:$B$22,MATCH(C560,MERCADORIA!$A$5:$A$22,0)))</f>
        <v/>
      </c>
      <c r="E560" s="22">
        <f>IF(C560="","",INDEX(MERCADORIA!$C$5:$C$22,MATCH(C560,MERCADORIA!$A$5:$A$22,0)))</f>
        <v/>
      </c>
      <c r="F560" s="23" t="n"/>
      <c r="G560" s="24">
        <f>IF(D560="","",INDEX(VALOR!$B$5:$B$8,MATCH(D560,VALOR!$A$5:$A$8,0)))</f>
        <v/>
      </c>
      <c r="H560" s="15">
        <f>IF(OR(G560="",F560=""),0,F560*G560)</f>
        <v/>
      </c>
      <c r="I560" s="20" t="n"/>
      <c r="J560" s="20" t="n"/>
      <c r="K560" s="24">
        <f>IF(OR(O560=0,J560=""),0,INDEX(MAPA!$C$5:$C$14,MATCH(J560,MAPA!$A$5:$A$14,0)))</f>
        <v/>
      </c>
      <c r="L560" s="25">
        <f>H560+K560</f>
        <v/>
      </c>
      <c r="M560" s="20" t="n"/>
      <c r="N560" s="20" t="n"/>
      <c r="O560" s="14">
        <f>IF(A560="",0,IF(COUNTIF($A$5:A560,A560)=1,1,0))</f>
        <v/>
      </c>
    </row>
    <row r="561">
      <c r="A561" s="20" t="n"/>
      <c r="B561" s="21" t="n"/>
      <c r="C561" s="20" t="n"/>
      <c r="D561" s="22">
        <f>IF(C561="","",INDEX(MERCADORIA!$B$5:$B$22,MATCH(C561,MERCADORIA!$A$5:$A$22,0)))</f>
        <v/>
      </c>
      <c r="E561" s="22">
        <f>IF(C561="","",INDEX(MERCADORIA!$C$5:$C$22,MATCH(C561,MERCADORIA!$A$5:$A$22,0)))</f>
        <v/>
      </c>
      <c r="F561" s="23" t="n"/>
      <c r="G561" s="24">
        <f>IF(D561="","",INDEX(VALOR!$B$5:$B$8,MATCH(D561,VALOR!$A$5:$A$8,0)))</f>
        <v/>
      </c>
      <c r="H561" s="15">
        <f>IF(OR(G561="",F561=""),0,F561*G561)</f>
        <v/>
      </c>
      <c r="I561" s="20" t="n"/>
      <c r="J561" s="20" t="n"/>
      <c r="K561" s="24">
        <f>IF(OR(O561=0,J561=""),0,INDEX(MAPA!$C$5:$C$14,MATCH(J561,MAPA!$A$5:$A$14,0)))</f>
        <v/>
      </c>
      <c r="L561" s="25">
        <f>H561+K561</f>
        <v/>
      </c>
      <c r="M561" s="20" t="n"/>
      <c r="N561" s="20" t="n"/>
      <c r="O561" s="14">
        <f>IF(A561="",0,IF(COUNTIF($A$5:A561,A561)=1,1,0))</f>
        <v/>
      </c>
    </row>
    <row r="562">
      <c r="A562" s="20" t="n"/>
      <c r="B562" s="21" t="n"/>
      <c r="C562" s="20" t="n"/>
      <c r="D562" s="22">
        <f>IF(C562="","",INDEX(MERCADORIA!$B$5:$B$22,MATCH(C562,MERCADORIA!$A$5:$A$22,0)))</f>
        <v/>
      </c>
      <c r="E562" s="22">
        <f>IF(C562="","",INDEX(MERCADORIA!$C$5:$C$22,MATCH(C562,MERCADORIA!$A$5:$A$22,0)))</f>
        <v/>
      </c>
      <c r="F562" s="23" t="n"/>
      <c r="G562" s="24">
        <f>IF(D562="","",INDEX(VALOR!$B$5:$B$8,MATCH(D562,VALOR!$A$5:$A$8,0)))</f>
        <v/>
      </c>
      <c r="H562" s="15">
        <f>IF(OR(G562="",F562=""),0,F562*G562)</f>
        <v/>
      </c>
      <c r="I562" s="20" t="n"/>
      <c r="J562" s="20" t="n"/>
      <c r="K562" s="24">
        <f>IF(OR(O562=0,J562=""),0,INDEX(MAPA!$C$5:$C$14,MATCH(J562,MAPA!$A$5:$A$14,0)))</f>
        <v/>
      </c>
      <c r="L562" s="25">
        <f>H562+K562</f>
        <v/>
      </c>
      <c r="M562" s="20" t="n"/>
      <c r="N562" s="20" t="n"/>
      <c r="O562" s="14">
        <f>IF(A562="",0,IF(COUNTIF($A$5:A562,A562)=1,1,0))</f>
        <v/>
      </c>
    </row>
    <row r="563">
      <c r="A563" s="20" t="n"/>
      <c r="B563" s="21" t="n"/>
      <c r="C563" s="20" t="n"/>
      <c r="D563" s="22">
        <f>IF(C563="","",INDEX(MERCADORIA!$B$5:$B$22,MATCH(C563,MERCADORIA!$A$5:$A$22,0)))</f>
        <v/>
      </c>
      <c r="E563" s="22">
        <f>IF(C563="","",INDEX(MERCADORIA!$C$5:$C$22,MATCH(C563,MERCADORIA!$A$5:$A$22,0)))</f>
        <v/>
      </c>
      <c r="F563" s="23" t="n"/>
      <c r="G563" s="24">
        <f>IF(D563="","",INDEX(VALOR!$B$5:$B$8,MATCH(D563,VALOR!$A$5:$A$8,0)))</f>
        <v/>
      </c>
      <c r="H563" s="15">
        <f>IF(OR(G563="",F563=""),0,F563*G563)</f>
        <v/>
      </c>
      <c r="I563" s="20" t="n"/>
      <c r="J563" s="20" t="n"/>
      <c r="K563" s="24">
        <f>IF(OR(O563=0,J563=""),0,INDEX(MAPA!$C$5:$C$14,MATCH(J563,MAPA!$A$5:$A$14,0)))</f>
        <v/>
      </c>
      <c r="L563" s="25">
        <f>H563+K563</f>
        <v/>
      </c>
      <c r="M563" s="20" t="n"/>
      <c r="N563" s="20" t="n"/>
      <c r="O563" s="14">
        <f>IF(A563="",0,IF(COUNTIF($A$5:A563,A563)=1,1,0))</f>
        <v/>
      </c>
    </row>
    <row r="564">
      <c r="A564" s="20" t="n"/>
      <c r="B564" s="21" t="n"/>
      <c r="C564" s="20" t="n"/>
      <c r="D564" s="22">
        <f>IF(C564="","",INDEX(MERCADORIA!$B$5:$B$22,MATCH(C564,MERCADORIA!$A$5:$A$22,0)))</f>
        <v/>
      </c>
      <c r="E564" s="22">
        <f>IF(C564="","",INDEX(MERCADORIA!$C$5:$C$22,MATCH(C564,MERCADORIA!$A$5:$A$22,0)))</f>
        <v/>
      </c>
      <c r="F564" s="23" t="n"/>
      <c r="G564" s="24">
        <f>IF(D564="","",INDEX(VALOR!$B$5:$B$8,MATCH(D564,VALOR!$A$5:$A$8,0)))</f>
        <v/>
      </c>
      <c r="H564" s="15">
        <f>IF(OR(G564="",F564=""),0,F564*G564)</f>
        <v/>
      </c>
      <c r="I564" s="20" t="n"/>
      <c r="J564" s="20" t="n"/>
      <c r="K564" s="24">
        <f>IF(OR(O564=0,J564=""),0,INDEX(MAPA!$C$5:$C$14,MATCH(J564,MAPA!$A$5:$A$14,0)))</f>
        <v/>
      </c>
      <c r="L564" s="25">
        <f>H564+K564</f>
        <v/>
      </c>
      <c r="M564" s="20" t="n"/>
      <c r="N564" s="20" t="n"/>
      <c r="O564" s="14">
        <f>IF(A564="",0,IF(COUNTIF($A$5:A564,A564)=1,1,0))</f>
        <v/>
      </c>
    </row>
    <row r="565">
      <c r="A565" s="20" t="n"/>
      <c r="B565" s="21" t="n"/>
      <c r="C565" s="20" t="n"/>
      <c r="D565" s="22">
        <f>IF(C565="","",INDEX(MERCADORIA!$B$5:$B$22,MATCH(C565,MERCADORIA!$A$5:$A$22,0)))</f>
        <v/>
      </c>
      <c r="E565" s="22">
        <f>IF(C565="","",INDEX(MERCADORIA!$C$5:$C$22,MATCH(C565,MERCADORIA!$A$5:$A$22,0)))</f>
        <v/>
      </c>
      <c r="F565" s="23" t="n"/>
      <c r="G565" s="24">
        <f>IF(D565="","",INDEX(VALOR!$B$5:$B$8,MATCH(D565,VALOR!$A$5:$A$8,0)))</f>
        <v/>
      </c>
      <c r="H565" s="15">
        <f>IF(OR(G565="",F565=""),0,F565*G565)</f>
        <v/>
      </c>
      <c r="I565" s="20" t="n"/>
      <c r="J565" s="20" t="n"/>
      <c r="K565" s="24">
        <f>IF(OR(O565=0,J565=""),0,INDEX(MAPA!$C$5:$C$14,MATCH(J565,MAPA!$A$5:$A$14,0)))</f>
        <v/>
      </c>
      <c r="L565" s="25">
        <f>H565+K565</f>
        <v/>
      </c>
      <c r="M565" s="20" t="n"/>
      <c r="N565" s="20" t="n"/>
      <c r="O565" s="14">
        <f>IF(A565="",0,IF(COUNTIF($A$5:A565,A565)=1,1,0))</f>
        <v/>
      </c>
    </row>
    <row r="566">
      <c r="A566" s="20" t="n"/>
      <c r="B566" s="21" t="n"/>
      <c r="C566" s="20" t="n"/>
      <c r="D566" s="22">
        <f>IF(C566="","",INDEX(MERCADORIA!$B$5:$B$22,MATCH(C566,MERCADORIA!$A$5:$A$22,0)))</f>
        <v/>
      </c>
      <c r="E566" s="22">
        <f>IF(C566="","",INDEX(MERCADORIA!$C$5:$C$22,MATCH(C566,MERCADORIA!$A$5:$A$22,0)))</f>
        <v/>
      </c>
      <c r="F566" s="23" t="n"/>
      <c r="G566" s="24">
        <f>IF(D566="","",INDEX(VALOR!$B$5:$B$8,MATCH(D566,VALOR!$A$5:$A$8,0)))</f>
        <v/>
      </c>
      <c r="H566" s="15">
        <f>IF(OR(G566="",F566=""),0,F566*G566)</f>
        <v/>
      </c>
      <c r="I566" s="20" t="n"/>
      <c r="J566" s="20" t="n"/>
      <c r="K566" s="24">
        <f>IF(OR(O566=0,J566=""),0,INDEX(MAPA!$C$5:$C$14,MATCH(J566,MAPA!$A$5:$A$14,0)))</f>
        <v/>
      </c>
      <c r="L566" s="25">
        <f>H566+K566</f>
        <v/>
      </c>
      <c r="M566" s="20" t="n"/>
      <c r="N566" s="20" t="n"/>
      <c r="O566" s="14">
        <f>IF(A566="",0,IF(COUNTIF($A$5:A566,A566)=1,1,0))</f>
        <v/>
      </c>
    </row>
    <row r="567">
      <c r="A567" s="20" t="n"/>
      <c r="B567" s="21" t="n"/>
      <c r="C567" s="20" t="n"/>
      <c r="D567" s="22">
        <f>IF(C567="","",INDEX(MERCADORIA!$B$5:$B$22,MATCH(C567,MERCADORIA!$A$5:$A$22,0)))</f>
        <v/>
      </c>
      <c r="E567" s="22">
        <f>IF(C567="","",INDEX(MERCADORIA!$C$5:$C$22,MATCH(C567,MERCADORIA!$A$5:$A$22,0)))</f>
        <v/>
      </c>
      <c r="F567" s="23" t="n"/>
      <c r="G567" s="24">
        <f>IF(D567="","",INDEX(VALOR!$B$5:$B$8,MATCH(D567,VALOR!$A$5:$A$8,0)))</f>
        <v/>
      </c>
      <c r="H567" s="15">
        <f>IF(OR(G567="",F567=""),0,F567*G567)</f>
        <v/>
      </c>
      <c r="I567" s="20" t="n"/>
      <c r="J567" s="20" t="n"/>
      <c r="K567" s="24">
        <f>IF(OR(O567=0,J567=""),0,INDEX(MAPA!$C$5:$C$14,MATCH(J567,MAPA!$A$5:$A$14,0)))</f>
        <v/>
      </c>
      <c r="L567" s="25">
        <f>H567+K567</f>
        <v/>
      </c>
      <c r="M567" s="20" t="n"/>
      <c r="N567" s="20" t="n"/>
      <c r="O567" s="14">
        <f>IF(A567="",0,IF(COUNTIF($A$5:A567,A567)=1,1,0))</f>
        <v/>
      </c>
    </row>
    <row r="568">
      <c r="A568" s="20" t="n"/>
      <c r="B568" s="21" t="n"/>
      <c r="C568" s="20" t="n"/>
      <c r="D568" s="22">
        <f>IF(C568="","",INDEX(MERCADORIA!$B$5:$B$22,MATCH(C568,MERCADORIA!$A$5:$A$22,0)))</f>
        <v/>
      </c>
      <c r="E568" s="22">
        <f>IF(C568="","",INDEX(MERCADORIA!$C$5:$C$22,MATCH(C568,MERCADORIA!$A$5:$A$22,0)))</f>
        <v/>
      </c>
      <c r="F568" s="23" t="n"/>
      <c r="G568" s="24">
        <f>IF(D568="","",INDEX(VALOR!$B$5:$B$8,MATCH(D568,VALOR!$A$5:$A$8,0)))</f>
        <v/>
      </c>
      <c r="H568" s="15">
        <f>IF(OR(G568="",F568=""),0,F568*G568)</f>
        <v/>
      </c>
      <c r="I568" s="20" t="n"/>
      <c r="J568" s="20" t="n"/>
      <c r="K568" s="24">
        <f>IF(OR(O568=0,J568=""),0,INDEX(MAPA!$C$5:$C$14,MATCH(J568,MAPA!$A$5:$A$14,0)))</f>
        <v/>
      </c>
      <c r="L568" s="25">
        <f>H568+K568</f>
        <v/>
      </c>
      <c r="M568" s="20" t="n"/>
      <c r="N568" s="20" t="n"/>
      <c r="O568" s="14">
        <f>IF(A568="",0,IF(COUNTIF($A$5:A568,A568)=1,1,0))</f>
        <v/>
      </c>
    </row>
    <row r="569">
      <c r="A569" s="20" t="n"/>
      <c r="B569" s="21" t="n"/>
      <c r="C569" s="20" t="n"/>
      <c r="D569" s="22">
        <f>IF(C569="","",INDEX(MERCADORIA!$B$5:$B$22,MATCH(C569,MERCADORIA!$A$5:$A$22,0)))</f>
        <v/>
      </c>
      <c r="E569" s="22">
        <f>IF(C569="","",INDEX(MERCADORIA!$C$5:$C$22,MATCH(C569,MERCADORIA!$A$5:$A$22,0)))</f>
        <v/>
      </c>
      <c r="F569" s="23" t="n"/>
      <c r="G569" s="24">
        <f>IF(D569="","",INDEX(VALOR!$B$5:$B$8,MATCH(D569,VALOR!$A$5:$A$8,0)))</f>
        <v/>
      </c>
      <c r="H569" s="15">
        <f>IF(OR(G569="",F569=""),0,F569*G569)</f>
        <v/>
      </c>
      <c r="I569" s="20" t="n"/>
      <c r="J569" s="20" t="n"/>
      <c r="K569" s="24">
        <f>IF(OR(O569=0,J569=""),0,INDEX(MAPA!$C$5:$C$14,MATCH(J569,MAPA!$A$5:$A$14,0)))</f>
        <v/>
      </c>
      <c r="L569" s="25">
        <f>H569+K569</f>
        <v/>
      </c>
      <c r="M569" s="20" t="n"/>
      <c r="N569" s="20" t="n"/>
      <c r="O569" s="14">
        <f>IF(A569="",0,IF(COUNTIF($A$5:A569,A569)=1,1,0))</f>
        <v/>
      </c>
    </row>
    <row r="570">
      <c r="A570" s="20" t="n"/>
      <c r="B570" s="21" t="n"/>
      <c r="C570" s="20" t="n"/>
      <c r="D570" s="22">
        <f>IF(C570="","",INDEX(MERCADORIA!$B$5:$B$22,MATCH(C570,MERCADORIA!$A$5:$A$22,0)))</f>
        <v/>
      </c>
      <c r="E570" s="22">
        <f>IF(C570="","",INDEX(MERCADORIA!$C$5:$C$22,MATCH(C570,MERCADORIA!$A$5:$A$22,0)))</f>
        <v/>
      </c>
      <c r="F570" s="23" t="n"/>
      <c r="G570" s="24">
        <f>IF(D570="","",INDEX(VALOR!$B$5:$B$8,MATCH(D570,VALOR!$A$5:$A$8,0)))</f>
        <v/>
      </c>
      <c r="H570" s="15">
        <f>IF(OR(G570="",F570=""),0,F570*G570)</f>
        <v/>
      </c>
      <c r="I570" s="20" t="n"/>
      <c r="J570" s="20" t="n"/>
      <c r="K570" s="24">
        <f>IF(OR(O570=0,J570=""),0,INDEX(MAPA!$C$5:$C$14,MATCH(J570,MAPA!$A$5:$A$14,0)))</f>
        <v/>
      </c>
      <c r="L570" s="25">
        <f>H570+K570</f>
        <v/>
      </c>
      <c r="M570" s="20" t="n"/>
      <c r="N570" s="20" t="n"/>
      <c r="O570" s="14">
        <f>IF(A570="",0,IF(COUNTIF($A$5:A570,A570)=1,1,0))</f>
        <v/>
      </c>
    </row>
    <row r="571">
      <c r="A571" s="20" t="n"/>
      <c r="B571" s="21" t="n"/>
      <c r="C571" s="20" t="n"/>
      <c r="D571" s="22">
        <f>IF(C571="","",INDEX(MERCADORIA!$B$5:$B$22,MATCH(C571,MERCADORIA!$A$5:$A$22,0)))</f>
        <v/>
      </c>
      <c r="E571" s="22">
        <f>IF(C571="","",INDEX(MERCADORIA!$C$5:$C$22,MATCH(C571,MERCADORIA!$A$5:$A$22,0)))</f>
        <v/>
      </c>
      <c r="F571" s="23" t="n"/>
      <c r="G571" s="24">
        <f>IF(D571="","",INDEX(VALOR!$B$5:$B$8,MATCH(D571,VALOR!$A$5:$A$8,0)))</f>
        <v/>
      </c>
      <c r="H571" s="15">
        <f>IF(OR(G571="",F571=""),0,F571*G571)</f>
        <v/>
      </c>
      <c r="I571" s="20" t="n"/>
      <c r="J571" s="20" t="n"/>
      <c r="K571" s="24">
        <f>IF(OR(O571=0,J571=""),0,INDEX(MAPA!$C$5:$C$14,MATCH(J571,MAPA!$A$5:$A$14,0)))</f>
        <v/>
      </c>
      <c r="L571" s="25">
        <f>H571+K571</f>
        <v/>
      </c>
      <c r="M571" s="20" t="n"/>
      <c r="N571" s="20" t="n"/>
      <c r="O571" s="14">
        <f>IF(A571="",0,IF(COUNTIF($A$5:A571,A571)=1,1,0))</f>
        <v/>
      </c>
    </row>
    <row r="572">
      <c r="A572" s="20" t="n"/>
      <c r="B572" s="21" t="n"/>
      <c r="C572" s="20" t="n"/>
      <c r="D572" s="22">
        <f>IF(C572="","",INDEX(MERCADORIA!$B$5:$B$22,MATCH(C572,MERCADORIA!$A$5:$A$22,0)))</f>
        <v/>
      </c>
      <c r="E572" s="22">
        <f>IF(C572="","",INDEX(MERCADORIA!$C$5:$C$22,MATCH(C572,MERCADORIA!$A$5:$A$22,0)))</f>
        <v/>
      </c>
      <c r="F572" s="23" t="n"/>
      <c r="G572" s="24">
        <f>IF(D572="","",INDEX(VALOR!$B$5:$B$8,MATCH(D572,VALOR!$A$5:$A$8,0)))</f>
        <v/>
      </c>
      <c r="H572" s="15">
        <f>IF(OR(G572="",F572=""),0,F572*G572)</f>
        <v/>
      </c>
      <c r="I572" s="20" t="n"/>
      <c r="J572" s="20" t="n"/>
      <c r="K572" s="24">
        <f>IF(OR(O572=0,J572=""),0,INDEX(MAPA!$C$5:$C$14,MATCH(J572,MAPA!$A$5:$A$14,0)))</f>
        <v/>
      </c>
      <c r="L572" s="25">
        <f>H572+K572</f>
        <v/>
      </c>
      <c r="M572" s="20" t="n"/>
      <c r="N572" s="20" t="n"/>
      <c r="O572" s="14">
        <f>IF(A572="",0,IF(COUNTIF($A$5:A572,A572)=1,1,0))</f>
        <v/>
      </c>
    </row>
    <row r="573">
      <c r="A573" s="20" t="n"/>
      <c r="B573" s="21" t="n"/>
      <c r="C573" s="20" t="n"/>
      <c r="D573" s="22">
        <f>IF(C573="","",INDEX(MERCADORIA!$B$5:$B$22,MATCH(C573,MERCADORIA!$A$5:$A$22,0)))</f>
        <v/>
      </c>
      <c r="E573" s="22">
        <f>IF(C573="","",INDEX(MERCADORIA!$C$5:$C$22,MATCH(C573,MERCADORIA!$A$5:$A$22,0)))</f>
        <v/>
      </c>
      <c r="F573" s="23" t="n"/>
      <c r="G573" s="24">
        <f>IF(D573="","",INDEX(VALOR!$B$5:$B$8,MATCH(D573,VALOR!$A$5:$A$8,0)))</f>
        <v/>
      </c>
      <c r="H573" s="15">
        <f>IF(OR(G573="",F573=""),0,F573*G573)</f>
        <v/>
      </c>
      <c r="I573" s="20" t="n"/>
      <c r="J573" s="20" t="n"/>
      <c r="K573" s="24">
        <f>IF(OR(O573=0,J573=""),0,INDEX(MAPA!$C$5:$C$14,MATCH(J573,MAPA!$A$5:$A$14,0)))</f>
        <v/>
      </c>
      <c r="L573" s="25">
        <f>H573+K573</f>
        <v/>
      </c>
      <c r="M573" s="20" t="n"/>
      <c r="N573" s="20" t="n"/>
      <c r="O573" s="14">
        <f>IF(A573="",0,IF(COUNTIF($A$5:A573,A573)=1,1,0))</f>
        <v/>
      </c>
    </row>
    <row r="574">
      <c r="A574" s="20" t="n"/>
      <c r="B574" s="21" t="n"/>
      <c r="C574" s="20" t="n"/>
      <c r="D574" s="22">
        <f>IF(C574="","",INDEX(MERCADORIA!$B$5:$B$22,MATCH(C574,MERCADORIA!$A$5:$A$22,0)))</f>
        <v/>
      </c>
      <c r="E574" s="22">
        <f>IF(C574="","",INDEX(MERCADORIA!$C$5:$C$22,MATCH(C574,MERCADORIA!$A$5:$A$22,0)))</f>
        <v/>
      </c>
      <c r="F574" s="23" t="n"/>
      <c r="G574" s="24">
        <f>IF(D574="","",INDEX(VALOR!$B$5:$B$8,MATCH(D574,VALOR!$A$5:$A$8,0)))</f>
        <v/>
      </c>
      <c r="H574" s="15">
        <f>IF(OR(G574="",F574=""),0,F574*G574)</f>
        <v/>
      </c>
      <c r="I574" s="20" t="n"/>
      <c r="J574" s="20" t="n"/>
      <c r="K574" s="24">
        <f>IF(OR(O574=0,J574=""),0,INDEX(MAPA!$C$5:$C$14,MATCH(J574,MAPA!$A$5:$A$14,0)))</f>
        <v/>
      </c>
      <c r="L574" s="25">
        <f>H574+K574</f>
        <v/>
      </c>
      <c r="M574" s="20" t="n"/>
      <c r="N574" s="20" t="n"/>
      <c r="O574" s="14">
        <f>IF(A574="",0,IF(COUNTIF($A$5:A574,A574)=1,1,0))</f>
        <v/>
      </c>
    </row>
    <row r="575">
      <c r="A575" s="20" t="n"/>
      <c r="B575" s="21" t="n"/>
      <c r="C575" s="20" t="n"/>
      <c r="D575" s="22">
        <f>IF(C575="","",INDEX(MERCADORIA!$B$5:$B$22,MATCH(C575,MERCADORIA!$A$5:$A$22,0)))</f>
        <v/>
      </c>
      <c r="E575" s="22">
        <f>IF(C575="","",INDEX(MERCADORIA!$C$5:$C$22,MATCH(C575,MERCADORIA!$A$5:$A$22,0)))</f>
        <v/>
      </c>
      <c r="F575" s="23" t="n"/>
      <c r="G575" s="24">
        <f>IF(D575="","",INDEX(VALOR!$B$5:$B$8,MATCH(D575,VALOR!$A$5:$A$8,0)))</f>
        <v/>
      </c>
      <c r="H575" s="15">
        <f>IF(OR(G575="",F575=""),0,F575*G575)</f>
        <v/>
      </c>
      <c r="I575" s="20" t="n"/>
      <c r="J575" s="20" t="n"/>
      <c r="K575" s="24">
        <f>IF(OR(O575=0,J575=""),0,INDEX(MAPA!$C$5:$C$14,MATCH(J575,MAPA!$A$5:$A$14,0)))</f>
        <v/>
      </c>
      <c r="L575" s="25">
        <f>H575+K575</f>
        <v/>
      </c>
      <c r="M575" s="20" t="n"/>
      <c r="N575" s="20" t="n"/>
      <c r="O575" s="14">
        <f>IF(A575="",0,IF(COUNTIF($A$5:A575,A575)=1,1,0))</f>
        <v/>
      </c>
    </row>
    <row r="576">
      <c r="A576" s="20" t="n"/>
      <c r="B576" s="21" t="n"/>
      <c r="C576" s="20" t="n"/>
      <c r="D576" s="22">
        <f>IF(C576="","",INDEX(MERCADORIA!$B$5:$B$22,MATCH(C576,MERCADORIA!$A$5:$A$22,0)))</f>
        <v/>
      </c>
      <c r="E576" s="22">
        <f>IF(C576="","",INDEX(MERCADORIA!$C$5:$C$22,MATCH(C576,MERCADORIA!$A$5:$A$22,0)))</f>
        <v/>
      </c>
      <c r="F576" s="23" t="n"/>
      <c r="G576" s="24">
        <f>IF(D576="","",INDEX(VALOR!$B$5:$B$8,MATCH(D576,VALOR!$A$5:$A$8,0)))</f>
        <v/>
      </c>
      <c r="H576" s="15">
        <f>IF(OR(G576="",F576=""),0,F576*G576)</f>
        <v/>
      </c>
      <c r="I576" s="20" t="n"/>
      <c r="J576" s="20" t="n"/>
      <c r="K576" s="24">
        <f>IF(OR(O576=0,J576=""),0,INDEX(MAPA!$C$5:$C$14,MATCH(J576,MAPA!$A$5:$A$14,0)))</f>
        <v/>
      </c>
      <c r="L576" s="25">
        <f>H576+K576</f>
        <v/>
      </c>
      <c r="M576" s="20" t="n"/>
      <c r="N576" s="20" t="n"/>
      <c r="O576" s="14">
        <f>IF(A576="",0,IF(COUNTIF($A$5:A576,A576)=1,1,0))</f>
        <v/>
      </c>
    </row>
    <row r="577">
      <c r="A577" s="20" t="n"/>
      <c r="B577" s="21" t="n"/>
      <c r="C577" s="20" t="n"/>
      <c r="D577" s="22">
        <f>IF(C577="","",INDEX(MERCADORIA!$B$5:$B$22,MATCH(C577,MERCADORIA!$A$5:$A$22,0)))</f>
        <v/>
      </c>
      <c r="E577" s="22">
        <f>IF(C577="","",INDEX(MERCADORIA!$C$5:$C$22,MATCH(C577,MERCADORIA!$A$5:$A$22,0)))</f>
        <v/>
      </c>
      <c r="F577" s="23" t="n"/>
      <c r="G577" s="24">
        <f>IF(D577="","",INDEX(VALOR!$B$5:$B$8,MATCH(D577,VALOR!$A$5:$A$8,0)))</f>
        <v/>
      </c>
      <c r="H577" s="15">
        <f>IF(OR(G577="",F577=""),0,F577*G577)</f>
        <v/>
      </c>
      <c r="I577" s="20" t="n"/>
      <c r="J577" s="20" t="n"/>
      <c r="K577" s="24">
        <f>IF(OR(O577=0,J577=""),0,INDEX(MAPA!$C$5:$C$14,MATCH(J577,MAPA!$A$5:$A$14,0)))</f>
        <v/>
      </c>
      <c r="L577" s="25">
        <f>H577+K577</f>
        <v/>
      </c>
      <c r="M577" s="20" t="n"/>
      <c r="N577" s="20" t="n"/>
      <c r="O577" s="14">
        <f>IF(A577="",0,IF(COUNTIF($A$5:A577,A577)=1,1,0))</f>
        <v/>
      </c>
    </row>
    <row r="578">
      <c r="A578" s="20" t="n"/>
      <c r="B578" s="21" t="n"/>
      <c r="C578" s="20" t="n"/>
      <c r="D578" s="22">
        <f>IF(C578="","",INDEX(MERCADORIA!$B$5:$B$22,MATCH(C578,MERCADORIA!$A$5:$A$22,0)))</f>
        <v/>
      </c>
      <c r="E578" s="22">
        <f>IF(C578="","",INDEX(MERCADORIA!$C$5:$C$22,MATCH(C578,MERCADORIA!$A$5:$A$22,0)))</f>
        <v/>
      </c>
      <c r="F578" s="23" t="n"/>
      <c r="G578" s="24">
        <f>IF(D578="","",INDEX(VALOR!$B$5:$B$8,MATCH(D578,VALOR!$A$5:$A$8,0)))</f>
        <v/>
      </c>
      <c r="H578" s="15">
        <f>IF(OR(G578="",F578=""),0,F578*G578)</f>
        <v/>
      </c>
      <c r="I578" s="20" t="n"/>
      <c r="J578" s="20" t="n"/>
      <c r="K578" s="24">
        <f>IF(OR(O578=0,J578=""),0,INDEX(MAPA!$C$5:$C$14,MATCH(J578,MAPA!$A$5:$A$14,0)))</f>
        <v/>
      </c>
      <c r="L578" s="25">
        <f>H578+K578</f>
        <v/>
      </c>
      <c r="M578" s="20" t="n"/>
      <c r="N578" s="20" t="n"/>
      <c r="O578" s="14">
        <f>IF(A578="",0,IF(COUNTIF($A$5:A578,A578)=1,1,0))</f>
        <v/>
      </c>
    </row>
    <row r="579">
      <c r="A579" s="20" t="n"/>
      <c r="B579" s="21" t="n"/>
      <c r="C579" s="20" t="n"/>
      <c r="D579" s="22">
        <f>IF(C579="","",INDEX(MERCADORIA!$B$5:$B$22,MATCH(C579,MERCADORIA!$A$5:$A$22,0)))</f>
        <v/>
      </c>
      <c r="E579" s="22">
        <f>IF(C579="","",INDEX(MERCADORIA!$C$5:$C$22,MATCH(C579,MERCADORIA!$A$5:$A$22,0)))</f>
        <v/>
      </c>
      <c r="F579" s="23" t="n"/>
      <c r="G579" s="24">
        <f>IF(D579="","",INDEX(VALOR!$B$5:$B$8,MATCH(D579,VALOR!$A$5:$A$8,0)))</f>
        <v/>
      </c>
      <c r="H579" s="15">
        <f>IF(OR(G579="",F579=""),0,F579*G579)</f>
        <v/>
      </c>
      <c r="I579" s="20" t="n"/>
      <c r="J579" s="20" t="n"/>
      <c r="K579" s="24">
        <f>IF(OR(O579=0,J579=""),0,INDEX(MAPA!$C$5:$C$14,MATCH(J579,MAPA!$A$5:$A$14,0)))</f>
        <v/>
      </c>
      <c r="L579" s="25">
        <f>H579+K579</f>
        <v/>
      </c>
      <c r="M579" s="20" t="n"/>
      <c r="N579" s="20" t="n"/>
      <c r="O579" s="14">
        <f>IF(A579="",0,IF(COUNTIF($A$5:A579,A579)=1,1,0))</f>
        <v/>
      </c>
    </row>
    <row r="580">
      <c r="A580" s="20" t="n"/>
      <c r="B580" s="21" t="n"/>
      <c r="C580" s="20" t="n"/>
      <c r="D580" s="22">
        <f>IF(C580="","",INDEX(MERCADORIA!$B$5:$B$22,MATCH(C580,MERCADORIA!$A$5:$A$22,0)))</f>
        <v/>
      </c>
      <c r="E580" s="22">
        <f>IF(C580="","",INDEX(MERCADORIA!$C$5:$C$22,MATCH(C580,MERCADORIA!$A$5:$A$22,0)))</f>
        <v/>
      </c>
      <c r="F580" s="23" t="n"/>
      <c r="G580" s="24">
        <f>IF(D580="","",INDEX(VALOR!$B$5:$B$8,MATCH(D580,VALOR!$A$5:$A$8,0)))</f>
        <v/>
      </c>
      <c r="H580" s="15">
        <f>IF(OR(G580="",F580=""),0,F580*G580)</f>
        <v/>
      </c>
      <c r="I580" s="20" t="n"/>
      <c r="J580" s="20" t="n"/>
      <c r="K580" s="24">
        <f>IF(OR(O580=0,J580=""),0,INDEX(MAPA!$C$5:$C$14,MATCH(J580,MAPA!$A$5:$A$14,0)))</f>
        <v/>
      </c>
      <c r="L580" s="25">
        <f>H580+K580</f>
        <v/>
      </c>
      <c r="M580" s="20" t="n"/>
      <c r="N580" s="20" t="n"/>
      <c r="O580" s="14">
        <f>IF(A580="",0,IF(COUNTIF($A$5:A580,A580)=1,1,0))</f>
        <v/>
      </c>
    </row>
    <row r="581">
      <c r="A581" s="20" t="n"/>
      <c r="B581" s="21" t="n"/>
      <c r="C581" s="20" t="n"/>
      <c r="D581" s="22">
        <f>IF(C581="","",INDEX(MERCADORIA!$B$5:$B$22,MATCH(C581,MERCADORIA!$A$5:$A$22,0)))</f>
        <v/>
      </c>
      <c r="E581" s="22">
        <f>IF(C581="","",INDEX(MERCADORIA!$C$5:$C$22,MATCH(C581,MERCADORIA!$A$5:$A$22,0)))</f>
        <v/>
      </c>
      <c r="F581" s="23" t="n"/>
      <c r="G581" s="24">
        <f>IF(D581="","",INDEX(VALOR!$B$5:$B$8,MATCH(D581,VALOR!$A$5:$A$8,0)))</f>
        <v/>
      </c>
      <c r="H581" s="15">
        <f>IF(OR(G581="",F581=""),0,F581*G581)</f>
        <v/>
      </c>
      <c r="I581" s="20" t="n"/>
      <c r="J581" s="20" t="n"/>
      <c r="K581" s="24">
        <f>IF(OR(O581=0,J581=""),0,INDEX(MAPA!$C$5:$C$14,MATCH(J581,MAPA!$A$5:$A$14,0)))</f>
        <v/>
      </c>
      <c r="L581" s="25">
        <f>H581+K581</f>
        <v/>
      </c>
      <c r="M581" s="20" t="n"/>
      <c r="N581" s="20" t="n"/>
      <c r="O581" s="14">
        <f>IF(A581="",0,IF(COUNTIF($A$5:A581,A581)=1,1,0))</f>
        <v/>
      </c>
    </row>
    <row r="582">
      <c r="A582" s="20" t="n"/>
      <c r="B582" s="21" t="n"/>
      <c r="C582" s="20" t="n"/>
      <c r="D582" s="22">
        <f>IF(C582="","",INDEX(MERCADORIA!$B$5:$B$22,MATCH(C582,MERCADORIA!$A$5:$A$22,0)))</f>
        <v/>
      </c>
      <c r="E582" s="22">
        <f>IF(C582="","",INDEX(MERCADORIA!$C$5:$C$22,MATCH(C582,MERCADORIA!$A$5:$A$22,0)))</f>
        <v/>
      </c>
      <c r="F582" s="23" t="n"/>
      <c r="G582" s="24">
        <f>IF(D582="","",INDEX(VALOR!$B$5:$B$8,MATCH(D582,VALOR!$A$5:$A$8,0)))</f>
        <v/>
      </c>
      <c r="H582" s="15">
        <f>IF(OR(G582="",F582=""),0,F582*G582)</f>
        <v/>
      </c>
      <c r="I582" s="20" t="n"/>
      <c r="J582" s="20" t="n"/>
      <c r="K582" s="24">
        <f>IF(OR(O582=0,J582=""),0,INDEX(MAPA!$C$5:$C$14,MATCH(J582,MAPA!$A$5:$A$14,0)))</f>
        <v/>
      </c>
      <c r="L582" s="25">
        <f>H582+K582</f>
        <v/>
      </c>
      <c r="M582" s="20" t="n"/>
      <c r="N582" s="20" t="n"/>
      <c r="O582" s="14">
        <f>IF(A582="",0,IF(COUNTIF($A$5:A582,A582)=1,1,0))</f>
        <v/>
      </c>
    </row>
    <row r="583">
      <c r="A583" s="20" t="n"/>
      <c r="B583" s="21" t="n"/>
      <c r="C583" s="20" t="n"/>
      <c r="D583" s="22">
        <f>IF(C583="","",INDEX(MERCADORIA!$B$5:$B$22,MATCH(C583,MERCADORIA!$A$5:$A$22,0)))</f>
        <v/>
      </c>
      <c r="E583" s="22">
        <f>IF(C583="","",INDEX(MERCADORIA!$C$5:$C$22,MATCH(C583,MERCADORIA!$A$5:$A$22,0)))</f>
        <v/>
      </c>
      <c r="F583" s="23" t="n"/>
      <c r="G583" s="24">
        <f>IF(D583="","",INDEX(VALOR!$B$5:$B$8,MATCH(D583,VALOR!$A$5:$A$8,0)))</f>
        <v/>
      </c>
      <c r="H583" s="15">
        <f>IF(OR(G583="",F583=""),0,F583*G583)</f>
        <v/>
      </c>
      <c r="I583" s="20" t="n"/>
      <c r="J583" s="20" t="n"/>
      <c r="K583" s="24">
        <f>IF(OR(O583=0,J583=""),0,INDEX(MAPA!$C$5:$C$14,MATCH(J583,MAPA!$A$5:$A$14,0)))</f>
        <v/>
      </c>
      <c r="L583" s="25">
        <f>H583+K583</f>
        <v/>
      </c>
      <c r="M583" s="20" t="n"/>
      <c r="N583" s="20" t="n"/>
      <c r="O583" s="14">
        <f>IF(A583="",0,IF(COUNTIF($A$5:A583,A583)=1,1,0))</f>
        <v/>
      </c>
    </row>
    <row r="584">
      <c r="A584" s="20" t="n"/>
      <c r="B584" s="21" t="n"/>
      <c r="C584" s="20" t="n"/>
      <c r="D584" s="22">
        <f>IF(C584="","",INDEX(MERCADORIA!$B$5:$B$22,MATCH(C584,MERCADORIA!$A$5:$A$22,0)))</f>
        <v/>
      </c>
      <c r="E584" s="22">
        <f>IF(C584="","",INDEX(MERCADORIA!$C$5:$C$22,MATCH(C584,MERCADORIA!$A$5:$A$22,0)))</f>
        <v/>
      </c>
      <c r="F584" s="23" t="n"/>
      <c r="G584" s="24">
        <f>IF(D584="","",INDEX(VALOR!$B$5:$B$8,MATCH(D584,VALOR!$A$5:$A$8,0)))</f>
        <v/>
      </c>
      <c r="H584" s="15">
        <f>IF(OR(G584="",F584=""),0,F584*G584)</f>
        <v/>
      </c>
      <c r="I584" s="20" t="n"/>
      <c r="J584" s="20" t="n"/>
      <c r="K584" s="24">
        <f>IF(OR(O584=0,J584=""),0,INDEX(MAPA!$C$5:$C$14,MATCH(J584,MAPA!$A$5:$A$14,0)))</f>
        <v/>
      </c>
      <c r="L584" s="25">
        <f>H584+K584</f>
        <v/>
      </c>
      <c r="M584" s="20" t="n"/>
      <c r="N584" s="20" t="n"/>
      <c r="O584" s="14">
        <f>IF(A584="",0,IF(COUNTIF($A$5:A584,A584)=1,1,0))</f>
        <v/>
      </c>
    </row>
    <row r="585">
      <c r="A585" s="20" t="n"/>
      <c r="B585" s="21" t="n"/>
      <c r="C585" s="20" t="n"/>
      <c r="D585" s="22">
        <f>IF(C585="","",INDEX(MERCADORIA!$B$5:$B$22,MATCH(C585,MERCADORIA!$A$5:$A$22,0)))</f>
        <v/>
      </c>
      <c r="E585" s="22">
        <f>IF(C585="","",INDEX(MERCADORIA!$C$5:$C$22,MATCH(C585,MERCADORIA!$A$5:$A$22,0)))</f>
        <v/>
      </c>
      <c r="F585" s="23" t="n"/>
      <c r="G585" s="24">
        <f>IF(D585="","",INDEX(VALOR!$B$5:$B$8,MATCH(D585,VALOR!$A$5:$A$8,0)))</f>
        <v/>
      </c>
      <c r="H585" s="15">
        <f>IF(OR(G585="",F585=""),0,F585*G585)</f>
        <v/>
      </c>
      <c r="I585" s="20" t="n"/>
      <c r="J585" s="20" t="n"/>
      <c r="K585" s="24">
        <f>IF(OR(O585=0,J585=""),0,INDEX(MAPA!$C$5:$C$14,MATCH(J585,MAPA!$A$5:$A$14,0)))</f>
        <v/>
      </c>
      <c r="L585" s="25">
        <f>H585+K585</f>
        <v/>
      </c>
      <c r="M585" s="20" t="n"/>
      <c r="N585" s="20" t="n"/>
      <c r="O585" s="14">
        <f>IF(A585="",0,IF(COUNTIF($A$5:A585,A585)=1,1,0))</f>
        <v/>
      </c>
    </row>
    <row r="586">
      <c r="A586" s="20" t="n"/>
      <c r="B586" s="21" t="n"/>
      <c r="C586" s="20" t="n"/>
      <c r="D586" s="22">
        <f>IF(C586="","",INDEX(MERCADORIA!$B$5:$B$22,MATCH(C586,MERCADORIA!$A$5:$A$22,0)))</f>
        <v/>
      </c>
      <c r="E586" s="22">
        <f>IF(C586="","",INDEX(MERCADORIA!$C$5:$C$22,MATCH(C586,MERCADORIA!$A$5:$A$22,0)))</f>
        <v/>
      </c>
      <c r="F586" s="23" t="n"/>
      <c r="G586" s="24">
        <f>IF(D586="","",INDEX(VALOR!$B$5:$B$8,MATCH(D586,VALOR!$A$5:$A$8,0)))</f>
        <v/>
      </c>
      <c r="H586" s="15">
        <f>IF(OR(G586="",F586=""),0,F586*G586)</f>
        <v/>
      </c>
      <c r="I586" s="20" t="n"/>
      <c r="J586" s="20" t="n"/>
      <c r="K586" s="24">
        <f>IF(OR(O586=0,J586=""),0,INDEX(MAPA!$C$5:$C$14,MATCH(J586,MAPA!$A$5:$A$14,0)))</f>
        <v/>
      </c>
      <c r="L586" s="25">
        <f>H586+K586</f>
        <v/>
      </c>
      <c r="M586" s="20" t="n"/>
      <c r="N586" s="20" t="n"/>
      <c r="O586" s="14">
        <f>IF(A586="",0,IF(COUNTIF($A$5:A586,A586)=1,1,0))</f>
        <v/>
      </c>
    </row>
    <row r="587">
      <c r="A587" s="20" t="n"/>
      <c r="B587" s="21" t="n"/>
      <c r="C587" s="20" t="n"/>
      <c r="D587" s="22">
        <f>IF(C587="","",INDEX(MERCADORIA!$B$5:$B$22,MATCH(C587,MERCADORIA!$A$5:$A$22,0)))</f>
        <v/>
      </c>
      <c r="E587" s="22">
        <f>IF(C587="","",INDEX(MERCADORIA!$C$5:$C$22,MATCH(C587,MERCADORIA!$A$5:$A$22,0)))</f>
        <v/>
      </c>
      <c r="F587" s="23" t="n"/>
      <c r="G587" s="24">
        <f>IF(D587="","",INDEX(VALOR!$B$5:$B$8,MATCH(D587,VALOR!$A$5:$A$8,0)))</f>
        <v/>
      </c>
      <c r="H587" s="15">
        <f>IF(OR(G587="",F587=""),0,F587*G587)</f>
        <v/>
      </c>
      <c r="I587" s="20" t="n"/>
      <c r="J587" s="20" t="n"/>
      <c r="K587" s="24">
        <f>IF(OR(O587=0,J587=""),0,INDEX(MAPA!$C$5:$C$14,MATCH(J587,MAPA!$A$5:$A$14,0)))</f>
        <v/>
      </c>
      <c r="L587" s="25">
        <f>H587+K587</f>
        <v/>
      </c>
      <c r="M587" s="20" t="n"/>
      <c r="N587" s="20" t="n"/>
      <c r="O587" s="14">
        <f>IF(A587="",0,IF(COUNTIF($A$5:A587,A587)=1,1,0))</f>
        <v/>
      </c>
    </row>
    <row r="588">
      <c r="A588" s="20" t="n"/>
      <c r="B588" s="21" t="n"/>
      <c r="C588" s="20" t="n"/>
      <c r="D588" s="22">
        <f>IF(C588="","",INDEX(MERCADORIA!$B$5:$B$22,MATCH(C588,MERCADORIA!$A$5:$A$22,0)))</f>
        <v/>
      </c>
      <c r="E588" s="22">
        <f>IF(C588="","",INDEX(MERCADORIA!$C$5:$C$22,MATCH(C588,MERCADORIA!$A$5:$A$22,0)))</f>
        <v/>
      </c>
      <c r="F588" s="23" t="n"/>
      <c r="G588" s="24">
        <f>IF(D588="","",INDEX(VALOR!$B$5:$B$8,MATCH(D588,VALOR!$A$5:$A$8,0)))</f>
        <v/>
      </c>
      <c r="H588" s="15">
        <f>IF(OR(G588="",F588=""),0,F588*G588)</f>
        <v/>
      </c>
      <c r="I588" s="20" t="n"/>
      <c r="J588" s="20" t="n"/>
      <c r="K588" s="24">
        <f>IF(OR(O588=0,J588=""),0,INDEX(MAPA!$C$5:$C$14,MATCH(J588,MAPA!$A$5:$A$14,0)))</f>
        <v/>
      </c>
      <c r="L588" s="25">
        <f>H588+K588</f>
        <v/>
      </c>
      <c r="M588" s="20" t="n"/>
      <c r="N588" s="20" t="n"/>
      <c r="O588" s="14">
        <f>IF(A588="",0,IF(COUNTIF($A$5:A588,A588)=1,1,0))</f>
        <v/>
      </c>
    </row>
    <row r="589">
      <c r="A589" s="20" t="n"/>
      <c r="B589" s="21" t="n"/>
      <c r="C589" s="20" t="n"/>
      <c r="D589" s="22">
        <f>IF(C589="","",INDEX(MERCADORIA!$B$5:$B$22,MATCH(C589,MERCADORIA!$A$5:$A$22,0)))</f>
        <v/>
      </c>
      <c r="E589" s="22">
        <f>IF(C589="","",INDEX(MERCADORIA!$C$5:$C$22,MATCH(C589,MERCADORIA!$A$5:$A$22,0)))</f>
        <v/>
      </c>
      <c r="F589" s="23" t="n"/>
      <c r="G589" s="24">
        <f>IF(D589="","",INDEX(VALOR!$B$5:$B$8,MATCH(D589,VALOR!$A$5:$A$8,0)))</f>
        <v/>
      </c>
      <c r="H589" s="15">
        <f>IF(OR(G589="",F589=""),0,F589*G589)</f>
        <v/>
      </c>
      <c r="I589" s="20" t="n"/>
      <c r="J589" s="20" t="n"/>
      <c r="K589" s="24">
        <f>IF(OR(O589=0,J589=""),0,INDEX(MAPA!$C$5:$C$14,MATCH(J589,MAPA!$A$5:$A$14,0)))</f>
        <v/>
      </c>
      <c r="L589" s="25">
        <f>H589+K589</f>
        <v/>
      </c>
      <c r="M589" s="20" t="n"/>
      <c r="N589" s="20" t="n"/>
      <c r="O589" s="14">
        <f>IF(A589="",0,IF(COUNTIF($A$5:A589,A589)=1,1,0))</f>
        <v/>
      </c>
    </row>
    <row r="590">
      <c r="A590" s="20" t="n"/>
      <c r="B590" s="21" t="n"/>
      <c r="C590" s="20" t="n"/>
      <c r="D590" s="22">
        <f>IF(C590="","",INDEX(MERCADORIA!$B$5:$B$22,MATCH(C590,MERCADORIA!$A$5:$A$22,0)))</f>
        <v/>
      </c>
      <c r="E590" s="22">
        <f>IF(C590="","",INDEX(MERCADORIA!$C$5:$C$22,MATCH(C590,MERCADORIA!$A$5:$A$22,0)))</f>
        <v/>
      </c>
      <c r="F590" s="23" t="n"/>
      <c r="G590" s="24">
        <f>IF(D590="","",INDEX(VALOR!$B$5:$B$8,MATCH(D590,VALOR!$A$5:$A$8,0)))</f>
        <v/>
      </c>
      <c r="H590" s="15">
        <f>IF(OR(G590="",F590=""),0,F590*G590)</f>
        <v/>
      </c>
      <c r="I590" s="20" t="n"/>
      <c r="J590" s="20" t="n"/>
      <c r="K590" s="24">
        <f>IF(OR(O590=0,J590=""),0,INDEX(MAPA!$C$5:$C$14,MATCH(J590,MAPA!$A$5:$A$14,0)))</f>
        <v/>
      </c>
      <c r="L590" s="25">
        <f>H590+K590</f>
        <v/>
      </c>
      <c r="M590" s="20" t="n"/>
      <c r="N590" s="20" t="n"/>
      <c r="O590" s="14">
        <f>IF(A590="",0,IF(COUNTIF($A$5:A590,A590)=1,1,0))</f>
        <v/>
      </c>
    </row>
    <row r="591">
      <c r="A591" s="20" t="n"/>
      <c r="B591" s="21" t="n"/>
      <c r="C591" s="20" t="n"/>
      <c r="D591" s="22">
        <f>IF(C591="","",INDEX(MERCADORIA!$B$5:$B$22,MATCH(C591,MERCADORIA!$A$5:$A$22,0)))</f>
        <v/>
      </c>
      <c r="E591" s="22">
        <f>IF(C591="","",INDEX(MERCADORIA!$C$5:$C$22,MATCH(C591,MERCADORIA!$A$5:$A$22,0)))</f>
        <v/>
      </c>
      <c r="F591" s="23" t="n"/>
      <c r="G591" s="24">
        <f>IF(D591="","",INDEX(VALOR!$B$5:$B$8,MATCH(D591,VALOR!$A$5:$A$8,0)))</f>
        <v/>
      </c>
      <c r="H591" s="15">
        <f>IF(OR(G591="",F591=""),0,F591*G591)</f>
        <v/>
      </c>
      <c r="I591" s="20" t="n"/>
      <c r="J591" s="20" t="n"/>
      <c r="K591" s="24">
        <f>IF(OR(O591=0,J591=""),0,INDEX(MAPA!$C$5:$C$14,MATCH(J591,MAPA!$A$5:$A$14,0)))</f>
        <v/>
      </c>
      <c r="L591" s="25">
        <f>H591+K591</f>
        <v/>
      </c>
      <c r="M591" s="20" t="n"/>
      <c r="N591" s="20" t="n"/>
      <c r="O591" s="14">
        <f>IF(A591="",0,IF(COUNTIF($A$5:A591,A591)=1,1,0))</f>
        <v/>
      </c>
    </row>
    <row r="592">
      <c r="A592" s="20" t="n"/>
      <c r="B592" s="21" t="n"/>
      <c r="C592" s="20" t="n"/>
      <c r="D592" s="22">
        <f>IF(C592="","",INDEX(MERCADORIA!$B$5:$B$22,MATCH(C592,MERCADORIA!$A$5:$A$22,0)))</f>
        <v/>
      </c>
      <c r="E592" s="22">
        <f>IF(C592="","",INDEX(MERCADORIA!$C$5:$C$22,MATCH(C592,MERCADORIA!$A$5:$A$22,0)))</f>
        <v/>
      </c>
      <c r="F592" s="23" t="n"/>
      <c r="G592" s="24">
        <f>IF(D592="","",INDEX(VALOR!$B$5:$B$8,MATCH(D592,VALOR!$A$5:$A$8,0)))</f>
        <v/>
      </c>
      <c r="H592" s="15">
        <f>IF(OR(G592="",F592=""),0,F592*G592)</f>
        <v/>
      </c>
      <c r="I592" s="20" t="n"/>
      <c r="J592" s="20" t="n"/>
      <c r="K592" s="24">
        <f>IF(OR(O592=0,J592=""),0,INDEX(MAPA!$C$5:$C$14,MATCH(J592,MAPA!$A$5:$A$14,0)))</f>
        <v/>
      </c>
      <c r="L592" s="25">
        <f>H592+K592</f>
        <v/>
      </c>
      <c r="M592" s="20" t="n"/>
      <c r="N592" s="20" t="n"/>
      <c r="O592" s="14">
        <f>IF(A592="",0,IF(COUNTIF($A$5:A592,A592)=1,1,0))</f>
        <v/>
      </c>
    </row>
    <row r="593">
      <c r="A593" s="20" t="n"/>
      <c r="B593" s="21" t="n"/>
      <c r="C593" s="20" t="n"/>
      <c r="D593" s="22">
        <f>IF(C593="","",INDEX(MERCADORIA!$B$5:$B$22,MATCH(C593,MERCADORIA!$A$5:$A$22,0)))</f>
        <v/>
      </c>
      <c r="E593" s="22">
        <f>IF(C593="","",INDEX(MERCADORIA!$C$5:$C$22,MATCH(C593,MERCADORIA!$A$5:$A$22,0)))</f>
        <v/>
      </c>
      <c r="F593" s="23" t="n"/>
      <c r="G593" s="24">
        <f>IF(D593="","",INDEX(VALOR!$B$5:$B$8,MATCH(D593,VALOR!$A$5:$A$8,0)))</f>
        <v/>
      </c>
      <c r="H593" s="15">
        <f>IF(OR(G593="",F593=""),0,F593*G593)</f>
        <v/>
      </c>
      <c r="I593" s="20" t="n"/>
      <c r="J593" s="20" t="n"/>
      <c r="K593" s="24">
        <f>IF(OR(O593=0,J593=""),0,INDEX(MAPA!$C$5:$C$14,MATCH(J593,MAPA!$A$5:$A$14,0)))</f>
        <v/>
      </c>
      <c r="L593" s="25">
        <f>H593+K593</f>
        <v/>
      </c>
      <c r="M593" s="20" t="n"/>
      <c r="N593" s="20" t="n"/>
      <c r="O593" s="14">
        <f>IF(A593="",0,IF(COUNTIF($A$5:A593,A593)=1,1,0))</f>
        <v/>
      </c>
    </row>
    <row r="594">
      <c r="A594" s="20" t="n"/>
      <c r="B594" s="21" t="n"/>
      <c r="C594" s="20" t="n"/>
      <c r="D594" s="22">
        <f>IF(C594="","",INDEX(MERCADORIA!$B$5:$B$22,MATCH(C594,MERCADORIA!$A$5:$A$22,0)))</f>
        <v/>
      </c>
      <c r="E594" s="22">
        <f>IF(C594="","",INDEX(MERCADORIA!$C$5:$C$22,MATCH(C594,MERCADORIA!$A$5:$A$22,0)))</f>
        <v/>
      </c>
      <c r="F594" s="23" t="n"/>
      <c r="G594" s="24">
        <f>IF(D594="","",INDEX(VALOR!$B$5:$B$8,MATCH(D594,VALOR!$A$5:$A$8,0)))</f>
        <v/>
      </c>
      <c r="H594" s="15">
        <f>IF(OR(G594="",F594=""),0,F594*G594)</f>
        <v/>
      </c>
      <c r="I594" s="20" t="n"/>
      <c r="J594" s="20" t="n"/>
      <c r="K594" s="24">
        <f>IF(OR(O594=0,J594=""),0,INDEX(MAPA!$C$5:$C$14,MATCH(J594,MAPA!$A$5:$A$14,0)))</f>
        <v/>
      </c>
      <c r="L594" s="25">
        <f>H594+K594</f>
        <v/>
      </c>
      <c r="M594" s="20" t="n"/>
      <c r="N594" s="20" t="n"/>
      <c r="O594" s="14">
        <f>IF(A594="",0,IF(COUNTIF($A$5:A594,A594)=1,1,0))</f>
        <v/>
      </c>
    </row>
    <row r="595">
      <c r="A595" s="20" t="n"/>
      <c r="B595" s="21" t="n"/>
      <c r="C595" s="20" t="n"/>
      <c r="D595" s="22">
        <f>IF(C595="","",INDEX(MERCADORIA!$B$5:$B$22,MATCH(C595,MERCADORIA!$A$5:$A$22,0)))</f>
        <v/>
      </c>
      <c r="E595" s="22">
        <f>IF(C595="","",INDEX(MERCADORIA!$C$5:$C$22,MATCH(C595,MERCADORIA!$A$5:$A$22,0)))</f>
        <v/>
      </c>
      <c r="F595" s="23" t="n"/>
      <c r="G595" s="24">
        <f>IF(D595="","",INDEX(VALOR!$B$5:$B$8,MATCH(D595,VALOR!$A$5:$A$8,0)))</f>
        <v/>
      </c>
      <c r="H595" s="15">
        <f>IF(OR(G595="",F595=""),0,F595*G595)</f>
        <v/>
      </c>
      <c r="I595" s="20" t="n"/>
      <c r="J595" s="20" t="n"/>
      <c r="K595" s="24">
        <f>IF(OR(O595=0,J595=""),0,INDEX(MAPA!$C$5:$C$14,MATCH(J595,MAPA!$A$5:$A$14,0)))</f>
        <v/>
      </c>
      <c r="L595" s="25">
        <f>H595+K595</f>
        <v/>
      </c>
      <c r="M595" s="20" t="n"/>
      <c r="N595" s="20" t="n"/>
      <c r="O595" s="14">
        <f>IF(A595="",0,IF(COUNTIF($A$5:A595,A595)=1,1,0))</f>
        <v/>
      </c>
    </row>
    <row r="596">
      <c r="A596" s="20" t="n"/>
      <c r="B596" s="21" t="n"/>
      <c r="C596" s="20" t="n"/>
      <c r="D596" s="22">
        <f>IF(C596="","",INDEX(MERCADORIA!$B$5:$B$22,MATCH(C596,MERCADORIA!$A$5:$A$22,0)))</f>
        <v/>
      </c>
      <c r="E596" s="22">
        <f>IF(C596="","",INDEX(MERCADORIA!$C$5:$C$22,MATCH(C596,MERCADORIA!$A$5:$A$22,0)))</f>
        <v/>
      </c>
      <c r="F596" s="23" t="n"/>
      <c r="G596" s="24">
        <f>IF(D596="","",INDEX(VALOR!$B$5:$B$8,MATCH(D596,VALOR!$A$5:$A$8,0)))</f>
        <v/>
      </c>
      <c r="H596" s="15">
        <f>IF(OR(G596="",F596=""),0,F596*G596)</f>
        <v/>
      </c>
      <c r="I596" s="20" t="n"/>
      <c r="J596" s="20" t="n"/>
      <c r="K596" s="24">
        <f>IF(OR(O596=0,J596=""),0,INDEX(MAPA!$C$5:$C$14,MATCH(J596,MAPA!$A$5:$A$14,0)))</f>
        <v/>
      </c>
      <c r="L596" s="25">
        <f>H596+K596</f>
        <v/>
      </c>
      <c r="M596" s="20" t="n"/>
      <c r="N596" s="20" t="n"/>
      <c r="O596" s="14">
        <f>IF(A596="",0,IF(COUNTIF($A$5:A596,A596)=1,1,0))</f>
        <v/>
      </c>
    </row>
    <row r="597">
      <c r="A597" s="20" t="n"/>
      <c r="B597" s="21" t="n"/>
      <c r="C597" s="20" t="n"/>
      <c r="D597" s="22">
        <f>IF(C597="","",INDEX(MERCADORIA!$B$5:$B$22,MATCH(C597,MERCADORIA!$A$5:$A$22,0)))</f>
        <v/>
      </c>
      <c r="E597" s="22">
        <f>IF(C597="","",INDEX(MERCADORIA!$C$5:$C$22,MATCH(C597,MERCADORIA!$A$5:$A$22,0)))</f>
        <v/>
      </c>
      <c r="F597" s="23" t="n"/>
      <c r="G597" s="24">
        <f>IF(D597="","",INDEX(VALOR!$B$5:$B$8,MATCH(D597,VALOR!$A$5:$A$8,0)))</f>
        <v/>
      </c>
      <c r="H597" s="15">
        <f>IF(OR(G597="",F597=""),0,F597*G597)</f>
        <v/>
      </c>
      <c r="I597" s="20" t="n"/>
      <c r="J597" s="20" t="n"/>
      <c r="K597" s="24">
        <f>IF(OR(O597=0,J597=""),0,INDEX(MAPA!$C$5:$C$14,MATCH(J597,MAPA!$A$5:$A$14,0)))</f>
        <v/>
      </c>
      <c r="L597" s="25">
        <f>H597+K597</f>
        <v/>
      </c>
      <c r="M597" s="20" t="n"/>
      <c r="N597" s="20" t="n"/>
      <c r="O597" s="14">
        <f>IF(A597="",0,IF(COUNTIF($A$5:A597,A597)=1,1,0))</f>
        <v/>
      </c>
    </row>
    <row r="598">
      <c r="A598" s="20" t="n"/>
      <c r="B598" s="21" t="n"/>
      <c r="C598" s="20" t="n"/>
      <c r="D598" s="22">
        <f>IF(C598="","",INDEX(MERCADORIA!$B$5:$B$22,MATCH(C598,MERCADORIA!$A$5:$A$22,0)))</f>
        <v/>
      </c>
      <c r="E598" s="22">
        <f>IF(C598="","",INDEX(MERCADORIA!$C$5:$C$22,MATCH(C598,MERCADORIA!$A$5:$A$22,0)))</f>
        <v/>
      </c>
      <c r="F598" s="23" t="n"/>
      <c r="G598" s="24">
        <f>IF(D598="","",INDEX(VALOR!$B$5:$B$8,MATCH(D598,VALOR!$A$5:$A$8,0)))</f>
        <v/>
      </c>
      <c r="H598" s="15">
        <f>IF(OR(G598="",F598=""),0,F598*G598)</f>
        <v/>
      </c>
      <c r="I598" s="20" t="n"/>
      <c r="J598" s="20" t="n"/>
      <c r="K598" s="24">
        <f>IF(OR(O598=0,J598=""),0,INDEX(MAPA!$C$5:$C$14,MATCH(J598,MAPA!$A$5:$A$14,0)))</f>
        <v/>
      </c>
      <c r="L598" s="25">
        <f>H598+K598</f>
        <v/>
      </c>
      <c r="M598" s="20" t="n"/>
      <c r="N598" s="20" t="n"/>
      <c r="O598" s="14">
        <f>IF(A598="",0,IF(COUNTIF($A$5:A598,A598)=1,1,0))</f>
        <v/>
      </c>
    </row>
    <row r="599">
      <c r="A599" s="20" t="n"/>
      <c r="B599" s="21" t="n"/>
      <c r="C599" s="20" t="n"/>
      <c r="D599" s="22">
        <f>IF(C599="","",INDEX(MERCADORIA!$B$5:$B$22,MATCH(C599,MERCADORIA!$A$5:$A$22,0)))</f>
        <v/>
      </c>
      <c r="E599" s="22">
        <f>IF(C599="","",INDEX(MERCADORIA!$C$5:$C$22,MATCH(C599,MERCADORIA!$A$5:$A$22,0)))</f>
        <v/>
      </c>
      <c r="F599" s="23" t="n"/>
      <c r="G599" s="24">
        <f>IF(D599="","",INDEX(VALOR!$B$5:$B$8,MATCH(D599,VALOR!$A$5:$A$8,0)))</f>
        <v/>
      </c>
      <c r="H599" s="15">
        <f>IF(OR(G599="",F599=""),0,F599*G599)</f>
        <v/>
      </c>
      <c r="I599" s="20" t="n"/>
      <c r="J599" s="20" t="n"/>
      <c r="K599" s="24">
        <f>IF(OR(O599=0,J599=""),0,INDEX(MAPA!$C$5:$C$14,MATCH(J599,MAPA!$A$5:$A$14,0)))</f>
        <v/>
      </c>
      <c r="L599" s="25">
        <f>H599+K599</f>
        <v/>
      </c>
      <c r="M599" s="20" t="n"/>
      <c r="N599" s="20" t="n"/>
      <c r="O599" s="14">
        <f>IF(A599="",0,IF(COUNTIF($A$5:A599,A599)=1,1,0))</f>
        <v/>
      </c>
    </row>
    <row r="600">
      <c r="A600" s="20" t="n"/>
      <c r="B600" s="21" t="n"/>
      <c r="C600" s="20" t="n"/>
      <c r="D600" s="22">
        <f>IF(C600="","",INDEX(MERCADORIA!$B$5:$B$22,MATCH(C600,MERCADORIA!$A$5:$A$22,0)))</f>
        <v/>
      </c>
      <c r="E600" s="22">
        <f>IF(C600="","",INDEX(MERCADORIA!$C$5:$C$22,MATCH(C600,MERCADORIA!$A$5:$A$22,0)))</f>
        <v/>
      </c>
      <c r="F600" s="23" t="n"/>
      <c r="G600" s="24">
        <f>IF(D600="","",INDEX(VALOR!$B$5:$B$8,MATCH(D600,VALOR!$A$5:$A$8,0)))</f>
        <v/>
      </c>
      <c r="H600" s="15">
        <f>IF(OR(G600="",F600=""),0,F600*G600)</f>
        <v/>
      </c>
      <c r="I600" s="20" t="n"/>
      <c r="J600" s="20" t="n"/>
      <c r="K600" s="24">
        <f>IF(OR(O600=0,J600=""),0,INDEX(MAPA!$C$5:$C$14,MATCH(J600,MAPA!$A$5:$A$14,0)))</f>
        <v/>
      </c>
      <c r="L600" s="25">
        <f>H600+K600</f>
        <v/>
      </c>
      <c r="M600" s="20" t="n"/>
      <c r="N600" s="20" t="n"/>
      <c r="O600" s="14">
        <f>IF(A600="",0,IF(COUNTIF($A$5:A600,A600)=1,1,0))</f>
        <v/>
      </c>
    </row>
    <row r="601">
      <c r="A601" s="20" t="n"/>
      <c r="B601" s="21" t="n"/>
      <c r="C601" s="20" t="n"/>
      <c r="D601" s="22">
        <f>IF(C601="","",INDEX(MERCADORIA!$B$5:$B$22,MATCH(C601,MERCADORIA!$A$5:$A$22,0)))</f>
        <v/>
      </c>
      <c r="E601" s="22">
        <f>IF(C601="","",INDEX(MERCADORIA!$C$5:$C$22,MATCH(C601,MERCADORIA!$A$5:$A$22,0)))</f>
        <v/>
      </c>
      <c r="F601" s="23" t="n"/>
      <c r="G601" s="24">
        <f>IF(D601="","",INDEX(VALOR!$B$5:$B$8,MATCH(D601,VALOR!$A$5:$A$8,0)))</f>
        <v/>
      </c>
      <c r="H601" s="15">
        <f>IF(OR(G601="",F601=""),0,F601*G601)</f>
        <v/>
      </c>
      <c r="I601" s="20" t="n"/>
      <c r="J601" s="20" t="n"/>
      <c r="K601" s="24">
        <f>IF(OR(O601=0,J601=""),0,INDEX(MAPA!$C$5:$C$14,MATCH(J601,MAPA!$A$5:$A$14,0)))</f>
        <v/>
      </c>
      <c r="L601" s="25">
        <f>H601+K601</f>
        <v/>
      </c>
      <c r="M601" s="20" t="n"/>
      <c r="N601" s="20" t="n"/>
      <c r="O601" s="14">
        <f>IF(A601="",0,IF(COUNTIF($A$5:A601,A601)=1,1,0))</f>
        <v/>
      </c>
    </row>
    <row r="602">
      <c r="A602" s="20" t="n"/>
      <c r="B602" s="21" t="n"/>
      <c r="C602" s="20" t="n"/>
      <c r="D602" s="22">
        <f>IF(C602="","",INDEX(MERCADORIA!$B$5:$B$22,MATCH(C602,MERCADORIA!$A$5:$A$22,0)))</f>
        <v/>
      </c>
      <c r="E602" s="22">
        <f>IF(C602="","",INDEX(MERCADORIA!$C$5:$C$22,MATCH(C602,MERCADORIA!$A$5:$A$22,0)))</f>
        <v/>
      </c>
      <c r="F602" s="23" t="n"/>
      <c r="G602" s="24">
        <f>IF(D602="","",INDEX(VALOR!$B$5:$B$8,MATCH(D602,VALOR!$A$5:$A$8,0)))</f>
        <v/>
      </c>
      <c r="H602" s="15">
        <f>IF(OR(G602="",F602=""),0,F602*G602)</f>
        <v/>
      </c>
      <c r="I602" s="20" t="n"/>
      <c r="J602" s="20" t="n"/>
      <c r="K602" s="24">
        <f>IF(OR(O602=0,J602=""),0,INDEX(MAPA!$C$5:$C$14,MATCH(J602,MAPA!$A$5:$A$14,0)))</f>
        <v/>
      </c>
      <c r="L602" s="25">
        <f>H602+K602</f>
        <v/>
      </c>
      <c r="M602" s="20" t="n"/>
      <c r="N602" s="20" t="n"/>
      <c r="O602" s="14">
        <f>IF(A602="",0,IF(COUNTIF($A$5:A602,A602)=1,1,0))</f>
        <v/>
      </c>
    </row>
    <row r="603">
      <c r="A603" s="20" t="n"/>
      <c r="B603" s="21" t="n"/>
      <c r="C603" s="20" t="n"/>
      <c r="D603" s="22">
        <f>IF(C603="","",INDEX(MERCADORIA!$B$5:$B$22,MATCH(C603,MERCADORIA!$A$5:$A$22,0)))</f>
        <v/>
      </c>
      <c r="E603" s="22">
        <f>IF(C603="","",INDEX(MERCADORIA!$C$5:$C$22,MATCH(C603,MERCADORIA!$A$5:$A$22,0)))</f>
        <v/>
      </c>
      <c r="F603" s="23" t="n"/>
      <c r="G603" s="24">
        <f>IF(D603="","",INDEX(VALOR!$B$5:$B$8,MATCH(D603,VALOR!$A$5:$A$8,0)))</f>
        <v/>
      </c>
      <c r="H603" s="15">
        <f>IF(OR(G603="",F603=""),0,F603*G603)</f>
        <v/>
      </c>
      <c r="I603" s="20" t="n"/>
      <c r="J603" s="20" t="n"/>
      <c r="K603" s="24">
        <f>IF(OR(O603=0,J603=""),0,INDEX(MAPA!$C$5:$C$14,MATCH(J603,MAPA!$A$5:$A$14,0)))</f>
        <v/>
      </c>
      <c r="L603" s="25">
        <f>H603+K603</f>
        <v/>
      </c>
      <c r="M603" s="20" t="n"/>
      <c r="N603" s="20" t="n"/>
      <c r="O603" s="14">
        <f>IF(A603="",0,IF(COUNTIF($A$5:A603,A603)=1,1,0))</f>
        <v/>
      </c>
    </row>
    <row r="604">
      <c r="A604" s="20" t="n"/>
      <c r="B604" s="21" t="n"/>
      <c r="C604" s="20" t="n"/>
      <c r="D604" s="22">
        <f>IF(C604="","",INDEX(MERCADORIA!$B$5:$B$22,MATCH(C604,MERCADORIA!$A$5:$A$22,0)))</f>
        <v/>
      </c>
      <c r="E604" s="22">
        <f>IF(C604="","",INDEX(MERCADORIA!$C$5:$C$22,MATCH(C604,MERCADORIA!$A$5:$A$22,0)))</f>
        <v/>
      </c>
      <c r="F604" s="23" t="n"/>
      <c r="G604" s="24">
        <f>IF(D604="","",INDEX(VALOR!$B$5:$B$8,MATCH(D604,VALOR!$A$5:$A$8,0)))</f>
        <v/>
      </c>
      <c r="H604" s="15">
        <f>IF(OR(G604="",F604=""),0,F604*G604)</f>
        <v/>
      </c>
      <c r="I604" s="20" t="n"/>
      <c r="J604" s="20" t="n"/>
      <c r="K604" s="24">
        <f>IF(OR(O604=0,J604=""),0,INDEX(MAPA!$C$5:$C$14,MATCH(J604,MAPA!$A$5:$A$14,0)))</f>
        <v/>
      </c>
      <c r="L604" s="25">
        <f>H604+K604</f>
        <v/>
      </c>
      <c r="M604" s="20" t="n"/>
      <c r="N604" s="20" t="n"/>
      <c r="O604" s="14">
        <f>IF(A604="",0,IF(COUNTIF($A$5:A604,A604)=1,1,0))</f>
        <v/>
      </c>
    </row>
    <row r="605">
      <c r="A605" s="20" t="n"/>
      <c r="B605" s="21" t="n"/>
      <c r="C605" s="20" t="n"/>
      <c r="D605" s="22">
        <f>IF(C605="","",INDEX(MERCADORIA!$B$5:$B$22,MATCH(C605,MERCADORIA!$A$5:$A$22,0)))</f>
        <v/>
      </c>
      <c r="E605" s="22">
        <f>IF(C605="","",INDEX(MERCADORIA!$C$5:$C$22,MATCH(C605,MERCADORIA!$A$5:$A$22,0)))</f>
        <v/>
      </c>
      <c r="F605" s="23" t="n"/>
      <c r="G605" s="24">
        <f>IF(D605="","",INDEX(VALOR!$B$5:$B$8,MATCH(D605,VALOR!$A$5:$A$8,0)))</f>
        <v/>
      </c>
      <c r="H605" s="15">
        <f>IF(OR(G605="",F605=""),0,F605*G605)</f>
        <v/>
      </c>
      <c r="I605" s="20" t="n"/>
      <c r="J605" s="20" t="n"/>
      <c r="K605" s="24">
        <f>IF(OR(O605=0,J605=""),0,INDEX(MAPA!$C$5:$C$14,MATCH(J605,MAPA!$A$5:$A$14,0)))</f>
        <v/>
      </c>
      <c r="L605" s="25">
        <f>H605+K605</f>
        <v/>
      </c>
      <c r="M605" s="20" t="n"/>
      <c r="N605" s="20" t="n"/>
      <c r="O605" s="14">
        <f>IF(A605="",0,IF(COUNTIF($A$5:A605,A605)=1,1,0))</f>
        <v/>
      </c>
    </row>
    <row r="606">
      <c r="A606" s="20" t="n"/>
      <c r="B606" s="21" t="n"/>
      <c r="C606" s="20" t="n"/>
      <c r="D606" s="22">
        <f>IF(C606="","",INDEX(MERCADORIA!$B$5:$B$22,MATCH(C606,MERCADORIA!$A$5:$A$22,0)))</f>
        <v/>
      </c>
      <c r="E606" s="22">
        <f>IF(C606="","",INDEX(MERCADORIA!$C$5:$C$22,MATCH(C606,MERCADORIA!$A$5:$A$22,0)))</f>
        <v/>
      </c>
      <c r="F606" s="23" t="n"/>
      <c r="G606" s="24">
        <f>IF(D606="","",INDEX(VALOR!$B$5:$B$8,MATCH(D606,VALOR!$A$5:$A$8,0)))</f>
        <v/>
      </c>
      <c r="H606" s="15">
        <f>IF(OR(G606="",F606=""),0,F606*G606)</f>
        <v/>
      </c>
      <c r="I606" s="20" t="n"/>
      <c r="J606" s="20" t="n"/>
      <c r="K606" s="24">
        <f>IF(OR(O606=0,J606=""),0,INDEX(MAPA!$C$5:$C$14,MATCH(J606,MAPA!$A$5:$A$14,0)))</f>
        <v/>
      </c>
      <c r="L606" s="25">
        <f>H606+K606</f>
        <v/>
      </c>
      <c r="M606" s="20" t="n"/>
      <c r="N606" s="20" t="n"/>
      <c r="O606" s="14">
        <f>IF(A606="",0,IF(COUNTIF($A$5:A606,A606)=1,1,0))</f>
        <v/>
      </c>
    </row>
    <row r="607">
      <c r="A607" s="20" t="n"/>
      <c r="B607" s="21" t="n"/>
      <c r="C607" s="20" t="n"/>
      <c r="D607" s="22">
        <f>IF(C607="","",INDEX(MERCADORIA!$B$5:$B$22,MATCH(C607,MERCADORIA!$A$5:$A$22,0)))</f>
        <v/>
      </c>
      <c r="E607" s="22">
        <f>IF(C607="","",INDEX(MERCADORIA!$C$5:$C$22,MATCH(C607,MERCADORIA!$A$5:$A$22,0)))</f>
        <v/>
      </c>
      <c r="F607" s="23" t="n"/>
      <c r="G607" s="24">
        <f>IF(D607="","",INDEX(VALOR!$B$5:$B$8,MATCH(D607,VALOR!$A$5:$A$8,0)))</f>
        <v/>
      </c>
      <c r="H607" s="15">
        <f>IF(OR(G607="",F607=""),0,F607*G607)</f>
        <v/>
      </c>
      <c r="I607" s="20" t="n"/>
      <c r="J607" s="20" t="n"/>
      <c r="K607" s="24">
        <f>IF(OR(O607=0,J607=""),0,INDEX(MAPA!$C$5:$C$14,MATCH(J607,MAPA!$A$5:$A$14,0)))</f>
        <v/>
      </c>
      <c r="L607" s="25">
        <f>H607+K607</f>
        <v/>
      </c>
      <c r="M607" s="20" t="n"/>
      <c r="N607" s="20" t="n"/>
      <c r="O607" s="14">
        <f>IF(A607="",0,IF(COUNTIF($A$5:A607,A607)=1,1,0))</f>
        <v/>
      </c>
    </row>
    <row r="608">
      <c r="A608" s="20" t="n"/>
      <c r="B608" s="21" t="n"/>
      <c r="C608" s="20" t="n"/>
      <c r="D608" s="22">
        <f>IF(C608="","",INDEX(MERCADORIA!$B$5:$B$22,MATCH(C608,MERCADORIA!$A$5:$A$22,0)))</f>
        <v/>
      </c>
      <c r="E608" s="22">
        <f>IF(C608="","",INDEX(MERCADORIA!$C$5:$C$22,MATCH(C608,MERCADORIA!$A$5:$A$22,0)))</f>
        <v/>
      </c>
      <c r="F608" s="23" t="n"/>
      <c r="G608" s="24">
        <f>IF(D608="","",INDEX(VALOR!$B$5:$B$8,MATCH(D608,VALOR!$A$5:$A$8,0)))</f>
        <v/>
      </c>
      <c r="H608" s="15">
        <f>IF(OR(G608="",F608=""),0,F608*G608)</f>
        <v/>
      </c>
      <c r="I608" s="20" t="n"/>
      <c r="J608" s="20" t="n"/>
      <c r="K608" s="24">
        <f>IF(OR(O608=0,J608=""),0,INDEX(MAPA!$C$5:$C$14,MATCH(J608,MAPA!$A$5:$A$14,0)))</f>
        <v/>
      </c>
      <c r="L608" s="25">
        <f>H608+K608</f>
        <v/>
      </c>
      <c r="M608" s="20" t="n"/>
      <c r="N608" s="20" t="n"/>
      <c r="O608" s="14">
        <f>IF(A608="",0,IF(COUNTIF($A$5:A608,A608)=1,1,0))</f>
        <v/>
      </c>
    </row>
    <row r="609">
      <c r="A609" s="20" t="n"/>
      <c r="B609" s="21" t="n"/>
      <c r="C609" s="20" t="n"/>
      <c r="D609" s="22">
        <f>IF(C609="","",INDEX(MERCADORIA!$B$5:$B$22,MATCH(C609,MERCADORIA!$A$5:$A$22,0)))</f>
        <v/>
      </c>
      <c r="E609" s="22">
        <f>IF(C609="","",INDEX(MERCADORIA!$C$5:$C$22,MATCH(C609,MERCADORIA!$A$5:$A$22,0)))</f>
        <v/>
      </c>
      <c r="F609" s="23" t="n"/>
      <c r="G609" s="24">
        <f>IF(D609="","",INDEX(VALOR!$B$5:$B$8,MATCH(D609,VALOR!$A$5:$A$8,0)))</f>
        <v/>
      </c>
      <c r="H609" s="15">
        <f>IF(OR(G609="",F609=""),0,F609*G609)</f>
        <v/>
      </c>
      <c r="I609" s="20" t="n"/>
      <c r="J609" s="20" t="n"/>
      <c r="K609" s="24">
        <f>IF(OR(O609=0,J609=""),0,INDEX(MAPA!$C$5:$C$14,MATCH(J609,MAPA!$A$5:$A$14,0)))</f>
        <v/>
      </c>
      <c r="L609" s="25">
        <f>H609+K609</f>
        <v/>
      </c>
      <c r="M609" s="20" t="n"/>
      <c r="N609" s="20" t="n"/>
      <c r="O609" s="14">
        <f>IF(A609="",0,IF(COUNTIF($A$5:A609,A609)=1,1,0))</f>
        <v/>
      </c>
    </row>
    <row r="610">
      <c r="A610" s="20" t="n"/>
      <c r="B610" s="21" t="n"/>
      <c r="C610" s="20" t="n"/>
      <c r="D610" s="22">
        <f>IF(C610="","",INDEX(MERCADORIA!$B$5:$B$22,MATCH(C610,MERCADORIA!$A$5:$A$22,0)))</f>
        <v/>
      </c>
      <c r="E610" s="22">
        <f>IF(C610="","",INDEX(MERCADORIA!$C$5:$C$22,MATCH(C610,MERCADORIA!$A$5:$A$22,0)))</f>
        <v/>
      </c>
      <c r="F610" s="23" t="n"/>
      <c r="G610" s="24">
        <f>IF(D610="","",INDEX(VALOR!$B$5:$B$8,MATCH(D610,VALOR!$A$5:$A$8,0)))</f>
        <v/>
      </c>
      <c r="H610" s="15">
        <f>IF(OR(G610="",F610=""),0,F610*G610)</f>
        <v/>
      </c>
      <c r="I610" s="20" t="n"/>
      <c r="J610" s="20" t="n"/>
      <c r="K610" s="24">
        <f>IF(OR(O610=0,J610=""),0,INDEX(MAPA!$C$5:$C$14,MATCH(J610,MAPA!$A$5:$A$14,0)))</f>
        <v/>
      </c>
      <c r="L610" s="25">
        <f>H610+K610</f>
        <v/>
      </c>
      <c r="M610" s="20" t="n"/>
      <c r="N610" s="20" t="n"/>
      <c r="O610" s="14">
        <f>IF(A610="",0,IF(COUNTIF($A$5:A610,A610)=1,1,0))</f>
        <v/>
      </c>
    </row>
    <row r="611">
      <c r="A611" s="20" t="n"/>
      <c r="B611" s="21" t="n"/>
      <c r="C611" s="20" t="n"/>
      <c r="D611" s="22">
        <f>IF(C611="","",INDEX(MERCADORIA!$B$5:$B$22,MATCH(C611,MERCADORIA!$A$5:$A$22,0)))</f>
        <v/>
      </c>
      <c r="E611" s="22">
        <f>IF(C611="","",INDEX(MERCADORIA!$C$5:$C$22,MATCH(C611,MERCADORIA!$A$5:$A$22,0)))</f>
        <v/>
      </c>
      <c r="F611" s="23" t="n"/>
      <c r="G611" s="24">
        <f>IF(D611="","",INDEX(VALOR!$B$5:$B$8,MATCH(D611,VALOR!$A$5:$A$8,0)))</f>
        <v/>
      </c>
      <c r="H611" s="15">
        <f>IF(OR(G611="",F611=""),0,F611*G611)</f>
        <v/>
      </c>
      <c r="I611" s="20" t="n"/>
      <c r="J611" s="20" t="n"/>
      <c r="K611" s="24">
        <f>IF(OR(O611=0,J611=""),0,INDEX(MAPA!$C$5:$C$14,MATCH(J611,MAPA!$A$5:$A$14,0)))</f>
        <v/>
      </c>
      <c r="L611" s="25">
        <f>H611+K611</f>
        <v/>
      </c>
      <c r="M611" s="20" t="n"/>
      <c r="N611" s="20" t="n"/>
      <c r="O611" s="14">
        <f>IF(A611="",0,IF(COUNTIF($A$5:A611,A611)=1,1,0))</f>
        <v/>
      </c>
    </row>
    <row r="612">
      <c r="A612" s="20" t="n"/>
      <c r="B612" s="21" t="n"/>
      <c r="C612" s="20" t="n"/>
      <c r="D612" s="22">
        <f>IF(C612="","",INDEX(MERCADORIA!$B$5:$B$22,MATCH(C612,MERCADORIA!$A$5:$A$22,0)))</f>
        <v/>
      </c>
      <c r="E612" s="22">
        <f>IF(C612="","",INDEX(MERCADORIA!$C$5:$C$22,MATCH(C612,MERCADORIA!$A$5:$A$22,0)))</f>
        <v/>
      </c>
      <c r="F612" s="23" t="n"/>
      <c r="G612" s="24">
        <f>IF(D612="","",INDEX(VALOR!$B$5:$B$8,MATCH(D612,VALOR!$A$5:$A$8,0)))</f>
        <v/>
      </c>
      <c r="H612" s="15">
        <f>IF(OR(G612="",F612=""),0,F612*G612)</f>
        <v/>
      </c>
      <c r="I612" s="20" t="n"/>
      <c r="J612" s="20" t="n"/>
      <c r="K612" s="24">
        <f>IF(OR(O612=0,J612=""),0,INDEX(MAPA!$C$5:$C$14,MATCH(J612,MAPA!$A$5:$A$14,0)))</f>
        <v/>
      </c>
      <c r="L612" s="25">
        <f>H612+K612</f>
        <v/>
      </c>
      <c r="M612" s="20" t="n"/>
      <c r="N612" s="20" t="n"/>
      <c r="O612" s="14">
        <f>IF(A612="",0,IF(COUNTIF($A$5:A612,A612)=1,1,0))</f>
        <v/>
      </c>
    </row>
    <row r="613">
      <c r="A613" s="20" t="n"/>
      <c r="B613" s="21" t="n"/>
      <c r="C613" s="20" t="n"/>
      <c r="D613" s="22">
        <f>IF(C613="","",INDEX(MERCADORIA!$B$5:$B$22,MATCH(C613,MERCADORIA!$A$5:$A$22,0)))</f>
        <v/>
      </c>
      <c r="E613" s="22">
        <f>IF(C613="","",INDEX(MERCADORIA!$C$5:$C$22,MATCH(C613,MERCADORIA!$A$5:$A$22,0)))</f>
        <v/>
      </c>
      <c r="F613" s="23" t="n"/>
      <c r="G613" s="24">
        <f>IF(D613="","",INDEX(VALOR!$B$5:$B$8,MATCH(D613,VALOR!$A$5:$A$8,0)))</f>
        <v/>
      </c>
      <c r="H613" s="15">
        <f>IF(OR(G613="",F613=""),0,F613*G613)</f>
        <v/>
      </c>
      <c r="I613" s="20" t="n"/>
      <c r="J613" s="20" t="n"/>
      <c r="K613" s="24">
        <f>IF(OR(O613=0,J613=""),0,INDEX(MAPA!$C$5:$C$14,MATCH(J613,MAPA!$A$5:$A$14,0)))</f>
        <v/>
      </c>
      <c r="L613" s="25">
        <f>H613+K613</f>
        <v/>
      </c>
      <c r="M613" s="20" t="n"/>
      <c r="N613" s="20" t="n"/>
      <c r="O613" s="14">
        <f>IF(A613="",0,IF(COUNTIF($A$5:A613,A613)=1,1,0))</f>
        <v/>
      </c>
    </row>
    <row r="614">
      <c r="A614" s="20" t="n"/>
      <c r="B614" s="21" t="n"/>
      <c r="C614" s="20" t="n"/>
      <c r="D614" s="22">
        <f>IF(C614="","",INDEX(MERCADORIA!$B$5:$B$22,MATCH(C614,MERCADORIA!$A$5:$A$22,0)))</f>
        <v/>
      </c>
      <c r="E614" s="22">
        <f>IF(C614="","",INDEX(MERCADORIA!$C$5:$C$22,MATCH(C614,MERCADORIA!$A$5:$A$22,0)))</f>
        <v/>
      </c>
      <c r="F614" s="23" t="n"/>
      <c r="G614" s="24">
        <f>IF(D614="","",INDEX(VALOR!$B$5:$B$8,MATCH(D614,VALOR!$A$5:$A$8,0)))</f>
        <v/>
      </c>
      <c r="H614" s="15">
        <f>IF(OR(G614="",F614=""),0,F614*G614)</f>
        <v/>
      </c>
      <c r="I614" s="20" t="n"/>
      <c r="J614" s="20" t="n"/>
      <c r="K614" s="24">
        <f>IF(OR(O614=0,J614=""),0,INDEX(MAPA!$C$5:$C$14,MATCH(J614,MAPA!$A$5:$A$14,0)))</f>
        <v/>
      </c>
      <c r="L614" s="25">
        <f>H614+K614</f>
        <v/>
      </c>
      <c r="M614" s="20" t="n"/>
      <c r="N614" s="20" t="n"/>
      <c r="O614" s="14">
        <f>IF(A614="",0,IF(COUNTIF($A$5:A614,A614)=1,1,0))</f>
        <v/>
      </c>
    </row>
    <row r="615">
      <c r="A615" s="20" t="n"/>
      <c r="B615" s="21" t="n"/>
      <c r="C615" s="20" t="n"/>
      <c r="D615" s="22">
        <f>IF(C615="","",INDEX(MERCADORIA!$B$5:$B$22,MATCH(C615,MERCADORIA!$A$5:$A$22,0)))</f>
        <v/>
      </c>
      <c r="E615" s="22">
        <f>IF(C615="","",INDEX(MERCADORIA!$C$5:$C$22,MATCH(C615,MERCADORIA!$A$5:$A$22,0)))</f>
        <v/>
      </c>
      <c r="F615" s="23" t="n"/>
      <c r="G615" s="24">
        <f>IF(D615="","",INDEX(VALOR!$B$5:$B$8,MATCH(D615,VALOR!$A$5:$A$8,0)))</f>
        <v/>
      </c>
      <c r="H615" s="15">
        <f>IF(OR(G615="",F615=""),0,F615*G615)</f>
        <v/>
      </c>
      <c r="I615" s="20" t="n"/>
      <c r="J615" s="20" t="n"/>
      <c r="K615" s="24">
        <f>IF(OR(O615=0,J615=""),0,INDEX(MAPA!$C$5:$C$14,MATCH(J615,MAPA!$A$5:$A$14,0)))</f>
        <v/>
      </c>
      <c r="L615" s="25">
        <f>H615+K615</f>
        <v/>
      </c>
      <c r="M615" s="20" t="n"/>
      <c r="N615" s="20" t="n"/>
      <c r="O615" s="14">
        <f>IF(A615="",0,IF(COUNTIF($A$5:A615,A615)=1,1,0))</f>
        <v/>
      </c>
    </row>
    <row r="616">
      <c r="A616" s="20" t="n"/>
      <c r="B616" s="21" t="n"/>
      <c r="C616" s="20" t="n"/>
      <c r="D616" s="22">
        <f>IF(C616="","",INDEX(MERCADORIA!$B$5:$B$22,MATCH(C616,MERCADORIA!$A$5:$A$22,0)))</f>
        <v/>
      </c>
      <c r="E616" s="22">
        <f>IF(C616="","",INDEX(MERCADORIA!$C$5:$C$22,MATCH(C616,MERCADORIA!$A$5:$A$22,0)))</f>
        <v/>
      </c>
      <c r="F616" s="23" t="n"/>
      <c r="G616" s="24">
        <f>IF(D616="","",INDEX(VALOR!$B$5:$B$8,MATCH(D616,VALOR!$A$5:$A$8,0)))</f>
        <v/>
      </c>
      <c r="H616" s="15">
        <f>IF(OR(G616="",F616=""),0,F616*G616)</f>
        <v/>
      </c>
      <c r="I616" s="20" t="n"/>
      <c r="J616" s="20" t="n"/>
      <c r="K616" s="24">
        <f>IF(OR(O616=0,J616=""),0,INDEX(MAPA!$C$5:$C$14,MATCH(J616,MAPA!$A$5:$A$14,0)))</f>
        <v/>
      </c>
      <c r="L616" s="25">
        <f>H616+K616</f>
        <v/>
      </c>
      <c r="M616" s="20" t="n"/>
      <c r="N616" s="20" t="n"/>
      <c r="O616" s="14">
        <f>IF(A616="",0,IF(COUNTIF($A$5:A616,A616)=1,1,0))</f>
        <v/>
      </c>
    </row>
    <row r="617">
      <c r="A617" s="20" t="n"/>
      <c r="B617" s="21" t="n"/>
      <c r="C617" s="20" t="n"/>
      <c r="D617" s="22">
        <f>IF(C617="","",INDEX(MERCADORIA!$B$5:$B$22,MATCH(C617,MERCADORIA!$A$5:$A$22,0)))</f>
        <v/>
      </c>
      <c r="E617" s="22">
        <f>IF(C617="","",INDEX(MERCADORIA!$C$5:$C$22,MATCH(C617,MERCADORIA!$A$5:$A$22,0)))</f>
        <v/>
      </c>
      <c r="F617" s="23" t="n"/>
      <c r="G617" s="24">
        <f>IF(D617="","",INDEX(VALOR!$B$5:$B$8,MATCH(D617,VALOR!$A$5:$A$8,0)))</f>
        <v/>
      </c>
      <c r="H617" s="15">
        <f>IF(OR(G617="",F617=""),0,F617*G617)</f>
        <v/>
      </c>
      <c r="I617" s="20" t="n"/>
      <c r="J617" s="20" t="n"/>
      <c r="K617" s="24">
        <f>IF(OR(O617=0,J617=""),0,INDEX(MAPA!$C$5:$C$14,MATCH(J617,MAPA!$A$5:$A$14,0)))</f>
        <v/>
      </c>
      <c r="L617" s="25">
        <f>H617+K617</f>
        <v/>
      </c>
      <c r="M617" s="20" t="n"/>
      <c r="N617" s="20" t="n"/>
      <c r="O617" s="14">
        <f>IF(A617="",0,IF(COUNTIF($A$5:A617,A617)=1,1,0))</f>
        <v/>
      </c>
    </row>
    <row r="618">
      <c r="A618" s="20" t="n"/>
      <c r="B618" s="21" t="n"/>
      <c r="C618" s="20" t="n"/>
      <c r="D618" s="22">
        <f>IF(C618="","",INDEX(MERCADORIA!$B$5:$B$22,MATCH(C618,MERCADORIA!$A$5:$A$22,0)))</f>
        <v/>
      </c>
      <c r="E618" s="22">
        <f>IF(C618="","",INDEX(MERCADORIA!$C$5:$C$22,MATCH(C618,MERCADORIA!$A$5:$A$22,0)))</f>
        <v/>
      </c>
      <c r="F618" s="23" t="n"/>
      <c r="G618" s="24">
        <f>IF(D618="","",INDEX(VALOR!$B$5:$B$8,MATCH(D618,VALOR!$A$5:$A$8,0)))</f>
        <v/>
      </c>
      <c r="H618" s="15">
        <f>IF(OR(G618="",F618=""),0,F618*G618)</f>
        <v/>
      </c>
      <c r="I618" s="20" t="n"/>
      <c r="J618" s="20" t="n"/>
      <c r="K618" s="24">
        <f>IF(OR(O618=0,J618=""),0,INDEX(MAPA!$C$5:$C$14,MATCH(J618,MAPA!$A$5:$A$14,0)))</f>
        <v/>
      </c>
      <c r="L618" s="25">
        <f>H618+K618</f>
        <v/>
      </c>
      <c r="M618" s="20" t="n"/>
      <c r="N618" s="20" t="n"/>
      <c r="O618" s="14">
        <f>IF(A618="",0,IF(COUNTIF($A$5:A618,A618)=1,1,0))</f>
        <v/>
      </c>
    </row>
    <row r="619">
      <c r="A619" s="20" t="n"/>
      <c r="B619" s="21" t="n"/>
      <c r="C619" s="20" t="n"/>
      <c r="D619" s="22">
        <f>IF(C619="","",INDEX(MERCADORIA!$B$5:$B$22,MATCH(C619,MERCADORIA!$A$5:$A$22,0)))</f>
        <v/>
      </c>
      <c r="E619" s="22">
        <f>IF(C619="","",INDEX(MERCADORIA!$C$5:$C$22,MATCH(C619,MERCADORIA!$A$5:$A$22,0)))</f>
        <v/>
      </c>
      <c r="F619" s="23" t="n"/>
      <c r="G619" s="24">
        <f>IF(D619="","",INDEX(VALOR!$B$5:$B$8,MATCH(D619,VALOR!$A$5:$A$8,0)))</f>
        <v/>
      </c>
      <c r="H619" s="15">
        <f>IF(OR(G619="",F619=""),0,F619*G619)</f>
        <v/>
      </c>
      <c r="I619" s="20" t="n"/>
      <c r="J619" s="20" t="n"/>
      <c r="K619" s="24">
        <f>IF(OR(O619=0,J619=""),0,INDEX(MAPA!$C$5:$C$14,MATCH(J619,MAPA!$A$5:$A$14,0)))</f>
        <v/>
      </c>
      <c r="L619" s="25">
        <f>H619+K619</f>
        <v/>
      </c>
      <c r="M619" s="20" t="n"/>
      <c r="N619" s="20" t="n"/>
      <c r="O619" s="14">
        <f>IF(A619="",0,IF(COUNTIF($A$5:A619,A619)=1,1,0))</f>
        <v/>
      </c>
    </row>
    <row r="620">
      <c r="A620" s="20" t="n"/>
      <c r="B620" s="21" t="n"/>
      <c r="C620" s="20" t="n"/>
      <c r="D620" s="22">
        <f>IF(C620="","",INDEX(MERCADORIA!$B$5:$B$22,MATCH(C620,MERCADORIA!$A$5:$A$22,0)))</f>
        <v/>
      </c>
      <c r="E620" s="22">
        <f>IF(C620="","",INDEX(MERCADORIA!$C$5:$C$22,MATCH(C620,MERCADORIA!$A$5:$A$22,0)))</f>
        <v/>
      </c>
      <c r="F620" s="23" t="n"/>
      <c r="G620" s="24">
        <f>IF(D620="","",INDEX(VALOR!$B$5:$B$8,MATCH(D620,VALOR!$A$5:$A$8,0)))</f>
        <v/>
      </c>
      <c r="H620" s="15">
        <f>IF(OR(G620="",F620=""),0,F620*G620)</f>
        <v/>
      </c>
      <c r="I620" s="20" t="n"/>
      <c r="J620" s="20" t="n"/>
      <c r="K620" s="24">
        <f>IF(OR(O620=0,J620=""),0,INDEX(MAPA!$C$5:$C$14,MATCH(J620,MAPA!$A$5:$A$14,0)))</f>
        <v/>
      </c>
      <c r="L620" s="25">
        <f>H620+K620</f>
        <v/>
      </c>
      <c r="M620" s="20" t="n"/>
      <c r="N620" s="20" t="n"/>
      <c r="O620" s="14">
        <f>IF(A620="",0,IF(COUNTIF($A$5:A620,A620)=1,1,0))</f>
        <v/>
      </c>
    </row>
    <row r="621">
      <c r="A621" s="20" t="n"/>
      <c r="B621" s="21" t="n"/>
      <c r="C621" s="20" t="n"/>
      <c r="D621" s="22">
        <f>IF(C621="","",INDEX(MERCADORIA!$B$5:$B$22,MATCH(C621,MERCADORIA!$A$5:$A$22,0)))</f>
        <v/>
      </c>
      <c r="E621" s="22">
        <f>IF(C621="","",INDEX(MERCADORIA!$C$5:$C$22,MATCH(C621,MERCADORIA!$A$5:$A$22,0)))</f>
        <v/>
      </c>
      <c r="F621" s="23" t="n"/>
      <c r="G621" s="24">
        <f>IF(D621="","",INDEX(VALOR!$B$5:$B$8,MATCH(D621,VALOR!$A$5:$A$8,0)))</f>
        <v/>
      </c>
      <c r="H621" s="15">
        <f>IF(OR(G621="",F621=""),0,F621*G621)</f>
        <v/>
      </c>
      <c r="I621" s="20" t="n"/>
      <c r="J621" s="20" t="n"/>
      <c r="K621" s="24">
        <f>IF(OR(O621=0,J621=""),0,INDEX(MAPA!$C$5:$C$14,MATCH(J621,MAPA!$A$5:$A$14,0)))</f>
        <v/>
      </c>
      <c r="L621" s="25">
        <f>H621+K621</f>
        <v/>
      </c>
      <c r="M621" s="20" t="n"/>
      <c r="N621" s="20" t="n"/>
      <c r="O621" s="14">
        <f>IF(A621="",0,IF(COUNTIF($A$5:A621,A621)=1,1,0))</f>
        <v/>
      </c>
    </row>
    <row r="622">
      <c r="A622" s="20" t="n"/>
      <c r="B622" s="21" t="n"/>
      <c r="C622" s="20" t="n"/>
      <c r="D622" s="22">
        <f>IF(C622="","",INDEX(MERCADORIA!$B$5:$B$22,MATCH(C622,MERCADORIA!$A$5:$A$22,0)))</f>
        <v/>
      </c>
      <c r="E622" s="22">
        <f>IF(C622="","",INDEX(MERCADORIA!$C$5:$C$22,MATCH(C622,MERCADORIA!$A$5:$A$22,0)))</f>
        <v/>
      </c>
      <c r="F622" s="23" t="n"/>
      <c r="G622" s="24">
        <f>IF(D622="","",INDEX(VALOR!$B$5:$B$8,MATCH(D622,VALOR!$A$5:$A$8,0)))</f>
        <v/>
      </c>
      <c r="H622" s="15">
        <f>IF(OR(G622="",F622=""),0,F622*G622)</f>
        <v/>
      </c>
      <c r="I622" s="20" t="n"/>
      <c r="J622" s="20" t="n"/>
      <c r="K622" s="24">
        <f>IF(OR(O622=0,J622=""),0,INDEX(MAPA!$C$5:$C$14,MATCH(J622,MAPA!$A$5:$A$14,0)))</f>
        <v/>
      </c>
      <c r="L622" s="25">
        <f>H622+K622</f>
        <v/>
      </c>
      <c r="M622" s="20" t="n"/>
      <c r="N622" s="20" t="n"/>
      <c r="O622" s="14">
        <f>IF(A622="",0,IF(COUNTIF($A$5:A622,A622)=1,1,0))</f>
        <v/>
      </c>
    </row>
    <row r="623">
      <c r="A623" s="20" t="n"/>
      <c r="B623" s="21" t="n"/>
      <c r="C623" s="20" t="n"/>
      <c r="D623" s="22">
        <f>IF(C623="","",INDEX(MERCADORIA!$B$5:$B$22,MATCH(C623,MERCADORIA!$A$5:$A$22,0)))</f>
        <v/>
      </c>
      <c r="E623" s="22">
        <f>IF(C623="","",INDEX(MERCADORIA!$C$5:$C$22,MATCH(C623,MERCADORIA!$A$5:$A$22,0)))</f>
        <v/>
      </c>
      <c r="F623" s="23" t="n"/>
      <c r="G623" s="24">
        <f>IF(D623="","",INDEX(VALOR!$B$5:$B$8,MATCH(D623,VALOR!$A$5:$A$8,0)))</f>
        <v/>
      </c>
      <c r="H623" s="15">
        <f>IF(OR(G623="",F623=""),0,F623*G623)</f>
        <v/>
      </c>
      <c r="I623" s="20" t="n"/>
      <c r="J623" s="20" t="n"/>
      <c r="K623" s="24">
        <f>IF(OR(O623=0,J623=""),0,INDEX(MAPA!$C$5:$C$14,MATCH(J623,MAPA!$A$5:$A$14,0)))</f>
        <v/>
      </c>
      <c r="L623" s="25">
        <f>H623+K623</f>
        <v/>
      </c>
      <c r="M623" s="20" t="n"/>
      <c r="N623" s="20" t="n"/>
      <c r="O623" s="14">
        <f>IF(A623="",0,IF(COUNTIF($A$5:A623,A623)=1,1,0))</f>
        <v/>
      </c>
    </row>
    <row r="624">
      <c r="A624" s="20" t="n"/>
      <c r="B624" s="21" t="n"/>
      <c r="C624" s="20" t="n"/>
      <c r="D624" s="22">
        <f>IF(C624="","",INDEX(MERCADORIA!$B$5:$B$22,MATCH(C624,MERCADORIA!$A$5:$A$22,0)))</f>
        <v/>
      </c>
      <c r="E624" s="22">
        <f>IF(C624="","",INDEX(MERCADORIA!$C$5:$C$22,MATCH(C624,MERCADORIA!$A$5:$A$22,0)))</f>
        <v/>
      </c>
      <c r="F624" s="23" t="n"/>
      <c r="G624" s="24">
        <f>IF(D624="","",INDEX(VALOR!$B$5:$B$8,MATCH(D624,VALOR!$A$5:$A$8,0)))</f>
        <v/>
      </c>
      <c r="H624" s="15">
        <f>IF(OR(G624="",F624=""),0,F624*G624)</f>
        <v/>
      </c>
      <c r="I624" s="20" t="n"/>
      <c r="J624" s="20" t="n"/>
      <c r="K624" s="24">
        <f>IF(OR(O624=0,J624=""),0,INDEX(MAPA!$C$5:$C$14,MATCH(J624,MAPA!$A$5:$A$14,0)))</f>
        <v/>
      </c>
      <c r="L624" s="25">
        <f>H624+K624</f>
        <v/>
      </c>
      <c r="M624" s="20" t="n"/>
      <c r="N624" s="20" t="n"/>
      <c r="O624" s="14">
        <f>IF(A624="",0,IF(COUNTIF($A$5:A624,A624)=1,1,0))</f>
        <v/>
      </c>
    </row>
    <row r="625">
      <c r="A625" s="20" t="n"/>
      <c r="B625" s="21" t="n"/>
      <c r="C625" s="20" t="n"/>
      <c r="D625" s="22">
        <f>IF(C625="","",INDEX(MERCADORIA!$B$5:$B$22,MATCH(C625,MERCADORIA!$A$5:$A$22,0)))</f>
        <v/>
      </c>
      <c r="E625" s="22">
        <f>IF(C625="","",INDEX(MERCADORIA!$C$5:$C$22,MATCH(C625,MERCADORIA!$A$5:$A$22,0)))</f>
        <v/>
      </c>
      <c r="F625" s="23" t="n"/>
      <c r="G625" s="24">
        <f>IF(D625="","",INDEX(VALOR!$B$5:$B$8,MATCH(D625,VALOR!$A$5:$A$8,0)))</f>
        <v/>
      </c>
      <c r="H625" s="15">
        <f>IF(OR(G625="",F625=""),0,F625*G625)</f>
        <v/>
      </c>
      <c r="I625" s="20" t="n"/>
      <c r="J625" s="20" t="n"/>
      <c r="K625" s="24">
        <f>IF(OR(O625=0,J625=""),0,INDEX(MAPA!$C$5:$C$14,MATCH(J625,MAPA!$A$5:$A$14,0)))</f>
        <v/>
      </c>
      <c r="L625" s="25">
        <f>H625+K625</f>
        <v/>
      </c>
      <c r="M625" s="20" t="n"/>
      <c r="N625" s="20" t="n"/>
      <c r="O625" s="14">
        <f>IF(A625="",0,IF(COUNTIF($A$5:A625,A625)=1,1,0))</f>
        <v/>
      </c>
    </row>
    <row r="626">
      <c r="A626" s="20" t="n"/>
      <c r="B626" s="21" t="n"/>
      <c r="C626" s="20" t="n"/>
      <c r="D626" s="22">
        <f>IF(C626="","",INDEX(MERCADORIA!$B$5:$B$22,MATCH(C626,MERCADORIA!$A$5:$A$22,0)))</f>
        <v/>
      </c>
      <c r="E626" s="22">
        <f>IF(C626="","",INDEX(MERCADORIA!$C$5:$C$22,MATCH(C626,MERCADORIA!$A$5:$A$22,0)))</f>
        <v/>
      </c>
      <c r="F626" s="23" t="n"/>
      <c r="G626" s="24">
        <f>IF(D626="","",INDEX(VALOR!$B$5:$B$8,MATCH(D626,VALOR!$A$5:$A$8,0)))</f>
        <v/>
      </c>
      <c r="H626" s="15">
        <f>IF(OR(G626="",F626=""),0,F626*G626)</f>
        <v/>
      </c>
      <c r="I626" s="20" t="n"/>
      <c r="J626" s="20" t="n"/>
      <c r="K626" s="24">
        <f>IF(OR(O626=0,J626=""),0,INDEX(MAPA!$C$5:$C$14,MATCH(J626,MAPA!$A$5:$A$14,0)))</f>
        <v/>
      </c>
      <c r="L626" s="25">
        <f>H626+K626</f>
        <v/>
      </c>
      <c r="M626" s="20" t="n"/>
      <c r="N626" s="20" t="n"/>
      <c r="O626" s="14">
        <f>IF(A626="",0,IF(COUNTIF($A$5:A626,A626)=1,1,0))</f>
        <v/>
      </c>
    </row>
    <row r="627">
      <c r="A627" s="20" t="n"/>
      <c r="B627" s="21" t="n"/>
      <c r="C627" s="20" t="n"/>
      <c r="D627" s="22">
        <f>IF(C627="","",INDEX(MERCADORIA!$B$5:$B$22,MATCH(C627,MERCADORIA!$A$5:$A$22,0)))</f>
        <v/>
      </c>
      <c r="E627" s="22">
        <f>IF(C627="","",INDEX(MERCADORIA!$C$5:$C$22,MATCH(C627,MERCADORIA!$A$5:$A$22,0)))</f>
        <v/>
      </c>
      <c r="F627" s="23" t="n"/>
      <c r="G627" s="24">
        <f>IF(D627="","",INDEX(VALOR!$B$5:$B$8,MATCH(D627,VALOR!$A$5:$A$8,0)))</f>
        <v/>
      </c>
      <c r="H627" s="15">
        <f>IF(OR(G627="",F627=""),0,F627*G627)</f>
        <v/>
      </c>
      <c r="I627" s="20" t="n"/>
      <c r="J627" s="20" t="n"/>
      <c r="K627" s="24">
        <f>IF(OR(O627=0,J627=""),0,INDEX(MAPA!$C$5:$C$14,MATCH(J627,MAPA!$A$5:$A$14,0)))</f>
        <v/>
      </c>
      <c r="L627" s="25">
        <f>H627+K627</f>
        <v/>
      </c>
      <c r="M627" s="20" t="n"/>
      <c r="N627" s="20" t="n"/>
      <c r="O627" s="14">
        <f>IF(A627="",0,IF(COUNTIF($A$5:A627,A627)=1,1,0))</f>
        <v/>
      </c>
    </row>
    <row r="628">
      <c r="A628" s="20" t="n"/>
      <c r="B628" s="21" t="n"/>
      <c r="C628" s="20" t="n"/>
      <c r="D628" s="22">
        <f>IF(C628="","",INDEX(MERCADORIA!$B$5:$B$22,MATCH(C628,MERCADORIA!$A$5:$A$22,0)))</f>
        <v/>
      </c>
      <c r="E628" s="22">
        <f>IF(C628="","",INDEX(MERCADORIA!$C$5:$C$22,MATCH(C628,MERCADORIA!$A$5:$A$22,0)))</f>
        <v/>
      </c>
      <c r="F628" s="23" t="n"/>
      <c r="G628" s="24">
        <f>IF(D628="","",INDEX(VALOR!$B$5:$B$8,MATCH(D628,VALOR!$A$5:$A$8,0)))</f>
        <v/>
      </c>
      <c r="H628" s="15">
        <f>IF(OR(G628="",F628=""),0,F628*G628)</f>
        <v/>
      </c>
      <c r="I628" s="20" t="n"/>
      <c r="J628" s="20" t="n"/>
      <c r="K628" s="24">
        <f>IF(OR(O628=0,J628=""),0,INDEX(MAPA!$C$5:$C$14,MATCH(J628,MAPA!$A$5:$A$14,0)))</f>
        <v/>
      </c>
      <c r="L628" s="25">
        <f>H628+K628</f>
        <v/>
      </c>
      <c r="M628" s="20" t="n"/>
      <c r="N628" s="20" t="n"/>
      <c r="O628" s="14">
        <f>IF(A628="",0,IF(COUNTIF($A$5:A628,A628)=1,1,0))</f>
        <v/>
      </c>
    </row>
    <row r="629">
      <c r="A629" s="20" t="n"/>
      <c r="B629" s="21" t="n"/>
      <c r="C629" s="20" t="n"/>
      <c r="D629" s="22">
        <f>IF(C629="","",INDEX(MERCADORIA!$B$5:$B$22,MATCH(C629,MERCADORIA!$A$5:$A$22,0)))</f>
        <v/>
      </c>
      <c r="E629" s="22">
        <f>IF(C629="","",INDEX(MERCADORIA!$C$5:$C$22,MATCH(C629,MERCADORIA!$A$5:$A$22,0)))</f>
        <v/>
      </c>
      <c r="F629" s="23" t="n"/>
      <c r="G629" s="24">
        <f>IF(D629="","",INDEX(VALOR!$B$5:$B$8,MATCH(D629,VALOR!$A$5:$A$8,0)))</f>
        <v/>
      </c>
      <c r="H629" s="15">
        <f>IF(OR(G629="",F629=""),0,F629*G629)</f>
        <v/>
      </c>
      <c r="I629" s="20" t="n"/>
      <c r="J629" s="20" t="n"/>
      <c r="K629" s="24">
        <f>IF(OR(O629=0,J629=""),0,INDEX(MAPA!$C$5:$C$14,MATCH(J629,MAPA!$A$5:$A$14,0)))</f>
        <v/>
      </c>
      <c r="L629" s="25">
        <f>H629+K629</f>
        <v/>
      </c>
      <c r="M629" s="20" t="n"/>
      <c r="N629" s="20" t="n"/>
      <c r="O629" s="14">
        <f>IF(A629="",0,IF(COUNTIF($A$5:A629,A629)=1,1,0))</f>
        <v/>
      </c>
    </row>
    <row r="630">
      <c r="A630" s="20" t="n"/>
      <c r="B630" s="21" t="n"/>
      <c r="C630" s="20" t="n"/>
      <c r="D630" s="22">
        <f>IF(C630="","",INDEX(MERCADORIA!$B$5:$B$22,MATCH(C630,MERCADORIA!$A$5:$A$22,0)))</f>
        <v/>
      </c>
      <c r="E630" s="22">
        <f>IF(C630="","",INDEX(MERCADORIA!$C$5:$C$22,MATCH(C630,MERCADORIA!$A$5:$A$22,0)))</f>
        <v/>
      </c>
      <c r="F630" s="23" t="n"/>
      <c r="G630" s="24">
        <f>IF(D630="","",INDEX(VALOR!$B$5:$B$8,MATCH(D630,VALOR!$A$5:$A$8,0)))</f>
        <v/>
      </c>
      <c r="H630" s="15">
        <f>IF(OR(G630="",F630=""),0,F630*G630)</f>
        <v/>
      </c>
      <c r="I630" s="20" t="n"/>
      <c r="J630" s="20" t="n"/>
      <c r="K630" s="24">
        <f>IF(OR(O630=0,J630=""),0,INDEX(MAPA!$C$5:$C$14,MATCH(J630,MAPA!$A$5:$A$14,0)))</f>
        <v/>
      </c>
      <c r="L630" s="25">
        <f>H630+K630</f>
        <v/>
      </c>
      <c r="M630" s="20" t="n"/>
      <c r="N630" s="20" t="n"/>
      <c r="O630" s="14">
        <f>IF(A630="",0,IF(COUNTIF($A$5:A630,A630)=1,1,0))</f>
        <v/>
      </c>
    </row>
    <row r="631">
      <c r="A631" s="20" t="n"/>
      <c r="B631" s="21" t="n"/>
      <c r="C631" s="20" t="n"/>
      <c r="D631" s="22">
        <f>IF(C631="","",INDEX(MERCADORIA!$B$5:$B$22,MATCH(C631,MERCADORIA!$A$5:$A$22,0)))</f>
        <v/>
      </c>
      <c r="E631" s="22">
        <f>IF(C631="","",INDEX(MERCADORIA!$C$5:$C$22,MATCH(C631,MERCADORIA!$A$5:$A$22,0)))</f>
        <v/>
      </c>
      <c r="F631" s="23" t="n"/>
      <c r="G631" s="24">
        <f>IF(D631="","",INDEX(VALOR!$B$5:$B$8,MATCH(D631,VALOR!$A$5:$A$8,0)))</f>
        <v/>
      </c>
      <c r="H631" s="15">
        <f>IF(OR(G631="",F631=""),0,F631*G631)</f>
        <v/>
      </c>
      <c r="I631" s="20" t="n"/>
      <c r="J631" s="20" t="n"/>
      <c r="K631" s="24">
        <f>IF(OR(O631=0,J631=""),0,INDEX(MAPA!$C$5:$C$14,MATCH(J631,MAPA!$A$5:$A$14,0)))</f>
        <v/>
      </c>
      <c r="L631" s="25">
        <f>H631+K631</f>
        <v/>
      </c>
      <c r="M631" s="20" t="n"/>
      <c r="N631" s="20" t="n"/>
      <c r="O631" s="14">
        <f>IF(A631="",0,IF(COUNTIF($A$5:A631,A631)=1,1,0))</f>
        <v/>
      </c>
    </row>
    <row r="632">
      <c r="A632" s="20" t="n"/>
      <c r="B632" s="21" t="n"/>
      <c r="C632" s="20" t="n"/>
      <c r="D632" s="22">
        <f>IF(C632="","",INDEX(MERCADORIA!$B$5:$B$22,MATCH(C632,MERCADORIA!$A$5:$A$22,0)))</f>
        <v/>
      </c>
      <c r="E632" s="22">
        <f>IF(C632="","",INDEX(MERCADORIA!$C$5:$C$22,MATCH(C632,MERCADORIA!$A$5:$A$22,0)))</f>
        <v/>
      </c>
      <c r="F632" s="23" t="n"/>
      <c r="G632" s="24">
        <f>IF(D632="","",INDEX(VALOR!$B$5:$B$8,MATCH(D632,VALOR!$A$5:$A$8,0)))</f>
        <v/>
      </c>
      <c r="H632" s="15">
        <f>IF(OR(G632="",F632=""),0,F632*G632)</f>
        <v/>
      </c>
      <c r="I632" s="20" t="n"/>
      <c r="J632" s="20" t="n"/>
      <c r="K632" s="24">
        <f>IF(OR(O632=0,J632=""),0,INDEX(MAPA!$C$5:$C$14,MATCH(J632,MAPA!$A$5:$A$14,0)))</f>
        <v/>
      </c>
      <c r="L632" s="25">
        <f>H632+K632</f>
        <v/>
      </c>
      <c r="M632" s="20" t="n"/>
      <c r="N632" s="20" t="n"/>
      <c r="O632" s="14">
        <f>IF(A632="",0,IF(COUNTIF($A$5:A632,A632)=1,1,0))</f>
        <v/>
      </c>
    </row>
    <row r="633">
      <c r="A633" s="20" t="n"/>
      <c r="B633" s="21" t="n"/>
      <c r="C633" s="20" t="n"/>
      <c r="D633" s="22">
        <f>IF(C633="","",INDEX(MERCADORIA!$B$5:$B$22,MATCH(C633,MERCADORIA!$A$5:$A$22,0)))</f>
        <v/>
      </c>
      <c r="E633" s="22">
        <f>IF(C633="","",INDEX(MERCADORIA!$C$5:$C$22,MATCH(C633,MERCADORIA!$A$5:$A$22,0)))</f>
        <v/>
      </c>
      <c r="F633" s="23" t="n"/>
      <c r="G633" s="24">
        <f>IF(D633="","",INDEX(VALOR!$B$5:$B$8,MATCH(D633,VALOR!$A$5:$A$8,0)))</f>
        <v/>
      </c>
      <c r="H633" s="15">
        <f>IF(OR(G633="",F633=""),0,F633*G633)</f>
        <v/>
      </c>
      <c r="I633" s="20" t="n"/>
      <c r="J633" s="20" t="n"/>
      <c r="K633" s="24">
        <f>IF(OR(O633=0,J633=""),0,INDEX(MAPA!$C$5:$C$14,MATCH(J633,MAPA!$A$5:$A$14,0)))</f>
        <v/>
      </c>
      <c r="L633" s="25">
        <f>H633+K633</f>
        <v/>
      </c>
      <c r="M633" s="20" t="n"/>
      <c r="N633" s="20" t="n"/>
      <c r="O633" s="14">
        <f>IF(A633="",0,IF(COUNTIF($A$5:A633,A633)=1,1,0))</f>
        <v/>
      </c>
    </row>
    <row r="634">
      <c r="A634" s="20" t="n"/>
      <c r="B634" s="21" t="n"/>
      <c r="C634" s="20" t="n"/>
      <c r="D634" s="22">
        <f>IF(C634="","",INDEX(MERCADORIA!$B$5:$B$22,MATCH(C634,MERCADORIA!$A$5:$A$22,0)))</f>
        <v/>
      </c>
      <c r="E634" s="22">
        <f>IF(C634="","",INDEX(MERCADORIA!$C$5:$C$22,MATCH(C634,MERCADORIA!$A$5:$A$22,0)))</f>
        <v/>
      </c>
      <c r="F634" s="23" t="n"/>
      <c r="G634" s="24">
        <f>IF(D634="","",INDEX(VALOR!$B$5:$B$8,MATCH(D634,VALOR!$A$5:$A$8,0)))</f>
        <v/>
      </c>
      <c r="H634" s="15">
        <f>IF(OR(G634="",F634=""),0,F634*G634)</f>
        <v/>
      </c>
      <c r="I634" s="20" t="n"/>
      <c r="J634" s="20" t="n"/>
      <c r="K634" s="24">
        <f>IF(OR(O634=0,J634=""),0,INDEX(MAPA!$C$5:$C$14,MATCH(J634,MAPA!$A$5:$A$14,0)))</f>
        <v/>
      </c>
      <c r="L634" s="25">
        <f>H634+K634</f>
        <v/>
      </c>
      <c r="M634" s="20" t="n"/>
      <c r="N634" s="20" t="n"/>
      <c r="O634" s="14">
        <f>IF(A634="",0,IF(COUNTIF($A$5:A634,A634)=1,1,0))</f>
        <v/>
      </c>
    </row>
    <row r="635">
      <c r="A635" s="20" t="n"/>
      <c r="B635" s="21" t="n"/>
      <c r="C635" s="20" t="n"/>
      <c r="D635" s="22">
        <f>IF(C635="","",INDEX(MERCADORIA!$B$5:$B$22,MATCH(C635,MERCADORIA!$A$5:$A$22,0)))</f>
        <v/>
      </c>
      <c r="E635" s="22">
        <f>IF(C635="","",INDEX(MERCADORIA!$C$5:$C$22,MATCH(C635,MERCADORIA!$A$5:$A$22,0)))</f>
        <v/>
      </c>
      <c r="F635" s="23" t="n"/>
      <c r="G635" s="24">
        <f>IF(D635="","",INDEX(VALOR!$B$5:$B$8,MATCH(D635,VALOR!$A$5:$A$8,0)))</f>
        <v/>
      </c>
      <c r="H635" s="15">
        <f>IF(OR(G635="",F635=""),0,F635*G635)</f>
        <v/>
      </c>
      <c r="I635" s="20" t="n"/>
      <c r="J635" s="20" t="n"/>
      <c r="K635" s="24">
        <f>IF(OR(O635=0,J635=""),0,INDEX(MAPA!$C$5:$C$14,MATCH(J635,MAPA!$A$5:$A$14,0)))</f>
        <v/>
      </c>
      <c r="L635" s="25">
        <f>H635+K635</f>
        <v/>
      </c>
      <c r="M635" s="20" t="n"/>
      <c r="N635" s="20" t="n"/>
      <c r="O635" s="14">
        <f>IF(A635="",0,IF(COUNTIF($A$5:A635,A635)=1,1,0))</f>
        <v/>
      </c>
    </row>
    <row r="636">
      <c r="A636" s="20" t="n"/>
      <c r="B636" s="21" t="n"/>
      <c r="C636" s="20" t="n"/>
      <c r="D636" s="22">
        <f>IF(C636="","",INDEX(MERCADORIA!$B$5:$B$22,MATCH(C636,MERCADORIA!$A$5:$A$22,0)))</f>
        <v/>
      </c>
      <c r="E636" s="22">
        <f>IF(C636="","",INDEX(MERCADORIA!$C$5:$C$22,MATCH(C636,MERCADORIA!$A$5:$A$22,0)))</f>
        <v/>
      </c>
      <c r="F636" s="23" t="n"/>
      <c r="G636" s="24">
        <f>IF(D636="","",INDEX(VALOR!$B$5:$B$8,MATCH(D636,VALOR!$A$5:$A$8,0)))</f>
        <v/>
      </c>
      <c r="H636" s="15">
        <f>IF(OR(G636="",F636=""),0,F636*G636)</f>
        <v/>
      </c>
      <c r="I636" s="20" t="n"/>
      <c r="J636" s="20" t="n"/>
      <c r="K636" s="24">
        <f>IF(OR(O636=0,J636=""),0,INDEX(MAPA!$C$5:$C$14,MATCH(J636,MAPA!$A$5:$A$14,0)))</f>
        <v/>
      </c>
      <c r="L636" s="25">
        <f>H636+K636</f>
        <v/>
      </c>
      <c r="M636" s="20" t="n"/>
      <c r="N636" s="20" t="n"/>
      <c r="O636" s="14">
        <f>IF(A636="",0,IF(COUNTIF($A$5:A636,A636)=1,1,0))</f>
        <v/>
      </c>
    </row>
    <row r="637">
      <c r="A637" s="20" t="n"/>
      <c r="B637" s="21" t="n"/>
      <c r="C637" s="20" t="n"/>
      <c r="D637" s="22">
        <f>IF(C637="","",INDEX(MERCADORIA!$B$5:$B$22,MATCH(C637,MERCADORIA!$A$5:$A$22,0)))</f>
        <v/>
      </c>
      <c r="E637" s="22">
        <f>IF(C637="","",INDEX(MERCADORIA!$C$5:$C$22,MATCH(C637,MERCADORIA!$A$5:$A$22,0)))</f>
        <v/>
      </c>
      <c r="F637" s="23" t="n"/>
      <c r="G637" s="24">
        <f>IF(D637="","",INDEX(VALOR!$B$5:$B$8,MATCH(D637,VALOR!$A$5:$A$8,0)))</f>
        <v/>
      </c>
      <c r="H637" s="15">
        <f>IF(OR(G637="",F637=""),0,F637*G637)</f>
        <v/>
      </c>
      <c r="I637" s="20" t="n"/>
      <c r="J637" s="20" t="n"/>
      <c r="K637" s="24">
        <f>IF(OR(O637=0,J637=""),0,INDEX(MAPA!$C$5:$C$14,MATCH(J637,MAPA!$A$5:$A$14,0)))</f>
        <v/>
      </c>
      <c r="L637" s="25">
        <f>H637+K637</f>
        <v/>
      </c>
      <c r="M637" s="20" t="n"/>
      <c r="N637" s="20" t="n"/>
      <c r="O637" s="14">
        <f>IF(A637="",0,IF(COUNTIF($A$5:A637,A637)=1,1,0))</f>
        <v/>
      </c>
    </row>
    <row r="638">
      <c r="A638" s="20" t="n"/>
      <c r="B638" s="21" t="n"/>
      <c r="C638" s="20" t="n"/>
      <c r="D638" s="22">
        <f>IF(C638="","",INDEX(MERCADORIA!$B$5:$B$22,MATCH(C638,MERCADORIA!$A$5:$A$22,0)))</f>
        <v/>
      </c>
      <c r="E638" s="22">
        <f>IF(C638="","",INDEX(MERCADORIA!$C$5:$C$22,MATCH(C638,MERCADORIA!$A$5:$A$22,0)))</f>
        <v/>
      </c>
      <c r="F638" s="23" t="n"/>
      <c r="G638" s="24">
        <f>IF(D638="","",INDEX(VALOR!$B$5:$B$8,MATCH(D638,VALOR!$A$5:$A$8,0)))</f>
        <v/>
      </c>
      <c r="H638" s="15">
        <f>IF(OR(G638="",F638=""),0,F638*G638)</f>
        <v/>
      </c>
      <c r="I638" s="20" t="n"/>
      <c r="J638" s="20" t="n"/>
      <c r="K638" s="24">
        <f>IF(OR(O638=0,J638=""),0,INDEX(MAPA!$C$5:$C$14,MATCH(J638,MAPA!$A$5:$A$14,0)))</f>
        <v/>
      </c>
      <c r="L638" s="25">
        <f>H638+K638</f>
        <v/>
      </c>
      <c r="M638" s="20" t="n"/>
      <c r="N638" s="20" t="n"/>
      <c r="O638" s="14">
        <f>IF(A638="",0,IF(COUNTIF($A$5:A638,A638)=1,1,0))</f>
        <v/>
      </c>
    </row>
    <row r="639">
      <c r="A639" s="20" t="n"/>
      <c r="B639" s="21" t="n"/>
      <c r="C639" s="20" t="n"/>
      <c r="D639" s="22">
        <f>IF(C639="","",INDEX(MERCADORIA!$B$5:$B$22,MATCH(C639,MERCADORIA!$A$5:$A$22,0)))</f>
        <v/>
      </c>
      <c r="E639" s="22">
        <f>IF(C639="","",INDEX(MERCADORIA!$C$5:$C$22,MATCH(C639,MERCADORIA!$A$5:$A$22,0)))</f>
        <v/>
      </c>
      <c r="F639" s="23" t="n"/>
      <c r="G639" s="24">
        <f>IF(D639="","",INDEX(VALOR!$B$5:$B$8,MATCH(D639,VALOR!$A$5:$A$8,0)))</f>
        <v/>
      </c>
      <c r="H639" s="15">
        <f>IF(OR(G639="",F639=""),0,F639*G639)</f>
        <v/>
      </c>
      <c r="I639" s="20" t="n"/>
      <c r="J639" s="20" t="n"/>
      <c r="K639" s="24">
        <f>IF(OR(O639=0,J639=""),0,INDEX(MAPA!$C$5:$C$14,MATCH(J639,MAPA!$A$5:$A$14,0)))</f>
        <v/>
      </c>
      <c r="L639" s="25">
        <f>H639+K639</f>
        <v/>
      </c>
      <c r="M639" s="20" t="n"/>
      <c r="N639" s="20" t="n"/>
      <c r="O639" s="14">
        <f>IF(A639="",0,IF(COUNTIF($A$5:A639,A639)=1,1,0))</f>
        <v/>
      </c>
    </row>
    <row r="640">
      <c r="A640" s="20" t="n"/>
      <c r="B640" s="21" t="n"/>
      <c r="C640" s="20" t="n"/>
      <c r="D640" s="22">
        <f>IF(C640="","",INDEX(MERCADORIA!$B$5:$B$22,MATCH(C640,MERCADORIA!$A$5:$A$22,0)))</f>
        <v/>
      </c>
      <c r="E640" s="22">
        <f>IF(C640="","",INDEX(MERCADORIA!$C$5:$C$22,MATCH(C640,MERCADORIA!$A$5:$A$22,0)))</f>
        <v/>
      </c>
      <c r="F640" s="23" t="n"/>
      <c r="G640" s="24">
        <f>IF(D640="","",INDEX(VALOR!$B$5:$B$8,MATCH(D640,VALOR!$A$5:$A$8,0)))</f>
        <v/>
      </c>
      <c r="H640" s="15">
        <f>IF(OR(G640="",F640=""),0,F640*G640)</f>
        <v/>
      </c>
      <c r="I640" s="20" t="n"/>
      <c r="J640" s="20" t="n"/>
      <c r="K640" s="24">
        <f>IF(OR(O640=0,J640=""),0,INDEX(MAPA!$C$5:$C$14,MATCH(J640,MAPA!$A$5:$A$14,0)))</f>
        <v/>
      </c>
      <c r="L640" s="25">
        <f>H640+K640</f>
        <v/>
      </c>
      <c r="M640" s="20" t="n"/>
      <c r="N640" s="20" t="n"/>
      <c r="O640" s="14">
        <f>IF(A640="",0,IF(COUNTIF($A$5:A640,A640)=1,1,0))</f>
        <v/>
      </c>
    </row>
    <row r="641">
      <c r="A641" s="20" t="n"/>
      <c r="B641" s="21" t="n"/>
      <c r="C641" s="20" t="n"/>
      <c r="D641" s="22">
        <f>IF(C641="","",INDEX(MERCADORIA!$B$5:$B$22,MATCH(C641,MERCADORIA!$A$5:$A$22,0)))</f>
        <v/>
      </c>
      <c r="E641" s="22">
        <f>IF(C641="","",INDEX(MERCADORIA!$C$5:$C$22,MATCH(C641,MERCADORIA!$A$5:$A$22,0)))</f>
        <v/>
      </c>
      <c r="F641" s="23" t="n"/>
      <c r="G641" s="24">
        <f>IF(D641="","",INDEX(VALOR!$B$5:$B$8,MATCH(D641,VALOR!$A$5:$A$8,0)))</f>
        <v/>
      </c>
      <c r="H641" s="15">
        <f>IF(OR(G641="",F641=""),0,F641*G641)</f>
        <v/>
      </c>
      <c r="I641" s="20" t="n"/>
      <c r="J641" s="20" t="n"/>
      <c r="K641" s="24">
        <f>IF(OR(O641=0,J641=""),0,INDEX(MAPA!$C$5:$C$14,MATCH(J641,MAPA!$A$5:$A$14,0)))</f>
        <v/>
      </c>
      <c r="L641" s="25">
        <f>H641+K641</f>
        <v/>
      </c>
      <c r="M641" s="20" t="n"/>
      <c r="N641" s="20" t="n"/>
      <c r="O641" s="14">
        <f>IF(A641="",0,IF(COUNTIF($A$5:A641,A641)=1,1,0))</f>
        <v/>
      </c>
    </row>
    <row r="642">
      <c r="A642" s="20" t="n"/>
      <c r="B642" s="21" t="n"/>
      <c r="C642" s="20" t="n"/>
      <c r="D642" s="22">
        <f>IF(C642="","",INDEX(MERCADORIA!$B$5:$B$22,MATCH(C642,MERCADORIA!$A$5:$A$22,0)))</f>
        <v/>
      </c>
      <c r="E642" s="22">
        <f>IF(C642="","",INDEX(MERCADORIA!$C$5:$C$22,MATCH(C642,MERCADORIA!$A$5:$A$22,0)))</f>
        <v/>
      </c>
      <c r="F642" s="23" t="n"/>
      <c r="G642" s="24">
        <f>IF(D642="","",INDEX(VALOR!$B$5:$B$8,MATCH(D642,VALOR!$A$5:$A$8,0)))</f>
        <v/>
      </c>
      <c r="H642" s="15">
        <f>IF(OR(G642="",F642=""),0,F642*G642)</f>
        <v/>
      </c>
      <c r="I642" s="20" t="n"/>
      <c r="J642" s="20" t="n"/>
      <c r="K642" s="24">
        <f>IF(OR(O642=0,J642=""),0,INDEX(MAPA!$C$5:$C$14,MATCH(J642,MAPA!$A$5:$A$14,0)))</f>
        <v/>
      </c>
      <c r="L642" s="25">
        <f>H642+K642</f>
        <v/>
      </c>
      <c r="M642" s="20" t="n"/>
      <c r="N642" s="20" t="n"/>
      <c r="O642" s="14">
        <f>IF(A642="",0,IF(COUNTIF($A$5:A642,A642)=1,1,0))</f>
        <v/>
      </c>
    </row>
    <row r="643">
      <c r="A643" s="20" t="n"/>
      <c r="B643" s="21" t="n"/>
      <c r="C643" s="20" t="n"/>
      <c r="D643" s="22">
        <f>IF(C643="","",INDEX(MERCADORIA!$B$5:$B$22,MATCH(C643,MERCADORIA!$A$5:$A$22,0)))</f>
        <v/>
      </c>
      <c r="E643" s="22">
        <f>IF(C643="","",INDEX(MERCADORIA!$C$5:$C$22,MATCH(C643,MERCADORIA!$A$5:$A$22,0)))</f>
        <v/>
      </c>
      <c r="F643" s="23" t="n"/>
      <c r="G643" s="24">
        <f>IF(D643="","",INDEX(VALOR!$B$5:$B$8,MATCH(D643,VALOR!$A$5:$A$8,0)))</f>
        <v/>
      </c>
      <c r="H643" s="15">
        <f>IF(OR(G643="",F643=""),0,F643*G643)</f>
        <v/>
      </c>
      <c r="I643" s="20" t="n"/>
      <c r="J643" s="20" t="n"/>
      <c r="K643" s="24">
        <f>IF(OR(O643=0,J643=""),0,INDEX(MAPA!$C$5:$C$14,MATCH(J643,MAPA!$A$5:$A$14,0)))</f>
        <v/>
      </c>
      <c r="L643" s="25">
        <f>H643+K643</f>
        <v/>
      </c>
      <c r="M643" s="20" t="n"/>
      <c r="N643" s="20" t="n"/>
      <c r="O643" s="14">
        <f>IF(A643="",0,IF(COUNTIF($A$5:A643,A643)=1,1,0))</f>
        <v/>
      </c>
    </row>
    <row r="644">
      <c r="A644" s="20" t="n"/>
      <c r="B644" s="21" t="n"/>
      <c r="C644" s="20" t="n"/>
      <c r="D644" s="22">
        <f>IF(C644="","",INDEX(MERCADORIA!$B$5:$B$22,MATCH(C644,MERCADORIA!$A$5:$A$22,0)))</f>
        <v/>
      </c>
      <c r="E644" s="22">
        <f>IF(C644="","",INDEX(MERCADORIA!$C$5:$C$22,MATCH(C644,MERCADORIA!$A$5:$A$22,0)))</f>
        <v/>
      </c>
      <c r="F644" s="23" t="n"/>
      <c r="G644" s="24">
        <f>IF(D644="","",INDEX(VALOR!$B$5:$B$8,MATCH(D644,VALOR!$A$5:$A$8,0)))</f>
        <v/>
      </c>
      <c r="H644" s="15">
        <f>IF(OR(G644="",F644=""),0,F644*G644)</f>
        <v/>
      </c>
      <c r="I644" s="20" t="n"/>
      <c r="J644" s="20" t="n"/>
      <c r="K644" s="24">
        <f>IF(OR(O644=0,J644=""),0,INDEX(MAPA!$C$5:$C$14,MATCH(J644,MAPA!$A$5:$A$14,0)))</f>
        <v/>
      </c>
      <c r="L644" s="25">
        <f>H644+K644</f>
        <v/>
      </c>
      <c r="M644" s="20" t="n"/>
      <c r="N644" s="20" t="n"/>
      <c r="O644" s="14">
        <f>IF(A644="",0,IF(COUNTIF($A$5:A644,A644)=1,1,0))</f>
        <v/>
      </c>
    </row>
    <row r="645">
      <c r="A645" s="20" t="n"/>
      <c r="B645" s="21" t="n"/>
      <c r="C645" s="20" t="n"/>
      <c r="D645" s="22">
        <f>IF(C645="","",INDEX(MERCADORIA!$B$5:$B$22,MATCH(C645,MERCADORIA!$A$5:$A$22,0)))</f>
        <v/>
      </c>
      <c r="E645" s="22">
        <f>IF(C645="","",INDEX(MERCADORIA!$C$5:$C$22,MATCH(C645,MERCADORIA!$A$5:$A$22,0)))</f>
        <v/>
      </c>
      <c r="F645" s="23" t="n"/>
      <c r="G645" s="24">
        <f>IF(D645="","",INDEX(VALOR!$B$5:$B$8,MATCH(D645,VALOR!$A$5:$A$8,0)))</f>
        <v/>
      </c>
      <c r="H645" s="15">
        <f>IF(OR(G645="",F645=""),0,F645*G645)</f>
        <v/>
      </c>
      <c r="I645" s="20" t="n"/>
      <c r="J645" s="20" t="n"/>
      <c r="K645" s="24">
        <f>IF(OR(O645=0,J645=""),0,INDEX(MAPA!$C$5:$C$14,MATCH(J645,MAPA!$A$5:$A$14,0)))</f>
        <v/>
      </c>
      <c r="L645" s="25">
        <f>H645+K645</f>
        <v/>
      </c>
      <c r="M645" s="20" t="n"/>
      <c r="N645" s="20" t="n"/>
      <c r="O645" s="14">
        <f>IF(A645="",0,IF(COUNTIF($A$5:A645,A645)=1,1,0))</f>
        <v/>
      </c>
    </row>
    <row r="646">
      <c r="A646" s="20" t="n"/>
      <c r="B646" s="21" t="n"/>
      <c r="C646" s="20" t="n"/>
      <c r="D646" s="22">
        <f>IF(C646="","",INDEX(MERCADORIA!$B$5:$B$22,MATCH(C646,MERCADORIA!$A$5:$A$22,0)))</f>
        <v/>
      </c>
      <c r="E646" s="22">
        <f>IF(C646="","",INDEX(MERCADORIA!$C$5:$C$22,MATCH(C646,MERCADORIA!$A$5:$A$22,0)))</f>
        <v/>
      </c>
      <c r="F646" s="23" t="n"/>
      <c r="G646" s="24">
        <f>IF(D646="","",INDEX(VALOR!$B$5:$B$8,MATCH(D646,VALOR!$A$5:$A$8,0)))</f>
        <v/>
      </c>
      <c r="H646" s="15">
        <f>IF(OR(G646="",F646=""),0,F646*G646)</f>
        <v/>
      </c>
      <c r="I646" s="20" t="n"/>
      <c r="J646" s="20" t="n"/>
      <c r="K646" s="24">
        <f>IF(OR(O646=0,J646=""),0,INDEX(MAPA!$C$5:$C$14,MATCH(J646,MAPA!$A$5:$A$14,0)))</f>
        <v/>
      </c>
      <c r="L646" s="25">
        <f>H646+K646</f>
        <v/>
      </c>
      <c r="M646" s="20" t="n"/>
      <c r="N646" s="20" t="n"/>
      <c r="O646" s="14">
        <f>IF(A646="",0,IF(COUNTIF($A$5:A646,A646)=1,1,0))</f>
        <v/>
      </c>
    </row>
    <row r="647">
      <c r="A647" s="20" t="n"/>
      <c r="B647" s="21" t="n"/>
      <c r="C647" s="20" t="n"/>
      <c r="D647" s="22">
        <f>IF(C647="","",INDEX(MERCADORIA!$B$5:$B$22,MATCH(C647,MERCADORIA!$A$5:$A$22,0)))</f>
        <v/>
      </c>
      <c r="E647" s="22">
        <f>IF(C647="","",INDEX(MERCADORIA!$C$5:$C$22,MATCH(C647,MERCADORIA!$A$5:$A$22,0)))</f>
        <v/>
      </c>
      <c r="F647" s="23" t="n"/>
      <c r="G647" s="24">
        <f>IF(D647="","",INDEX(VALOR!$B$5:$B$8,MATCH(D647,VALOR!$A$5:$A$8,0)))</f>
        <v/>
      </c>
      <c r="H647" s="15">
        <f>IF(OR(G647="",F647=""),0,F647*G647)</f>
        <v/>
      </c>
      <c r="I647" s="20" t="n"/>
      <c r="J647" s="20" t="n"/>
      <c r="K647" s="24">
        <f>IF(OR(O647=0,J647=""),0,INDEX(MAPA!$C$5:$C$14,MATCH(J647,MAPA!$A$5:$A$14,0)))</f>
        <v/>
      </c>
      <c r="L647" s="25">
        <f>H647+K647</f>
        <v/>
      </c>
      <c r="M647" s="20" t="n"/>
      <c r="N647" s="20" t="n"/>
      <c r="O647" s="14">
        <f>IF(A647="",0,IF(COUNTIF($A$5:A647,A647)=1,1,0))</f>
        <v/>
      </c>
    </row>
    <row r="648">
      <c r="A648" s="20" t="n"/>
      <c r="B648" s="21" t="n"/>
      <c r="C648" s="20" t="n"/>
      <c r="D648" s="22">
        <f>IF(C648="","",INDEX(MERCADORIA!$B$5:$B$22,MATCH(C648,MERCADORIA!$A$5:$A$22,0)))</f>
        <v/>
      </c>
      <c r="E648" s="22">
        <f>IF(C648="","",INDEX(MERCADORIA!$C$5:$C$22,MATCH(C648,MERCADORIA!$A$5:$A$22,0)))</f>
        <v/>
      </c>
      <c r="F648" s="23" t="n"/>
      <c r="G648" s="24">
        <f>IF(D648="","",INDEX(VALOR!$B$5:$B$8,MATCH(D648,VALOR!$A$5:$A$8,0)))</f>
        <v/>
      </c>
      <c r="H648" s="15">
        <f>IF(OR(G648="",F648=""),0,F648*G648)</f>
        <v/>
      </c>
      <c r="I648" s="20" t="n"/>
      <c r="J648" s="20" t="n"/>
      <c r="K648" s="24">
        <f>IF(OR(O648=0,J648=""),0,INDEX(MAPA!$C$5:$C$14,MATCH(J648,MAPA!$A$5:$A$14,0)))</f>
        <v/>
      </c>
      <c r="L648" s="25">
        <f>H648+K648</f>
        <v/>
      </c>
      <c r="M648" s="20" t="n"/>
      <c r="N648" s="20" t="n"/>
      <c r="O648" s="14">
        <f>IF(A648="",0,IF(COUNTIF($A$5:A648,A648)=1,1,0))</f>
        <v/>
      </c>
    </row>
    <row r="649">
      <c r="A649" s="20" t="n"/>
      <c r="B649" s="21" t="n"/>
      <c r="C649" s="20" t="n"/>
      <c r="D649" s="22">
        <f>IF(C649="","",INDEX(MERCADORIA!$B$5:$B$22,MATCH(C649,MERCADORIA!$A$5:$A$22,0)))</f>
        <v/>
      </c>
      <c r="E649" s="22">
        <f>IF(C649="","",INDEX(MERCADORIA!$C$5:$C$22,MATCH(C649,MERCADORIA!$A$5:$A$22,0)))</f>
        <v/>
      </c>
      <c r="F649" s="23" t="n"/>
      <c r="G649" s="24">
        <f>IF(D649="","",INDEX(VALOR!$B$5:$B$8,MATCH(D649,VALOR!$A$5:$A$8,0)))</f>
        <v/>
      </c>
      <c r="H649" s="15">
        <f>IF(OR(G649="",F649=""),0,F649*G649)</f>
        <v/>
      </c>
      <c r="I649" s="20" t="n"/>
      <c r="J649" s="20" t="n"/>
      <c r="K649" s="24">
        <f>IF(OR(O649=0,J649=""),0,INDEX(MAPA!$C$5:$C$14,MATCH(J649,MAPA!$A$5:$A$14,0)))</f>
        <v/>
      </c>
      <c r="L649" s="25">
        <f>H649+K649</f>
        <v/>
      </c>
      <c r="M649" s="20" t="n"/>
      <c r="N649" s="20" t="n"/>
      <c r="O649" s="14">
        <f>IF(A649="",0,IF(COUNTIF($A$5:A649,A649)=1,1,0))</f>
        <v/>
      </c>
    </row>
    <row r="650">
      <c r="A650" s="20" t="n"/>
      <c r="B650" s="21" t="n"/>
      <c r="C650" s="20" t="n"/>
      <c r="D650" s="22">
        <f>IF(C650="","",INDEX(MERCADORIA!$B$5:$B$22,MATCH(C650,MERCADORIA!$A$5:$A$22,0)))</f>
        <v/>
      </c>
      <c r="E650" s="22">
        <f>IF(C650="","",INDEX(MERCADORIA!$C$5:$C$22,MATCH(C650,MERCADORIA!$A$5:$A$22,0)))</f>
        <v/>
      </c>
      <c r="F650" s="23" t="n"/>
      <c r="G650" s="24">
        <f>IF(D650="","",INDEX(VALOR!$B$5:$B$8,MATCH(D650,VALOR!$A$5:$A$8,0)))</f>
        <v/>
      </c>
      <c r="H650" s="15">
        <f>IF(OR(G650="",F650=""),0,F650*G650)</f>
        <v/>
      </c>
      <c r="I650" s="20" t="n"/>
      <c r="J650" s="20" t="n"/>
      <c r="K650" s="24">
        <f>IF(OR(O650=0,J650=""),0,INDEX(MAPA!$C$5:$C$14,MATCH(J650,MAPA!$A$5:$A$14,0)))</f>
        <v/>
      </c>
      <c r="L650" s="25">
        <f>H650+K650</f>
        <v/>
      </c>
      <c r="M650" s="20" t="n"/>
      <c r="N650" s="20" t="n"/>
      <c r="O650" s="14">
        <f>IF(A650="",0,IF(COUNTIF($A$5:A650,A650)=1,1,0))</f>
        <v/>
      </c>
    </row>
    <row r="651">
      <c r="A651" s="20" t="n"/>
      <c r="B651" s="21" t="n"/>
      <c r="C651" s="20" t="n"/>
      <c r="D651" s="22">
        <f>IF(C651="","",INDEX(MERCADORIA!$B$5:$B$22,MATCH(C651,MERCADORIA!$A$5:$A$22,0)))</f>
        <v/>
      </c>
      <c r="E651" s="22">
        <f>IF(C651="","",INDEX(MERCADORIA!$C$5:$C$22,MATCH(C651,MERCADORIA!$A$5:$A$22,0)))</f>
        <v/>
      </c>
      <c r="F651" s="23" t="n"/>
      <c r="G651" s="24">
        <f>IF(D651="","",INDEX(VALOR!$B$5:$B$8,MATCH(D651,VALOR!$A$5:$A$8,0)))</f>
        <v/>
      </c>
      <c r="H651" s="15">
        <f>IF(OR(G651="",F651=""),0,F651*G651)</f>
        <v/>
      </c>
      <c r="I651" s="20" t="n"/>
      <c r="J651" s="20" t="n"/>
      <c r="K651" s="24">
        <f>IF(OR(O651=0,J651=""),0,INDEX(MAPA!$C$5:$C$14,MATCH(J651,MAPA!$A$5:$A$14,0)))</f>
        <v/>
      </c>
      <c r="L651" s="25">
        <f>H651+K651</f>
        <v/>
      </c>
      <c r="M651" s="20" t="n"/>
      <c r="N651" s="20" t="n"/>
      <c r="O651" s="14">
        <f>IF(A651="",0,IF(COUNTIF($A$5:A651,A651)=1,1,0))</f>
        <v/>
      </c>
    </row>
    <row r="652">
      <c r="A652" s="20" t="n"/>
      <c r="B652" s="21" t="n"/>
      <c r="C652" s="20" t="n"/>
      <c r="D652" s="22">
        <f>IF(C652="","",INDEX(MERCADORIA!$B$5:$B$22,MATCH(C652,MERCADORIA!$A$5:$A$22,0)))</f>
        <v/>
      </c>
      <c r="E652" s="22">
        <f>IF(C652="","",INDEX(MERCADORIA!$C$5:$C$22,MATCH(C652,MERCADORIA!$A$5:$A$22,0)))</f>
        <v/>
      </c>
      <c r="F652" s="23" t="n"/>
      <c r="G652" s="24">
        <f>IF(D652="","",INDEX(VALOR!$B$5:$B$8,MATCH(D652,VALOR!$A$5:$A$8,0)))</f>
        <v/>
      </c>
      <c r="H652" s="15">
        <f>IF(OR(G652="",F652=""),0,F652*G652)</f>
        <v/>
      </c>
      <c r="I652" s="20" t="n"/>
      <c r="J652" s="20" t="n"/>
      <c r="K652" s="24">
        <f>IF(OR(O652=0,J652=""),0,INDEX(MAPA!$C$5:$C$14,MATCH(J652,MAPA!$A$5:$A$14,0)))</f>
        <v/>
      </c>
      <c r="L652" s="25">
        <f>H652+K652</f>
        <v/>
      </c>
      <c r="M652" s="20" t="n"/>
      <c r="N652" s="20" t="n"/>
      <c r="O652" s="14">
        <f>IF(A652="",0,IF(COUNTIF($A$5:A652,A652)=1,1,0))</f>
        <v/>
      </c>
    </row>
    <row r="653">
      <c r="A653" s="20" t="n"/>
      <c r="B653" s="21" t="n"/>
      <c r="C653" s="20" t="n"/>
      <c r="D653" s="22">
        <f>IF(C653="","",INDEX(MERCADORIA!$B$5:$B$22,MATCH(C653,MERCADORIA!$A$5:$A$22,0)))</f>
        <v/>
      </c>
      <c r="E653" s="22">
        <f>IF(C653="","",INDEX(MERCADORIA!$C$5:$C$22,MATCH(C653,MERCADORIA!$A$5:$A$22,0)))</f>
        <v/>
      </c>
      <c r="F653" s="23" t="n"/>
      <c r="G653" s="24">
        <f>IF(D653="","",INDEX(VALOR!$B$5:$B$8,MATCH(D653,VALOR!$A$5:$A$8,0)))</f>
        <v/>
      </c>
      <c r="H653" s="15">
        <f>IF(OR(G653="",F653=""),0,F653*G653)</f>
        <v/>
      </c>
      <c r="I653" s="20" t="n"/>
      <c r="J653" s="20" t="n"/>
      <c r="K653" s="24">
        <f>IF(OR(O653=0,J653=""),0,INDEX(MAPA!$C$5:$C$14,MATCH(J653,MAPA!$A$5:$A$14,0)))</f>
        <v/>
      </c>
      <c r="L653" s="25">
        <f>H653+K653</f>
        <v/>
      </c>
      <c r="M653" s="20" t="n"/>
      <c r="N653" s="20" t="n"/>
      <c r="O653" s="14">
        <f>IF(A653="",0,IF(COUNTIF($A$5:A653,A653)=1,1,0))</f>
        <v/>
      </c>
    </row>
    <row r="654">
      <c r="A654" s="20" t="n"/>
      <c r="B654" s="21" t="n"/>
      <c r="C654" s="20" t="n"/>
      <c r="D654" s="22">
        <f>IF(C654="","",INDEX(MERCADORIA!$B$5:$B$22,MATCH(C654,MERCADORIA!$A$5:$A$22,0)))</f>
        <v/>
      </c>
      <c r="E654" s="22">
        <f>IF(C654="","",INDEX(MERCADORIA!$C$5:$C$22,MATCH(C654,MERCADORIA!$A$5:$A$22,0)))</f>
        <v/>
      </c>
      <c r="F654" s="23" t="n"/>
      <c r="G654" s="24">
        <f>IF(D654="","",INDEX(VALOR!$B$5:$B$8,MATCH(D654,VALOR!$A$5:$A$8,0)))</f>
        <v/>
      </c>
      <c r="H654" s="15">
        <f>IF(OR(G654="",F654=""),0,F654*G654)</f>
        <v/>
      </c>
      <c r="I654" s="20" t="n"/>
      <c r="J654" s="20" t="n"/>
      <c r="K654" s="24">
        <f>IF(OR(O654=0,J654=""),0,INDEX(MAPA!$C$5:$C$14,MATCH(J654,MAPA!$A$5:$A$14,0)))</f>
        <v/>
      </c>
      <c r="L654" s="25">
        <f>H654+K654</f>
        <v/>
      </c>
      <c r="M654" s="20" t="n"/>
      <c r="N654" s="20" t="n"/>
      <c r="O654" s="14">
        <f>IF(A654="",0,IF(COUNTIF($A$5:A654,A654)=1,1,0))</f>
        <v/>
      </c>
    </row>
    <row r="655">
      <c r="A655" s="20" t="n"/>
      <c r="B655" s="21" t="n"/>
      <c r="C655" s="20" t="n"/>
      <c r="D655" s="22">
        <f>IF(C655="","",INDEX(MERCADORIA!$B$5:$B$22,MATCH(C655,MERCADORIA!$A$5:$A$22,0)))</f>
        <v/>
      </c>
      <c r="E655" s="22">
        <f>IF(C655="","",INDEX(MERCADORIA!$C$5:$C$22,MATCH(C655,MERCADORIA!$A$5:$A$22,0)))</f>
        <v/>
      </c>
      <c r="F655" s="23" t="n"/>
      <c r="G655" s="24">
        <f>IF(D655="","",INDEX(VALOR!$B$5:$B$8,MATCH(D655,VALOR!$A$5:$A$8,0)))</f>
        <v/>
      </c>
      <c r="H655" s="15">
        <f>IF(OR(G655="",F655=""),0,F655*G655)</f>
        <v/>
      </c>
      <c r="I655" s="20" t="n"/>
      <c r="J655" s="20" t="n"/>
      <c r="K655" s="24">
        <f>IF(OR(O655=0,J655=""),0,INDEX(MAPA!$C$5:$C$14,MATCH(J655,MAPA!$A$5:$A$14,0)))</f>
        <v/>
      </c>
      <c r="L655" s="25">
        <f>H655+K655</f>
        <v/>
      </c>
      <c r="M655" s="20" t="n"/>
      <c r="N655" s="20" t="n"/>
      <c r="O655" s="14">
        <f>IF(A655="",0,IF(COUNTIF($A$5:A655,A655)=1,1,0))</f>
        <v/>
      </c>
    </row>
    <row r="656">
      <c r="A656" s="20" t="n"/>
      <c r="B656" s="21" t="n"/>
      <c r="C656" s="20" t="n"/>
      <c r="D656" s="22">
        <f>IF(C656="","",INDEX(MERCADORIA!$B$5:$B$22,MATCH(C656,MERCADORIA!$A$5:$A$22,0)))</f>
        <v/>
      </c>
      <c r="E656" s="22">
        <f>IF(C656="","",INDEX(MERCADORIA!$C$5:$C$22,MATCH(C656,MERCADORIA!$A$5:$A$22,0)))</f>
        <v/>
      </c>
      <c r="F656" s="23" t="n"/>
      <c r="G656" s="24">
        <f>IF(D656="","",INDEX(VALOR!$B$5:$B$8,MATCH(D656,VALOR!$A$5:$A$8,0)))</f>
        <v/>
      </c>
      <c r="H656" s="15">
        <f>IF(OR(G656="",F656=""),0,F656*G656)</f>
        <v/>
      </c>
      <c r="I656" s="20" t="n"/>
      <c r="J656" s="20" t="n"/>
      <c r="K656" s="24">
        <f>IF(OR(O656=0,J656=""),0,INDEX(MAPA!$C$5:$C$14,MATCH(J656,MAPA!$A$5:$A$14,0)))</f>
        <v/>
      </c>
      <c r="L656" s="25">
        <f>H656+K656</f>
        <v/>
      </c>
      <c r="M656" s="20" t="n"/>
      <c r="N656" s="20" t="n"/>
      <c r="O656" s="14">
        <f>IF(A656="",0,IF(COUNTIF($A$5:A656,A656)=1,1,0))</f>
        <v/>
      </c>
    </row>
    <row r="657">
      <c r="A657" s="20" t="n"/>
      <c r="B657" s="21" t="n"/>
      <c r="C657" s="20" t="n"/>
      <c r="D657" s="22">
        <f>IF(C657="","",INDEX(MERCADORIA!$B$5:$B$22,MATCH(C657,MERCADORIA!$A$5:$A$22,0)))</f>
        <v/>
      </c>
      <c r="E657" s="22">
        <f>IF(C657="","",INDEX(MERCADORIA!$C$5:$C$22,MATCH(C657,MERCADORIA!$A$5:$A$22,0)))</f>
        <v/>
      </c>
      <c r="F657" s="23" t="n"/>
      <c r="G657" s="24">
        <f>IF(D657="","",INDEX(VALOR!$B$5:$B$8,MATCH(D657,VALOR!$A$5:$A$8,0)))</f>
        <v/>
      </c>
      <c r="H657" s="15">
        <f>IF(OR(G657="",F657=""),0,F657*G657)</f>
        <v/>
      </c>
      <c r="I657" s="20" t="n"/>
      <c r="J657" s="20" t="n"/>
      <c r="K657" s="24">
        <f>IF(OR(O657=0,J657=""),0,INDEX(MAPA!$C$5:$C$14,MATCH(J657,MAPA!$A$5:$A$14,0)))</f>
        <v/>
      </c>
      <c r="L657" s="25">
        <f>H657+K657</f>
        <v/>
      </c>
      <c r="M657" s="20" t="n"/>
      <c r="N657" s="20" t="n"/>
      <c r="O657" s="14">
        <f>IF(A657="",0,IF(COUNTIF($A$5:A657,A657)=1,1,0))</f>
        <v/>
      </c>
    </row>
    <row r="658">
      <c r="A658" s="20" t="n"/>
      <c r="B658" s="21" t="n"/>
      <c r="C658" s="20" t="n"/>
      <c r="D658" s="22">
        <f>IF(C658="","",INDEX(MERCADORIA!$B$5:$B$22,MATCH(C658,MERCADORIA!$A$5:$A$22,0)))</f>
        <v/>
      </c>
      <c r="E658" s="22">
        <f>IF(C658="","",INDEX(MERCADORIA!$C$5:$C$22,MATCH(C658,MERCADORIA!$A$5:$A$22,0)))</f>
        <v/>
      </c>
      <c r="F658" s="23" t="n"/>
      <c r="G658" s="24">
        <f>IF(D658="","",INDEX(VALOR!$B$5:$B$8,MATCH(D658,VALOR!$A$5:$A$8,0)))</f>
        <v/>
      </c>
      <c r="H658" s="15">
        <f>IF(OR(G658="",F658=""),0,F658*G658)</f>
        <v/>
      </c>
      <c r="I658" s="20" t="n"/>
      <c r="J658" s="20" t="n"/>
      <c r="K658" s="24">
        <f>IF(OR(O658=0,J658=""),0,INDEX(MAPA!$C$5:$C$14,MATCH(J658,MAPA!$A$5:$A$14,0)))</f>
        <v/>
      </c>
      <c r="L658" s="25">
        <f>H658+K658</f>
        <v/>
      </c>
      <c r="M658" s="20" t="n"/>
      <c r="N658" s="20" t="n"/>
      <c r="O658" s="14">
        <f>IF(A658="",0,IF(COUNTIF($A$5:A658,A658)=1,1,0))</f>
        <v/>
      </c>
    </row>
    <row r="659">
      <c r="A659" s="20" t="n"/>
      <c r="B659" s="21" t="n"/>
      <c r="C659" s="20" t="n"/>
      <c r="D659" s="22">
        <f>IF(C659="","",INDEX(MERCADORIA!$B$5:$B$22,MATCH(C659,MERCADORIA!$A$5:$A$22,0)))</f>
        <v/>
      </c>
      <c r="E659" s="22">
        <f>IF(C659="","",INDEX(MERCADORIA!$C$5:$C$22,MATCH(C659,MERCADORIA!$A$5:$A$22,0)))</f>
        <v/>
      </c>
      <c r="F659" s="23" t="n"/>
      <c r="G659" s="24">
        <f>IF(D659="","",INDEX(VALOR!$B$5:$B$8,MATCH(D659,VALOR!$A$5:$A$8,0)))</f>
        <v/>
      </c>
      <c r="H659" s="15">
        <f>IF(OR(G659="",F659=""),0,F659*G659)</f>
        <v/>
      </c>
      <c r="I659" s="20" t="n"/>
      <c r="J659" s="20" t="n"/>
      <c r="K659" s="24">
        <f>IF(OR(O659=0,J659=""),0,INDEX(MAPA!$C$5:$C$14,MATCH(J659,MAPA!$A$5:$A$14,0)))</f>
        <v/>
      </c>
      <c r="L659" s="25">
        <f>H659+K659</f>
        <v/>
      </c>
      <c r="M659" s="20" t="n"/>
      <c r="N659" s="20" t="n"/>
      <c r="O659" s="14">
        <f>IF(A659="",0,IF(COUNTIF($A$5:A659,A659)=1,1,0))</f>
        <v/>
      </c>
    </row>
    <row r="660">
      <c r="A660" s="20" t="n"/>
      <c r="B660" s="21" t="n"/>
      <c r="C660" s="20" t="n"/>
      <c r="D660" s="22">
        <f>IF(C660="","",INDEX(MERCADORIA!$B$5:$B$22,MATCH(C660,MERCADORIA!$A$5:$A$22,0)))</f>
        <v/>
      </c>
      <c r="E660" s="22">
        <f>IF(C660="","",INDEX(MERCADORIA!$C$5:$C$22,MATCH(C660,MERCADORIA!$A$5:$A$22,0)))</f>
        <v/>
      </c>
      <c r="F660" s="23" t="n"/>
      <c r="G660" s="24">
        <f>IF(D660="","",INDEX(VALOR!$B$5:$B$8,MATCH(D660,VALOR!$A$5:$A$8,0)))</f>
        <v/>
      </c>
      <c r="H660" s="15">
        <f>IF(OR(G660="",F660=""),0,F660*G660)</f>
        <v/>
      </c>
      <c r="I660" s="20" t="n"/>
      <c r="J660" s="20" t="n"/>
      <c r="K660" s="24">
        <f>IF(OR(O660=0,J660=""),0,INDEX(MAPA!$C$5:$C$14,MATCH(J660,MAPA!$A$5:$A$14,0)))</f>
        <v/>
      </c>
      <c r="L660" s="25">
        <f>H660+K660</f>
        <v/>
      </c>
      <c r="M660" s="20" t="n"/>
      <c r="N660" s="20" t="n"/>
      <c r="O660" s="14">
        <f>IF(A660="",0,IF(COUNTIF($A$5:A660,A660)=1,1,0))</f>
        <v/>
      </c>
    </row>
    <row r="661">
      <c r="A661" s="20" t="n"/>
      <c r="B661" s="21" t="n"/>
      <c r="C661" s="20" t="n"/>
      <c r="D661" s="22">
        <f>IF(C661="","",INDEX(MERCADORIA!$B$5:$B$22,MATCH(C661,MERCADORIA!$A$5:$A$22,0)))</f>
        <v/>
      </c>
      <c r="E661" s="22">
        <f>IF(C661="","",INDEX(MERCADORIA!$C$5:$C$22,MATCH(C661,MERCADORIA!$A$5:$A$22,0)))</f>
        <v/>
      </c>
      <c r="F661" s="23" t="n"/>
      <c r="G661" s="24">
        <f>IF(D661="","",INDEX(VALOR!$B$5:$B$8,MATCH(D661,VALOR!$A$5:$A$8,0)))</f>
        <v/>
      </c>
      <c r="H661" s="15">
        <f>IF(OR(G661="",F661=""),0,F661*G661)</f>
        <v/>
      </c>
      <c r="I661" s="20" t="n"/>
      <c r="J661" s="20" t="n"/>
      <c r="K661" s="24">
        <f>IF(OR(O661=0,J661=""),0,INDEX(MAPA!$C$5:$C$14,MATCH(J661,MAPA!$A$5:$A$14,0)))</f>
        <v/>
      </c>
      <c r="L661" s="25">
        <f>H661+K661</f>
        <v/>
      </c>
      <c r="M661" s="20" t="n"/>
      <c r="N661" s="20" t="n"/>
      <c r="O661" s="14">
        <f>IF(A661="",0,IF(COUNTIF($A$5:A661,A661)=1,1,0))</f>
        <v/>
      </c>
    </row>
    <row r="662">
      <c r="A662" s="20" t="n"/>
      <c r="B662" s="21" t="n"/>
      <c r="C662" s="20" t="n"/>
      <c r="D662" s="22">
        <f>IF(C662="","",INDEX(MERCADORIA!$B$5:$B$22,MATCH(C662,MERCADORIA!$A$5:$A$22,0)))</f>
        <v/>
      </c>
      <c r="E662" s="22">
        <f>IF(C662="","",INDEX(MERCADORIA!$C$5:$C$22,MATCH(C662,MERCADORIA!$A$5:$A$22,0)))</f>
        <v/>
      </c>
      <c r="F662" s="23" t="n"/>
      <c r="G662" s="24">
        <f>IF(D662="","",INDEX(VALOR!$B$5:$B$8,MATCH(D662,VALOR!$A$5:$A$8,0)))</f>
        <v/>
      </c>
      <c r="H662" s="15">
        <f>IF(OR(G662="",F662=""),0,F662*G662)</f>
        <v/>
      </c>
      <c r="I662" s="20" t="n"/>
      <c r="J662" s="20" t="n"/>
      <c r="K662" s="24">
        <f>IF(OR(O662=0,J662=""),0,INDEX(MAPA!$C$5:$C$14,MATCH(J662,MAPA!$A$5:$A$14,0)))</f>
        <v/>
      </c>
      <c r="L662" s="25">
        <f>H662+K662</f>
        <v/>
      </c>
      <c r="M662" s="20" t="n"/>
      <c r="N662" s="20" t="n"/>
      <c r="O662" s="14">
        <f>IF(A662="",0,IF(COUNTIF($A$5:A662,A662)=1,1,0))</f>
        <v/>
      </c>
    </row>
    <row r="663">
      <c r="A663" s="20" t="n"/>
      <c r="B663" s="21" t="n"/>
      <c r="C663" s="20" t="n"/>
      <c r="D663" s="22">
        <f>IF(C663="","",INDEX(MERCADORIA!$B$5:$B$22,MATCH(C663,MERCADORIA!$A$5:$A$22,0)))</f>
        <v/>
      </c>
      <c r="E663" s="22">
        <f>IF(C663="","",INDEX(MERCADORIA!$C$5:$C$22,MATCH(C663,MERCADORIA!$A$5:$A$22,0)))</f>
        <v/>
      </c>
      <c r="F663" s="23" t="n"/>
      <c r="G663" s="24">
        <f>IF(D663="","",INDEX(VALOR!$B$5:$B$8,MATCH(D663,VALOR!$A$5:$A$8,0)))</f>
        <v/>
      </c>
      <c r="H663" s="15">
        <f>IF(OR(G663="",F663=""),0,F663*G663)</f>
        <v/>
      </c>
      <c r="I663" s="20" t="n"/>
      <c r="J663" s="20" t="n"/>
      <c r="K663" s="24">
        <f>IF(OR(O663=0,J663=""),0,INDEX(MAPA!$C$5:$C$14,MATCH(J663,MAPA!$A$5:$A$14,0)))</f>
        <v/>
      </c>
      <c r="L663" s="25">
        <f>H663+K663</f>
        <v/>
      </c>
      <c r="M663" s="20" t="n"/>
      <c r="N663" s="20" t="n"/>
      <c r="O663" s="14">
        <f>IF(A663="",0,IF(COUNTIF($A$5:A663,A663)=1,1,0))</f>
        <v/>
      </c>
    </row>
    <row r="664">
      <c r="A664" s="20" t="n"/>
      <c r="B664" s="21" t="n"/>
      <c r="C664" s="20" t="n"/>
      <c r="D664" s="22">
        <f>IF(C664="","",INDEX(MERCADORIA!$B$5:$B$22,MATCH(C664,MERCADORIA!$A$5:$A$22,0)))</f>
        <v/>
      </c>
      <c r="E664" s="22">
        <f>IF(C664="","",INDEX(MERCADORIA!$C$5:$C$22,MATCH(C664,MERCADORIA!$A$5:$A$22,0)))</f>
        <v/>
      </c>
      <c r="F664" s="23" t="n"/>
      <c r="G664" s="24">
        <f>IF(D664="","",INDEX(VALOR!$B$5:$B$8,MATCH(D664,VALOR!$A$5:$A$8,0)))</f>
        <v/>
      </c>
      <c r="H664" s="15">
        <f>IF(OR(G664="",F664=""),0,F664*G664)</f>
        <v/>
      </c>
      <c r="I664" s="20" t="n"/>
      <c r="J664" s="20" t="n"/>
      <c r="K664" s="24">
        <f>IF(OR(O664=0,J664=""),0,INDEX(MAPA!$C$5:$C$14,MATCH(J664,MAPA!$A$5:$A$14,0)))</f>
        <v/>
      </c>
      <c r="L664" s="25">
        <f>H664+K664</f>
        <v/>
      </c>
      <c r="M664" s="20" t="n"/>
      <c r="N664" s="20" t="n"/>
      <c r="O664" s="14">
        <f>IF(A664="",0,IF(COUNTIF($A$5:A664,A664)=1,1,0))</f>
        <v/>
      </c>
    </row>
    <row r="665">
      <c r="A665" s="20" t="n"/>
      <c r="B665" s="21" t="n"/>
      <c r="C665" s="20" t="n"/>
      <c r="D665" s="22">
        <f>IF(C665="","",INDEX(MERCADORIA!$B$5:$B$22,MATCH(C665,MERCADORIA!$A$5:$A$22,0)))</f>
        <v/>
      </c>
      <c r="E665" s="22">
        <f>IF(C665="","",INDEX(MERCADORIA!$C$5:$C$22,MATCH(C665,MERCADORIA!$A$5:$A$22,0)))</f>
        <v/>
      </c>
      <c r="F665" s="23" t="n"/>
      <c r="G665" s="24">
        <f>IF(D665="","",INDEX(VALOR!$B$5:$B$8,MATCH(D665,VALOR!$A$5:$A$8,0)))</f>
        <v/>
      </c>
      <c r="H665" s="15">
        <f>IF(OR(G665="",F665=""),0,F665*G665)</f>
        <v/>
      </c>
      <c r="I665" s="20" t="n"/>
      <c r="J665" s="20" t="n"/>
      <c r="K665" s="24">
        <f>IF(OR(O665=0,J665=""),0,INDEX(MAPA!$C$5:$C$14,MATCH(J665,MAPA!$A$5:$A$14,0)))</f>
        <v/>
      </c>
      <c r="L665" s="25">
        <f>H665+K665</f>
        <v/>
      </c>
      <c r="M665" s="20" t="n"/>
      <c r="N665" s="20" t="n"/>
      <c r="O665" s="14">
        <f>IF(A665="",0,IF(COUNTIF($A$5:A665,A665)=1,1,0))</f>
        <v/>
      </c>
    </row>
    <row r="666">
      <c r="A666" s="20" t="n"/>
      <c r="B666" s="21" t="n"/>
      <c r="C666" s="20" t="n"/>
      <c r="D666" s="22">
        <f>IF(C666="","",INDEX(MERCADORIA!$B$5:$B$22,MATCH(C666,MERCADORIA!$A$5:$A$22,0)))</f>
        <v/>
      </c>
      <c r="E666" s="22">
        <f>IF(C666="","",INDEX(MERCADORIA!$C$5:$C$22,MATCH(C666,MERCADORIA!$A$5:$A$22,0)))</f>
        <v/>
      </c>
      <c r="F666" s="23" t="n"/>
      <c r="G666" s="24">
        <f>IF(D666="","",INDEX(VALOR!$B$5:$B$8,MATCH(D666,VALOR!$A$5:$A$8,0)))</f>
        <v/>
      </c>
      <c r="H666" s="15">
        <f>IF(OR(G666="",F666=""),0,F666*G666)</f>
        <v/>
      </c>
      <c r="I666" s="20" t="n"/>
      <c r="J666" s="20" t="n"/>
      <c r="K666" s="24">
        <f>IF(OR(O666=0,J666=""),0,INDEX(MAPA!$C$5:$C$14,MATCH(J666,MAPA!$A$5:$A$14,0)))</f>
        <v/>
      </c>
      <c r="L666" s="25">
        <f>H666+K666</f>
        <v/>
      </c>
      <c r="M666" s="20" t="n"/>
      <c r="N666" s="20" t="n"/>
      <c r="O666" s="14">
        <f>IF(A666="",0,IF(COUNTIF($A$5:A666,A666)=1,1,0))</f>
        <v/>
      </c>
    </row>
    <row r="667">
      <c r="A667" s="20" t="n"/>
      <c r="B667" s="21" t="n"/>
      <c r="C667" s="20" t="n"/>
      <c r="D667" s="22">
        <f>IF(C667="","",INDEX(MERCADORIA!$B$5:$B$22,MATCH(C667,MERCADORIA!$A$5:$A$22,0)))</f>
        <v/>
      </c>
      <c r="E667" s="22">
        <f>IF(C667="","",INDEX(MERCADORIA!$C$5:$C$22,MATCH(C667,MERCADORIA!$A$5:$A$22,0)))</f>
        <v/>
      </c>
      <c r="F667" s="23" t="n"/>
      <c r="G667" s="24">
        <f>IF(D667="","",INDEX(VALOR!$B$5:$B$8,MATCH(D667,VALOR!$A$5:$A$8,0)))</f>
        <v/>
      </c>
      <c r="H667" s="15">
        <f>IF(OR(G667="",F667=""),0,F667*G667)</f>
        <v/>
      </c>
      <c r="I667" s="20" t="n"/>
      <c r="J667" s="20" t="n"/>
      <c r="K667" s="24">
        <f>IF(OR(O667=0,J667=""),0,INDEX(MAPA!$C$5:$C$14,MATCH(J667,MAPA!$A$5:$A$14,0)))</f>
        <v/>
      </c>
      <c r="L667" s="25">
        <f>H667+K667</f>
        <v/>
      </c>
      <c r="M667" s="20" t="n"/>
      <c r="N667" s="20" t="n"/>
      <c r="O667" s="14">
        <f>IF(A667="",0,IF(COUNTIF($A$5:A667,A667)=1,1,0))</f>
        <v/>
      </c>
    </row>
    <row r="668">
      <c r="A668" s="20" t="n"/>
      <c r="B668" s="21" t="n"/>
      <c r="C668" s="20" t="n"/>
      <c r="D668" s="22">
        <f>IF(C668="","",INDEX(MERCADORIA!$B$5:$B$22,MATCH(C668,MERCADORIA!$A$5:$A$22,0)))</f>
        <v/>
      </c>
      <c r="E668" s="22">
        <f>IF(C668="","",INDEX(MERCADORIA!$C$5:$C$22,MATCH(C668,MERCADORIA!$A$5:$A$22,0)))</f>
        <v/>
      </c>
      <c r="F668" s="23" t="n"/>
      <c r="G668" s="24">
        <f>IF(D668="","",INDEX(VALOR!$B$5:$B$8,MATCH(D668,VALOR!$A$5:$A$8,0)))</f>
        <v/>
      </c>
      <c r="H668" s="15">
        <f>IF(OR(G668="",F668=""),0,F668*G668)</f>
        <v/>
      </c>
      <c r="I668" s="20" t="n"/>
      <c r="J668" s="20" t="n"/>
      <c r="K668" s="24">
        <f>IF(OR(O668=0,J668=""),0,INDEX(MAPA!$C$5:$C$14,MATCH(J668,MAPA!$A$5:$A$14,0)))</f>
        <v/>
      </c>
      <c r="L668" s="25">
        <f>H668+K668</f>
        <v/>
      </c>
      <c r="M668" s="20" t="n"/>
      <c r="N668" s="20" t="n"/>
      <c r="O668" s="14">
        <f>IF(A668="",0,IF(COUNTIF($A$5:A668,A668)=1,1,0))</f>
        <v/>
      </c>
    </row>
    <row r="669">
      <c r="A669" s="20" t="n"/>
      <c r="B669" s="21" t="n"/>
      <c r="C669" s="20" t="n"/>
      <c r="D669" s="22">
        <f>IF(C669="","",INDEX(MERCADORIA!$B$5:$B$22,MATCH(C669,MERCADORIA!$A$5:$A$22,0)))</f>
        <v/>
      </c>
      <c r="E669" s="22">
        <f>IF(C669="","",INDEX(MERCADORIA!$C$5:$C$22,MATCH(C669,MERCADORIA!$A$5:$A$22,0)))</f>
        <v/>
      </c>
      <c r="F669" s="23" t="n"/>
      <c r="G669" s="24">
        <f>IF(D669="","",INDEX(VALOR!$B$5:$B$8,MATCH(D669,VALOR!$A$5:$A$8,0)))</f>
        <v/>
      </c>
      <c r="H669" s="15">
        <f>IF(OR(G669="",F669=""),0,F669*G669)</f>
        <v/>
      </c>
      <c r="I669" s="20" t="n"/>
      <c r="J669" s="20" t="n"/>
      <c r="K669" s="24">
        <f>IF(OR(O669=0,J669=""),0,INDEX(MAPA!$C$5:$C$14,MATCH(J669,MAPA!$A$5:$A$14,0)))</f>
        <v/>
      </c>
      <c r="L669" s="25">
        <f>H669+K669</f>
        <v/>
      </c>
      <c r="M669" s="20" t="n"/>
      <c r="N669" s="20" t="n"/>
      <c r="O669" s="14">
        <f>IF(A669="",0,IF(COUNTIF($A$5:A669,A669)=1,1,0))</f>
        <v/>
      </c>
    </row>
    <row r="670">
      <c r="A670" s="20" t="n"/>
      <c r="B670" s="21" t="n"/>
      <c r="C670" s="20" t="n"/>
      <c r="D670" s="22">
        <f>IF(C670="","",INDEX(MERCADORIA!$B$5:$B$22,MATCH(C670,MERCADORIA!$A$5:$A$22,0)))</f>
        <v/>
      </c>
      <c r="E670" s="22">
        <f>IF(C670="","",INDEX(MERCADORIA!$C$5:$C$22,MATCH(C670,MERCADORIA!$A$5:$A$22,0)))</f>
        <v/>
      </c>
      <c r="F670" s="23" t="n"/>
      <c r="G670" s="24">
        <f>IF(D670="","",INDEX(VALOR!$B$5:$B$8,MATCH(D670,VALOR!$A$5:$A$8,0)))</f>
        <v/>
      </c>
      <c r="H670" s="15">
        <f>IF(OR(G670="",F670=""),0,F670*G670)</f>
        <v/>
      </c>
      <c r="I670" s="20" t="n"/>
      <c r="J670" s="20" t="n"/>
      <c r="K670" s="24">
        <f>IF(OR(O670=0,J670=""),0,INDEX(MAPA!$C$5:$C$14,MATCH(J670,MAPA!$A$5:$A$14,0)))</f>
        <v/>
      </c>
      <c r="L670" s="25">
        <f>H670+K670</f>
        <v/>
      </c>
      <c r="M670" s="20" t="n"/>
      <c r="N670" s="20" t="n"/>
      <c r="O670" s="14">
        <f>IF(A670="",0,IF(COUNTIF($A$5:A670,A670)=1,1,0))</f>
        <v/>
      </c>
    </row>
    <row r="671">
      <c r="A671" s="20" t="n"/>
      <c r="B671" s="21" t="n"/>
      <c r="C671" s="20" t="n"/>
      <c r="D671" s="22">
        <f>IF(C671="","",INDEX(MERCADORIA!$B$5:$B$22,MATCH(C671,MERCADORIA!$A$5:$A$22,0)))</f>
        <v/>
      </c>
      <c r="E671" s="22">
        <f>IF(C671="","",INDEX(MERCADORIA!$C$5:$C$22,MATCH(C671,MERCADORIA!$A$5:$A$22,0)))</f>
        <v/>
      </c>
      <c r="F671" s="23" t="n"/>
      <c r="G671" s="24">
        <f>IF(D671="","",INDEX(VALOR!$B$5:$B$8,MATCH(D671,VALOR!$A$5:$A$8,0)))</f>
        <v/>
      </c>
      <c r="H671" s="15">
        <f>IF(OR(G671="",F671=""),0,F671*G671)</f>
        <v/>
      </c>
      <c r="I671" s="20" t="n"/>
      <c r="J671" s="20" t="n"/>
      <c r="K671" s="24">
        <f>IF(OR(O671=0,J671=""),0,INDEX(MAPA!$C$5:$C$14,MATCH(J671,MAPA!$A$5:$A$14,0)))</f>
        <v/>
      </c>
      <c r="L671" s="25">
        <f>H671+K671</f>
        <v/>
      </c>
      <c r="M671" s="20" t="n"/>
      <c r="N671" s="20" t="n"/>
      <c r="O671" s="14">
        <f>IF(A671="",0,IF(COUNTIF($A$5:A671,A671)=1,1,0))</f>
        <v/>
      </c>
    </row>
    <row r="672">
      <c r="A672" s="20" t="n"/>
      <c r="B672" s="21" t="n"/>
      <c r="C672" s="20" t="n"/>
      <c r="D672" s="22">
        <f>IF(C672="","",INDEX(MERCADORIA!$B$5:$B$22,MATCH(C672,MERCADORIA!$A$5:$A$22,0)))</f>
        <v/>
      </c>
      <c r="E672" s="22">
        <f>IF(C672="","",INDEX(MERCADORIA!$C$5:$C$22,MATCH(C672,MERCADORIA!$A$5:$A$22,0)))</f>
        <v/>
      </c>
      <c r="F672" s="23" t="n"/>
      <c r="G672" s="24">
        <f>IF(D672="","",INDEX(VALOR!$B$5:$B$8,MATCH(D672,VALOR!$A$5:$A$8,0)))</f>
        <v/>
      </c>
      <c r="H672" s="15">
        <f>IF(OR(G672="",F672=""),0,F672*G672)</f>
        <v/>
      </c>
      <c r="I672" s="20" t="n"/>
      <c r="J672" s="20" t="n"/>
      <c r="K672" s="24">
        <f>IF(OR(O672=0,J672=""),0,INDEX(MAPA!$C$5:$C$14,MATCH(J672,MAPA!$A$5:$A$14,0)))</f>
        <v/>
      </c>
      <c r="L672" s="25">
        <f>H672+K672</f>
        <v/>
      </c>
      <c r="M672" s="20" t="n"/>
      <c r="N672" s="20" t="n"/>
      <c r="O672" s="14">
        <f>IF(A672="",0,IF(COUNTIF($A$5:A672,A672)=1,1,0))</f>
        <v/>
      </c>
    </row>
    <row r="673">
      <c r="A673" s="20" t="n"/>
      <c r="B673" s="21" t="n"/>
      <c r="C673" s="20" t="n"/>
      <c r="D673" s="22">
        <f>IF(C673="","",INDEX(MERCADORIA!$B$5:$B$22,MATCH(C673,MERCADORIA!$A$5:$A$22,0)))</f>
        <v/>
      </c>
      <c r="E673" s="22">
        <f>IF(C673="","",INDEX(MERCADORIA!$C$5:$C$22,MATCH(C673,MERCADORIA!$A$5:$A$22,0)))</f>
        <v/>
      </c>
      <c r="F673" s="23" t="n"/>
      <c r="G673" s="24">
        <f>IF(D673="","",INDEX(VALOR!$B$5:$B$8,MATCH(D673,VALOR!$A$5:$A$8,0)))</f>
        <v/>
      </c>
      <c r="H673" s="15">
        <f>IF(OR(G673="",F673=""),0,F673*G673)</f>
        <v/>
      </c>
      <c r="I673" s="20" t="n"/>
      <c r="J673" s="20" t="n"/>
      <c r="K673" s="24">
        <f>IF(OR(O673=0,J673=""),0,INDEX(MAPA!$C$5:$C$14,MATCH(J673,MAPA!$A$5:$A$14,0)))</f>
        <v/>
      </c>
      <c r="L673" s="25">
        <f>H673+K673</f>
        <v/>
      </c>
      <c r="M673" s="20" t="n"/>
      <c r="N673" s="20" t="n"/>
      <c r="O673" s="14">
        <f>IF(A673="",0,IF(COUNTIF($A$5:A673,A673)=1,1,0))</f>
        <v/>
      </c>
    </row>
    <row r="674">
      <c r="A674" s="20" t="n"/>
      <c r="B674" s="21" t="n"/>
      <c r="C674" s="20" t="n"/>
      <c r="D674" s="22">
        <f>IF(C674="","",INDEX(MERCADORIA!$B$5:$B$22,MATCH(C674,MERCADORIA!$A$5:$A$22,0)))</f>
        <v/>
      </c>
      <c r="E674" s="22">
        <f>IF(C674="","",INDEX(MERCADORIA!$C$5:$C$22,MATCH(C674,MERCADORIA!$A$5:$A$22,0)))</f>
        <v/>
      </c>
      <c r="F674" s="23" t="n"/>
      <c r="G674" s="24">
        <f>IF(D674="","",INDEX(VALOR!$B$5:$B$8,MATCH(D674,VALOR!$A$5:$A$8,0)))</f>
        <v/>
      </c>
      <c r="H674" s="15">
        <f>IF(OR(G674="",F674=""),0,F674*G674)</f>
        <v/>
      </c>
      <c r="I674" s="20" t="n"/>
      <c r="J674" s="20" t="n"/>
      <c r="K674" s="24">
        <f>IF(OR(O674=0,J674=""),0,INDEX(MAPA!$C$5:$C$14,MATCH(J674,MAPA!$A$5:$A$14,0)))</f>
        <v/>
      </c>
      <c r="L674" s="25">
        <f>H674+K674</f>
        <v/>
      </c>
      <c r="M674" s="20" t="n"/>
      <c r="N674" s="20" t="n"/>
      <c r="O674" s="14">
        <f>IF(A674="",0,IF(COUNTIF($A$5:A674,A674)=1,1,0))</f>
        <v/>
      </c>
    </row>
    <row r="675">
      <c r="A675" s="20" t="n"/>
      <c r="B675" s="21" t="n"/>
      <c r="C675" s="20" t="n"/>
      <c r="D675" s="22">
        <f>IF(C675="","",INDEX(MERCADORIA!$B$5:$B$22,MATCH(C675,MERCADORIA!$A$5:$A$22,0)))</f>
        <v/>
      </c>
      <c r="E675" s="22">
        <f>IF(C675="","",INDEX(MERCADORIA!$C$5:$C$22,MATCH(C675,MERCADORIA!$A$5:$A$22,0)))</f>
        <v/>
      </c>
      <c r="F675" s="23" t="n"/>
      <c r="G675" s="24">
        <f>IF(D675="","",INDEX(VALOR!$B$5:$B$8,MATCH(D675,VALOR!$A$5:$A$8,0)))</f>
        <v/>
      </c>
      <c r="H675" s="15">
        <f>IF(OR(G675="",F675=""),0,F675*G675)</f>
        <v/>
      </c>
      <c r="I675" s="20" t="n"/>
      <c r="J675" s="20" t="n"/>
      <c r="K675" s="24">
        <f>IF(OR(O675=0,J675=""),0,INDEX(MAPA!$C$5:$C$14,MATCH(J675,MAPA!$A$5:$A$14,0)))</f>
        <v/>
      </c>
      <c r="L675" s="25">
        <f>H675+K675</f>
        <v/>
      </c>
      <c r="M675" s="20" t="n"/>
      <c r="N675" s="20" t="n"/>
      <c r="O675" s="14">
        <f>IF(A675="",0,IF(COUNTIF($A$5:A675,A675)=1,1,0))</f>
        <v/>
      </c>
    </row>
    <row r="676">
      <c r="A676" s="20" t="n"/>
      <c r="B676" s="21" t="n"/>
      <c r="C676" s="20" t="n"/>
      <c r="D676" s="22">
        <f>IF(C676="","",INDEX(MERCADORIA!$B$5:$B$22,MATCH(C676,MERCADORIA!$A$5:$A$22,0)))</f>
        <v/>
      </c>
      <c r="E676" s="22">
        <f>IF(C676="","",INDEX(MERCADORIA!$C$5:$C$22,MATCH(C676,MERCADORIA!$A$5:$A$22,0)))</f>
        <v/>
      </c>
      <c r="F676" s="23" t="n"/>
      <c r="G676" s="24">
        <f>IF(D676="","",INDEX(VALOR!$B$5:$B$8,MATCH(D676,VALOR!$A$5:$A$8,0)))</f>
        <v/>
      </c>
      <c r="H676" s="15">
        <f>IF(OR(G676="",F676=""),0,F676*G676)</f>
        <v/>
      </c>
      <c r="I676" s="20" t="n"/>
      <c r="J676" s="20" t="n"/>
      <c r="K676" s="24">
        <f>IF(OR(O676=0,J676=""),0,INDEX(MAPA!$C$5:$C$14,MATCH(J676,MAPA!$A$5:$A$14,0)))</f>
        <v/>
      </c>
      <c r="L676" s="25">
        <f>H676+K676</f>
        <v/>
      </c>
      <c r="M676" s="20" t="n"/>
      <c r="N676" s="20" t="n"/>
      <c r="O676" s="14">
        <f>IF(A676="",0,IF(COUNTIF($A$5:A676,A676)=1,1,0))</f>
        <v/>
      </c>
    </row>
    <row r="677">
      <c r="A677" s="20" t="n"/>
      <c r="B677" s="21" t="n"/>
      <c r="C677" s="20" t="n"/>
      <c r="D677" s="22">
        <f>IF(C677="","",INDEX(MERCADORIA!$B$5:$B$22,MATCH(C677,MERCADORIA!$A$5:$A$22,0)))</f>
        <v/>
      </c>
      <c r="E677" s="22">
        <f>IF(C677="","",INDEX(MERCADORIA!$C$5:$C$22,MATCH(C677,MERCADORIA!$A$5:$A$22,0)))</f>
        <v/>
      </c>
      <c r="F677" s="23" t="n"/>
      <c r="G677" s="24">
        <f>IF(D677="","",INDEX(VALOR!$B$5:$B$8,MATCH(D677,VALOR!$A$5:$A$8,0)))</f>
        <v/>
      </c>
      <c r="H677" s="15">
        <f>IF(OR(G677="",F677=""),0,F677*G677)</f>
        <v/>
      </c>
      <c r="I677" s="20" t="n"/>
      <c r="J677" s="20" t="n"/>
      <c r="K677" s="24">
        <f>IF(OR(O677=0,J677=""),0,INDEX(MAPA!$C$5:$C$14,MATCH(J677,MAPA!$A$5:$A$14,0)))</f>
        <v/>
      </c>
      <c r="L677" s="25">
        <f>H677+K677</f>
        <v/>
      </c>
      <c r="M677" s="20" t="n"/>
      <c r="N677" s="20" t="n"/>
      <c r="O677" s="14">
        <f>IF(A677="",0,IF(COUNTIF($A$5:A677,A677)=1,1,0))</f>
        <v/>
      </c>
    </row>
    <row r="678">
      <c r="A678" s="20" t="n"/>
      <c r="B678" s="21" t="n"/>
      <c r="C678" s="20" t="n"/>
      <c r="D678" s="22">
        <f>IF(C678="","",INDEX(MERCADORIA!$B$5:$B$22,MATCH(C678,MERCADORIA!$A$5:$A$22,0)))</f>
        <v/>
      </c>
      <c r="E678" s="22">
        <f>IF(C678="","",INDEX(MERCADORIA!$C$5:$C$22,MATCH(C678,MERCADORIA!$A$5:$A$22,0)))</f>
        <v/>
      </c>
      <c r="F678" s="23" t="n"/>
      <c r="G678" s="24">
        <f>IF(D678="","",INDEX(VALOR!$B$5:$B$8,MATCH(D678,VALOR!$A$5:$A$8,0)))</f>
        <v/>
      </c>
      <c r="H678" s="15">
        <f>IF(OR(G678="",F678=""),0,F678*G678)</f>
        <v/>
      </c>
      <c r="I678" s="20" t="n"/>
      <c r="J678" s="20" t="n"/>
      <c r="K678" s="24">
        <f>IF(OR(O678=0,J678=""),0,INDEX(MAPA!$C$5:$C$14,MATCH(J678,MAPA!$A$5:$A$14,0)))</f>
        <v/>
      </c>
      <c r="L678" s="25">
        <f>H678+K678</f>
        <v/>
      </c>
      <c r="M678" s="20" t="n"/>
      <c r="N678" s="20" t="n"/>
      <c r="O678" s="14">
        <f>IF(A678="",0,IF(COUNTIF($A$5:A678,A678)=1,1,0))</f>
        <v/>
      </c>
    </row>
    <row r="679">
      <c r="A679" s="20" t="n"/>
      <c r="B679" s="21" t="n"/>
      <c r="C679" s="20" t="n"/>
      <c r="D679" s="22">
        <f>IF(C679="","",INDEX(MERCADORIA!$B$5:$B$22,MATCH(C679,MERCADORIA!$A$5:$A$22,0)))</f>
        <v/>
      </c>
      <c r="E679" s="22">
        <f>IF(C679="","",INDEX(MERCADORIA!$C$5:$C$22,MATCH(C679,MERCADORIA!$A$5:$A$22,0)))</f>
        <v/>
      </c>
      <c r="F679" s="23" t="n"/>
      <c r="G679" s="24">
        <f>IF(D679="","",INDEX(VALOR!$B$5:$B$8,MATCH(D679,VALOR!$A$5:$A$8,0)))</f>
        <v/>
      </c>
      <c r="H679" s="15">
        <f>IF(OR(G679="",F679=""),0,F679*G679)</f>
        <v/>
      </c>
      <c r="I679" s="20" t="n"/>
      <c r="J679" s="20" t="n"/>
      <c r="K679" s="24">
        <f>IF(OR(O679=0,J679=""),0,INDEX(MAPA!$C$5:$C$14,MATCH(J679,MAPA!$A$5:$A$14,0)))</f>
        <v/>
      </c>
      <c r="L679" s="25">
        <f>H679+K679</f>
        <v/>
      </c>
      <c r="M679" s="20" t="n"/>
      <c r="N679" s="20" t="n"/>
      <c r="O679" s="14">
        <f>IF(A679="",0,IF(COUNTIF($A$5:A679,A679)=1,1,0))</f>
        <v/>
      </c>
    </row>
    <row r="680">
      <c r="A680" s="20" t="n"/>
      <c r="B680" s="21" t="n"/>
      <c r="C680" s="20" t="n"/>
      <c r="D680" s="22">
        <f>IF(C680="","",INDEX(MERCADORIA!$B$5:$B$22,MATCH(C680,MERCADORIA!$A$5:$A$22,0)))</f>
        <v/>
      </c>
      <c r="E680" s="22">
        <f>IF(C680="","",INDEX(MERCADORIA!$C$5:$C$22,MATCH(C680,MERCADORIA!$A$5:$A$22,0)))</f>
        <v/>
      </c>
      <c r="F680" s="23" t="n"/>
      <c r="G680" s="24">
        <f>IF(D680="","",INDEX(VALOR!$B$5:$B$8,MATCH(D680,VALOR!$A$5:$A$8,0)))</f>
        <v/>
      </c>
      <c r="H680" s="15">
        <f>IF(OR(G680="",F680=""),0,F680*G680)</f>
        <v/>
      </c>
      <c r="I680" s="20" t="n"/>
      <c r="J680" s="20" t="n"/>
      <c r="K680" s="24">
        <f>IF(OR(O680=0,J680=""),0,INDEX(MAPA!$C$5:$C$14,MATCH(J680,MAPA!$A$5:$A$14,0)))</f>
        <v/>
      </c>
      <c r="L680" s="25">
        <f>H680+K680</f>
        <v/>
      </c>
      <c r="M680" s="20" t="n"/>
      <c r="N680" s="20" t="n"/>
      <c r="O680" s="14">
        <f>IF(A680="",0,IF(COUNTIF($A$5:A680,A680)=1,1,0))</f>
        <v/>
      </c>
    </row>
    <row r="681">
      <c r="A681" s="20" t="n"/>
      <c r="B681" s="21" t="n"/>
      <c r="C681" s="20" t="n"/>
      <c r="D681" s="22">
        <f>IF(C681="","",INDEX(MERCADORIA!$B$5:$B$22,MATCH(C681,MERCADORIA!$A$5:$A$22,0)))</f>
        <v/>
      </c>
      <c r="E681" s="22">
        <f>IF(C681="","",INDEX(MERCADORIA!$C$5:$C$22,MATCH(C681,MERCADORIA!$A$5:$A$22,0)))</f>
        <v/>
      </c>
      <c r="F681" s="23" t="n"/>
      <c r="G681" s="24">
        <f>IF(D681="","",INDEX(VALOR!$B$5:$B$8,MATCH(D681,VALOR!$A$5:$A$8,0)))</f>
        <v/>
      </c>
      <c r="H681" s="15">
        <f>IF(OR(G681="",F681=""),0,F681*G681)</f>
        <v/>
      </c>
      <c r="I681" s="20" t="n"/>
      <c r="J681" s="20" t="n"/>
      <c r="K681" s="24">
        <f>IF(OR(O681=0,J681=""),0,INDEX(MAPA!$C$5:$C$14,MATCH(J681,MAPA!$A$5:$A$14,0)))</f>
        <v/>
      </c>
      <c r="L681" s="25">
        <f>H681+K681</f>
        <v/>
      </c>
      <c r="M681" s="20" t="n"/>
      <c r="N681" s="20" t="n"/>
      <c r="O681" s="14">
        <f>IF(A681="",0,IF(COUNTIF($A$5:A681,A681)=1,1,0))</f>
        <v/>
      </c>
    </row>
    <row r="682">
      <c r="A682" s="20" t="n"/>
      <c r="B682" s="21" t="n"/>
      <c r="C682" s="20" t="n"/>
      <c r="D682" s="22">
        <f>IF(C682="","",INDEX(MERCADORIA!$B$5:$B$22,MATCH(C682,MERCADORIA!$A$5:$A$22,0)))</f>
        <v/>
      </c>
      <c r="E682" s="22">
        <f>IF(C682="","",INDEX(MERCADORIA!$C$5:$C$22,MATCH(C682,MERCADORIA!$A$5:$A$22,0)))</f>
        <v/>
      </c>
      <c r="F682" s="23" t="n"/>
      <c r="G682" s="24">
        <f>IF(D682="","",INDEX(VALOR!$B$5:$B$8,MATCH(D682,VALOR!$A$5:$A$8,0)))</f>
        <v/>
      </c>
      <c r="H682" s="15">
        <f>IF(OR(G682="",F682=""),0,F682*G682)</f>
        <v/>
      </c>
      <c r="I682" s="20" t="n"/>
      <c r="J682" s="20" t="n"/>
      <c r="K682" s="24">
        <f>IF(OR(O682=0,J682=""),0,INDEX(MAPA!$C$5:$C$14,MATCH(J682,MAPA!$A$5:$A$14,0)))</f>
        <v/>
      </c>
      <c r="L682" s="25">
        <f>H682+K682</f>
        <v/>
      </c>
      <c r="M682" s="20" t="n"/>
      <c r="N682" s="20" t="n"/>
      <c r="O682" s="14">
        <f>IF(A682="",0,IF(COUNTIF($A$5:A682,A682)=1,1,0))</f>
        <v/>
      </c>
    </row>
    <row r="683">
      <c r="A683" s="20" t="n"/>
      <c r="B683" s="21" t="n"/>
      <c r="C683" s="20" t="n"/>
      <c r="D683" s="22">
        <f>IF(C683="","",INDEX(MERCADORIA!$B$5:$B$22,MATCH(C683,MERCADORIA!$A$5:$A$22,0)))</f>
        <v/>
      </c>
      <c r="E683" s="22">
        <f>IF(C683="","",INDEX(MERCADORIA!$C$5:$C$22,MATCH(C683,MERCADORIA!$A$5:$A$22,0)))</f>
        <v/>
      </c>
      <c r="F683" s="23" t="n"/>
      <c r="G683" s="24">
        <f>IF(D683="","",INDEX(VALOR!$B$5:$B$8,MATCH(D683,VALOR!$A$5:$A$8,0)))</f>
        <v/>
      </c>
      <c r="H683" s="15">
        <f>IF(OR(G683="",F683=""),0,F683*G683)</f>
        <v/>
      </c>
      <c r="I683" s="20" t="n"/>
      <c r="J683" s="20" t="n"/>
      <c r="K683" s="24">
        <f>IF(OR(O683=0,J683=""),0,INDEX(MAPA!$C$5:$C$14,MATCH(J683,MAPA!$A$5:$A$14,0)))</f>
        <v/>
      </c>
      <c r="L683" s="25">
        <f>H683+K683</f>
        <v/>
      </c>
      <c r="M683" s="20" t="n"/>
      <c r="N683" s="20" t="n"/>
      <c r="O683" s="14">
        <f>IF(A683="",0,IF(COUNTIF($A$5:A683,A683)=1,1,0))</f>
        <v/>
      </c>
    </row>
    <row r="684">
      <c r="A684" s="20" t="n"/>
      <c r="B684" s="21" t="n"/>
      <c r="C684" s="20" t="n"/>
      <c r="D684" s="22">
        <f>IF(C684="","",INDEX(MERCADORIA!$B$5:$B$22,MATCH(C684,MERCADORIA!$A$5:$A$22,0)))</f>
        <v/>
      </c>
      <c r="E684" s="22">
        <f>IF(C684="","",INDEX(MERCADORIA!$C$5:$C$22,MATCH(C684,MERCADORIA!$A$5:$A$22,0)))</f>
        <v/>
      </c>
      <c r="F684" s="23" t="n"/>
      <c r="G684" s="24">
        <f>IF(D684="","",INDEX(VALOR!$B$5:$B$8,MATCH(D684,VALOR!$A$5:$A$8,0)))</f>
        <v/>
      </c>
      <c r="H684" s="15">
        <f>IF(OR(G684="",F684=""),0,F684*G684)</f>
        <v/>
      </c>
      <c r="I684" s="20" t="n"/>
      <c r="J684" s="20" t="n"/>
      <c r="K684" s="24">
        <f>IF(OR(O684=0,J684=""),0,INDEX(MAPA!$C$5:$C$14,MATCH(J684,MAPA!$A$5:$A$14,0)))</f>
        <v/>
      </c>
      <c r="L684" s="25">
        <f>H684+K684</f>
        <v/>
      </c>
      <c r="M684" s="20" t="n"/>
      <c r="N684" s="20" t="n"/>
      <c r="O684" s="14">
        <f>IF(A684="",0,IF(COUNTIF($A$5:A684,A684)=1,1,0))</f>
        <v/>
      </c>
    </row>
    <row r="685">
      <c r="A685" s="20" t="n"/>
      <c r="B685" s="21" t="n"/>
      <c r="C685" s="20" t="n"/>
      <c r="D685" s="22">
        <f>IF(C685="","",INDEX(MERCADORIA!$B$5:$B$22,MATCH(C685,MERCADORIA!$A$5:$A$22,0)))</f>
        <v/>
      </c>
      <c r="E685" s="22">
        <f>IF(C685="","",INDEX(MERCADORIA!$C$5:$C$22,MATCH(C685,MERCADORIA!$A$5:$A$22,0)))</f>
        <v/>
      </c>
      <c r="F685" s="23" t="n"/>
      <c r="G685" s="24">
        <f>IF(D685="","",INDEX(VALOR!$B$5:$B$8,MATCH(D685,VALOR!$A$5:$A$8,0)))</f>
        <v/>
      </c>
      <c r="H685" s="15">
        <f>IF(OR(G685="",F685=""),0,F685*G685)</f>
        <v/>
      </c>
      <c r="I685" s="20" t="n"/>
      <c r="J685" s="20" t="n"/>
      <c r="K685" s="24">
        <f>IF(OR(O685=0,J685=""),0,INDEX(MAPA!$C$5:$C$14,MATCH(J685,MAPA!$A$5:$A$14,0)))</f>
        <v/>
      </c>
      <c r="L685" s="25">
        <f>H685+K685</f>
        <v/>
      </c>
      <c r="M685" s="20" t="n"/>
      <c r="N685" s="20" t="n"/>
      <c r="O685" s="14">
        <f>IF(A685="",0,IF(COUNTIF($A$5:A685,A685)=1,1,0))</f>
        <v/>
      </c>
    </row>
    <row r="686">
      <c r="A686" s="20" t="n"/>
      <c r="B686" s="21" t="n"/>
      <c r="C686" s="20" t="n"/>
      <c r="D686" s="22">
        <f>IF(C686="","",INDEX(MERCADORIA!$B$5:$B$22,MATCH(C686,MERCADORIA!$A$5:$A$22,0)))</f>
        <v/>
      </c>
      <c r="E686" s="22">
        <f>IF(C686="","",INDEX(MERCADORIA!$C$5:$C$22,MATCH(C686,MERCADORIA!$A$5:$A$22,0)))</f>
        <v/>
      </c>
      <c r="F686" s="23" t="n"/>
      <c r="G686" s="24">
        <f>IF(D686="","",INDEX(VALOR!$B$5:$B$8,MATCH(D686,VALOR!$A$5:$A$8,0)))</f>
        <v/>
      </c>
      <c r="H686" s="15">
        <f>IF(OR(G686="",F686=""),0,F686*G686)</f>
        <v/>
      </c>
      <c r="I686" s="20" t="n"/>
      <c r="J686" s="20" t="n"/>
      <c r="K686" s="24">
        <f>IF(OR(O686=0,J686=""),0,INDEX(MAPA!$C$5:$C$14,MATCH(J686,MAPA!$A$5:$A$14,0)))</f>
        <v/>
      </c>
      <c r="L686" s="25">
        <f>H686+K686</f>
        <v/>
      </c>
      <c r="M686" s="20" t="n"/>
      <c r="N686" s="20" t="n"/>
      <c r="O686" s="14">
        <f>IF(A686="",0,IF(COUNTIF($A$5:A686,A686)=1,1,0))</f>
        <v/>
      </c>
    </row>
    <row r="687">
      <c r="A687" s="20" t="n"/>
      <c r="B687" s="21" t="n"/>
      <c r="C687" s="20" t="n"/>
      <c r="D687" s="22">
        <f>IF(C687="","",INDEX(MERCADORIA!$B$5:$B$22,MATCH(C687,MERCADORIA!$A$5:$A$22,0)))</f>
        <v/>
      </c>
      <c r="E687" s="22">
        <f>IF(C687="","",INDEX(MERCADORIA!$C$5:$C$22,MATCH(C687,MERCADORIA!$A$5:$A$22,0)))</f>
        <v/>
      </c>
      <c r="F687" s="23" t="n"/>
      <c r="G687" s="24">
        <f>IF(D687="","",INDEX(VALOR!$B$5:$B$8,MATCH(D687,VALOR!$A$5:$A$8,0)))</f>
        <v/>
      </c>
      <c r="H687" s="15">
        <f>IF(OR(G687="",F687=""),0,F687*G687)</f>
        <v/>
      </c>
      <c r="I687" s="20" t="n"/>
      <c r="J687" s="20" t="n"/>
      <c r="K687" s="24">
        <f>IF(OR(O687=0,J687=""),0,INDEX(MAPA!$C$5:$C$14,MATCH(J687,MAPA!$A$5:$A$14,0)))</f>
        <v/>
      </c>
      <c r="L687" s="25">
        <f>H687+K687</f>
        <v/>
      </c>
      <c r="M687" s="20" t="n"/>
      <c r="N687" s="20" t="n"/>
      <c r="O687" s="14">
        <f>IF(A687="",0,IF(COUNTIF($A$5:A687,A687)=1,1,0))</f>
        <v/>
      </c>
    </row>
    <row r="688">
      <c r="A688" s="20" t="n"/>
      <c r="B688" s="21" t="n"/>
      <c r="C688" s="20" t="n"/>
      <c r="D688" s="22">
        <f>IF(C688="","",INDEX(MERCADORIA!$B$5:$B$22,MATCH(C688,MERCADORIA!$A$5:$A$22,0)))</f>
        <v/>
      </c>
      <c r="E688" s="22">
        <f>IF(C688="","",INDEX(MERCADORIA!$C$5:$C$22,MATCH(C688,MERCADORIA!$A$5:$A$22,0)))</f>
        <v/>
      </c>
      <c r="F688" s="23" t="n"/>
      <c r="G688" s="24">
        <f>IF(D688="","",INDEX(VALOR!$B$5:$B$8,MATCH(D688,VALOR!$A$5:$A$8,0)))</f>
        <v/>
      </c>
      <c r="H688" s="15">
        <f>IF(OR(G688="",F688=""),0,F688*G688)</f>
        <v/>
      </c>
      <c r="I688" s="20" t="n"/>
      <c r="J688" s="20" t="n"/>
      <c r="K688" s="24">
        <f>IF(OR(O688=0,J688=""),0,INDEX(MAPA!$C$5:$C$14,MATCH(J688,MAPA!$A$5:$A$14,0)))</f>
        <v/>
      </c>
      <c r="L688" s="25">
        <f>H688+K688</f>
        <v/>
      </c>
      <c r="M688" s="20" t="n"/>
      <c r="N688" s="20" t="n"/>
      <c r="O688" s="14">
        <f>IF(A688="",0,IF(COUNTIF($A$5:A688,A688)=1,1,0))</f>
        <v/>
      </c>
    </row>
    <row r="689">
      <c r="A689" s="20" t="n"/>
      <c r="B689" s="21" t="n"/>
      <c r="C689" s="20" t="n"/>
      <c r="D689" s="22">
        <f>IF(C689="","",INDEX(MERCADORIA!$B$5:$B$22,MATCH(C689,MERCADORIA!$A$5:$A$22,0)))</f>
        <v/>
      </c>
      <c r="E689" s="22">
        <f>IF(C689="","",INDEX(MERCADORIA!$C$5:$C$22,MATCH(C689,MERCADORIA!$A$5:$A$22,0)))</f>
        <v/>
      </c>
      <c r="F689" s="23" t="n"/>
      <c r="G689" s="24">
        <f>IF(D689="","",INDEX(VALOR!$B$5:$B$8,MATCH(D689,VALOR!$A$5:$A$8,0)))</f>
        <v/>
      </c>
      <c r="H689" s="15">
        <f>IF(OR(G689="",F689=""),0,F689*G689)</f>
        <v/>
      </c>
      <c r="I689" s="20" t="n"/>
      <c r="J689" s="20" t="n"/>
      <c r="K689" s="24">
        <f>IF(OR(O689=0,J689=""),0,INDEX(MAPA!$C$5:$C$14,MATCH(J689,MAPA!$A$5:$A$14,0)))</f>
        <v/>
      </c>
      <c r="L689" s="25">
        <f>H689+K689</f>
        <v/>
      </c>
      <c r="M689" s="20" t="n"/>
      <c r="N689" s="20" t="n"/>
      <c r="O689" s="14">
        <f>IF(A689="",0,IF(COUNTIF($A$5:A689,A689)=1,1,0))</f>
        <v/>
      </c>
    </row>
    <row r="690">
      <c r="A690" s="20" t="n"/>
      <c r="B690" s="21" t="n"/>
      <c r="C690" s="20" t="n"/>
      <c r="D690" s="22">
        <f>IF(C690="","",INDEX(MERCADORIA!$B$5:$B$22,MATCH(C690,MERCADORIA!$A$5:$A$22,0)))</f>
        <v/>
      </c>
      <c r="E690" s="22">
        <f>IF(C690="","",INDEX(MERCADORIA!$C$5:$C$22,MATCH(C690,MERCADORIA!$A$5:$A$22,0)))</f>
        <v/>
      </c>
      <c r="F690" s="23" t="n"/>
      <c r="G690" s="24">
        <f>IF(D690="","",INDEX(VALOR!$B$5:$B$8,MATCH(D690,VALOR!$A$5:$A$8,0)))</f>
        <v/>
      </c>
      <c r="H690" s="15">
        <f>IF(OR(G690="",F690=""),0,F690*G690)</f>
        <v/>
      </c>
      <c r="I690" s="20" t="n"/>
      <c r="J690" s="20" t="n"/>
      <c r="K690" s="24">
        <f>IF(OR(O690=0,J690=""),0,INDEX(MAPA!$C$5:$C$14,MATCH(J690,MAPA!$A$5:$A$14,0)))</f>
        <v/>
      </c>
      <c r="L690" s="25">
        <f>H690+K690</f>
        <v/>
      </c>
      <c r="M690" s="20" t="n"/>
      <c r="N690" s="20" t="n"/>
      <c r="O690" s="14">
        <f>IF(A690="",0,IF(COUNTIF($A$5:A690,A690)=1,1,0))</f>
        <v/>
      </c>
    </row>
    <row r="691">
      <c r="A691" s="20" t="n"/>
      <c r="B691" s="21" t="n"/>
      <c r="C691" s="20" t="n"/>
      <c r="D691" s="22">
        <f>IF(C691="","",INDEX(MERCADORIA!$B$5:$B$22,MATCH(C691,MERCADORIA!$A$5:$A$22,0)))</f>
        <v/>
      </c>
      <c r="E691" s="22">
        <f>IF(C691="","",INDEX(MERCADORIA!$C$5:$C$22,MATCH(C691,MERCADORIA!$A$5:$A$22,0)))</f>
        <v/>
      </c>
      <c r="F691" s="23" t="n"/>
      <c r="G691" s="24">
        <f>IF(D691="","",INDEX(VALOR!$B$5:$B$8,MATCH(D691,VALOR!$A$5:$A$8,0)))</f>
        <v/>
      </c>
      <c r="H691" s="15">
        <f>IF(OR(G691="",F691=""),0,F691*G691)</f>
        <v/>
      </c>
      <c r="I691" s="20" t="n"/>
      <c r="J691" s="20" t="n"/>
      <c r="K691" s="24">
        <f>IF(OR(O691=0,J691=""),0,INDEX(MAPA!$C$5:$C$14,MATCH(J691,MAPA!$A$5:$A$14,0)))</f>
        <v/>
      </c>
      <c r="L691" s="25">
        <f>H691+K691</f>
        <v/>
      </c>
      <c r="M691" s="20" t="n"/>
      <c r="N691" s="20" t="n"/>
      <c r="O691" s="14">
        <f>IF(A691="",0,IF(COUNTIF($A$5:A691,A691)=1,1,0))</f>
        <v/>
      </c>
    </row>
    <row r="692">
      <c r="A692" s="20" t="n"/>
      <c r="B692" s="21" t="n"/>
      <c r="C692" s="20" t="n"/>
      <c r="D692" s="22">
        <f>IF(C692="","",INDEX(MERCADORIA!$B$5:$B$22,MATCH(C692,MERCADORIA!$A$5:$A$22,0)))</f>
        <v/>
      </c>
      <c r="E692" s="22">
        <f>IF(C692="","",INDEX(MERCADORIA!$C$5:$C$22,MATCH(C692,MERCADORIA!$A$5:$A$22,0)))</f>
        <v/>
      </c>
      <c r="F692" s="23" t="n"/>
      <c r="G692" s="24">
        <f>IF(D692="","",INDEX(VALOR!$B$5:$B$8,MATCH(D692,VALOR!$A$5:$A$8,0)))</f>
        <v/>
      </c>
      <c r="H692" s="15">
        <f>IF(OR(G692="",F692=""),0,F692*G692)</f>
        <v/>
      </c>
      <c r="I692" s="20" t="n"/>
      <c r="J692" s="20" t="n"/>
      <c r="K692" s="24">
        <f>IF(OR(O692=0,J692=""),0,INDEX(MAPA!$C$5:$C$14,MATCH(J692,MAPA!$A$5:$A$14,0)))</f>
        <v/>
      </c>
      <c r="L692" s="25">
        <f>H692+K692</f>
        <v/>
      </c>
      <c r="M692" s="20" t="n"/>
      <c r="N692" s="20" t="n"/>
      <c r="O692" s="14">
        <f>IF(A692="",0,IF(COUNTIF($A$5:A692,A692)=1,1,0))</f>
        <v/>
      </c>
    </row>
    <row r="693">
      <c r="A693" s="20" t="n"/>
      <c r="B693" s="21" t="n"/>
      <c r="C693" s="20" t="n"/>
      <c r="D693" s="22">
        <f>IF(C693="","",INDEX(MERCADORIA!$B$5:$B$22,MATCH(C693,MERCADORIA!$A$5:$A$22,0)))</f>
        <v/>
      </c>
      <c r="E693" s="22">
        <f>IF(C693="","",INDEX(MERCADORIA!$C$5:$C$22,MATCH(C693,MERCADORIA!$A$5:$A$22,0)))</f>
        <v/>
      </c>
      <c r="F693" s="23" t="n"/>
      <c r="G693" s="24">
        <f>IF(D693="","",INDEX(VALOR!$B$5:$B$8,MATCH(D693,VALOR!$A$5:$A$8,0)))</f>
        <v/>
      </c>
      <c r="H693" s="15">
        <f>IF(OR(G693="",F693=""),0,F693*G693)</f>
        <v/>
      </c>
      <c r="I693" s="20" t="n"/>
      <c r="J693" s="20" t="n"/>
      <c r="K693" s="24">
        <f>IF(OR(O693=0,J693=""),0,INDEX(MAPA!$C$5:$C$14,MATCH(J693,MAPA!$A$5:$A$14,0)))</f>
        <v/>
      </c>
      <c r="L693" s="25">
        <f>H693+K693</f>
        <v/>
      </c>
      <c r="M693" s="20" t="n"/>
      <c r="N693" s="20" t="n"/>
      <c r="O693" s="14">
        <f>IF(A693="",0,IF(COUNTIF($A$5:A693,A693)=1,1,0))</f>
        <v/>
      </c>
    </row>
    <row r="694">
      <c r="A694" s="20" t="n"/>
      <c r="B694" s="21" t="n"/>
      <c r="C694" s="20" t="n"/>
      <c r="D694" s="22">
        <f>IF(C694="","",INDEX(MERCADORIA!$B$5:$B$22,MATCH(C694,MERCADORIA!$A$5:$A$22,0)))</f>
        <v/>
      </c>
      <c r="E694" s="22">
        <f>IF(C694="","",INDEX(MERCADORIA!$C$5:$C$22,MATCH(C694,MERCADORIA!$A$5:$A$22,0)))</f>
        <v/>
      </c>
      <c r="F694" s="23" t="n"/>
      <c r="G694" s="24">
        <f>IF(D694="","",INDEX(VALOR!$B$5:$B$8,MATCH(D694,VALOR!$A$5:$A$8,0)))</f>
        <v/>
      </c>
      <c r="H694" s="15">
        <f>IF(OR(G694="",F694=""),0,F694*G694)</f>
        <v/>
      </c>
      <c r="I694" s="20" t="n"/>
      <c r="J694" s="20" t="n"/>
      <c r="K694" s="24">
        <f>IF(OR(O694=0,J694=""),0,INDEX(MAPA!$C$5:$C$14,MATCH(J694,MAPA!$A$5:$A$14,0)))</f>
        <v/>
      </c>
      <c r="L694" s="25">
        <f>H694+K694</f>
        <v/>
      </c>
      <c r="M694" s="20" t="n"/>
      <c r="N694" s="20" t="n"/>
      <c r="O694" s="14">
        <f>IF(A694="",0,IF(COUNTIF($A$5:A694,A694)=1,1,0))</f>
        <v/>
      </c>
    </row>
    <row r="695">
      <c r="A695" s="20" t="n"/>
      <c r="B695" s="21" t="n"/>
      <c r="C695" s="20" t="n"/>
      <c r="D695" s="22">
        <f>IF(C695="","",INDEX(MERCADORIA!$B$5:$B$22,MATCH(C695,MERCADORIA!$A$5:$A$22,0)))</f>
        <v/>
      </c>
      <c r="E695" s="22">
        <f>IF(C695="","",INDEX(MERCADORIA!$C$5:$C$22,MATCH(C695,MERCADORIA!$A$5:$A$22,0)))</f>
        <v/>
      </c>
      <c r="F695" s="23" t="n"/>
      <c r="G695" s="24">
        <f>IF(D695="","",INDEX(VALOR!$B$5:$B$8,MATCH(D695,VALOR!$A$5:$A$8,0)))</f>
        <v/>
      </c>
      <c r="H695" s="15">
        <f>IF(OR(G695="",F695=""),0,F695*G695)</f>
        <v/>
      </c>
      <c r="I695" s="20" t="n"/>
      <c r="J695" s="20" t="n"/>
      <c r="K695" s="24">
        <f>IF(OR(O695=0,J695=""),0,INDEX(MAPA!$C$5:$C$14,MATCH(J695,MAPA!$A$5:$A$14,0)))</f>
        <v/>
      </c>
      <c r="L695" s="25">
        <f>H695+K695</f>
        <v/>
      </c>
      <c r="M695" s="20" t="n"/>
      <c r="N695" s="20" t="n"/>
      <c r="O695" s="14">
        <f>IF(A695="",0,IF(COUNTIF($A$5:A695,A695)=1,1,0))</f>
        <v/>
      </c>
    </row>
    <row r="696">
      <c r="A696" s="20" t="n"/>
      <c r="B696" s="21" t="n"/>
      <c r="C696" s="20" t="n"/>
      <c r="D696" s="22">
        <f>IF(C696="","",INDEX(MERCADORIA!$B$5:$B$22,MATCH(C696,MERCADORIA!$A$5:$A$22,0)))</f>
        <v/>
      </c>
      <c r="E696" s="22">
        <f>IF(C696="","",INDEX(MERCADORIA!$C$5:$C$22,MATCH(C696,MERCADORIA!$A$5:$A$22,0)))</f>
        <v/>
      </c>
      <c r="F696" s="23" t="n"/>
      <c r="G696" s="24">
        <f>IF(D696="","",INDEX(VALOR!$B$5:$B$8,MATCH(D696,VALOR!$A$5:$A$8,0)))</f>
        <v/>
      </c>
      <c r="H696" s="15">
        <f>IF(OR(G696="",F696=""),0,F696*G696)</f>
        <v/>
      </c>
      <c r="I696" s="20" t="n"/>
      <c r="J696" s="20" t="n"/>
      <c r="K696" s="24">
        <f>IF(OR(O696=0,J696=""),0,INDEX(MAPA!$C$5:$C$14,MATCH(J696,MAPA!$A$5:$A$14,0)))</f>
        <v/>
      </c>
      <c r="L696" s="25">
        <f>H696+K696</f>
        <v/>
      </c>
      <c r="M696" s="20" t="n"/>
      <c r="N696" s="20" t="n"/>
      <c r="O696" s="14">
        <f>IF(A696="",0,IF(COUNTIF($A$5:A696,A696)=1,1,0))</f>
        <v/>
      </c>
    </row>
    <row r="697">
      <c r="A697" s="20" t="n"/>
      <c r="B697" s="21" t="n"/>
      <c r="C697" s="20" t="n"/>
      <c r="D697" s="22">
        <f>IF(C697="","",INDEX(MERCADORIA!$B$5:$B$22,MATCH(C697,MERCADORIA!$A$5:$A$22,0)))</f>
        <v/>
      </c>
      <c r="E697" s="22">
        <f>IF(C697="","",INDEX(MERCADORIA!$C$5:$C$22,MATCH(C697,MERCADORIA!$A$5:$A$22,0)))</f>
        <v/>
      </c>
      <c r="F697" s="23" t="n"/>
      <c r="G697" s="24">
        <f>IF(D697="","",INDEX(VALOR!$B$5:$B$8,MATCH(D697,VALOR!$A$5:$A$8,0)))</f>
        <v/>
      </c>
      <c r="H697" s="15">
        <f>IF(OR(G697="",F697=""),0,F697*G697)</f>
        <v/>
      </c>
      <c r="I697" s="20" t="n"/>
      <c r="J697" s="20" t="n"/>
      <c r="K697" s="24">
        <f>IF(OR(O697=0,J697=""),0,INDEX(MAPA!$C$5:$C$14,MATCH(J697,MAPA!$A$5:$A$14,0)))</f>
        <v/>
      </c>
      <c r="L697" s="25">
        <f>H697+K697</f>
        <v/>
      </c>
      <c r="M697" s="20" t="n"/>
      <c r="N697" s="20" t="n"/>
      <c r="O697" s="14">
        <f>IF(A697="",0,IF(COUNTIF($A$5:A697,A697)=1,1,0))</f>
        <v/>
      </c>
    </row>
    <row r="698">
      <c r="A698" s="20" t="n"/>
      <c r="B698" s="21" t="n"/>
      <c r="C698" s="20" t="n"/>
      <c r="D698" s="22">
        <f>IF(C698="","",INDEX(MERCADORIA!$B$5:$B$22,MATCH(C698,MERCADORIA!$A$5:$A$22,0)))</f>
        <v/>
      </c>
      <c r="E698" s="22">
        <f>IF(C698="","",INDEX(MERCADORIA!$C$5:$C$22,MATCH(C698,MERCADORIA!$A$5:$A$22,0)))</f>
        <v/>
      </c>
      <c r="F698" s="23" t="n"/>
      <c r="G698" s="24">
        <f>IF(D698="","",INDEX(VALOR!$B$5:$B$8,MATCH(D698,VALOR!$A$5:$A$8,0)))</f>
        <v/>
      </c>
      <c r="H698" s="15">
        <f>IF(OR(G698="",F698=""),0,F698*G698)</f>
        <v/>
      </c>
      <c r="I698" s="20" t="n"/>
      <c r="J698" s="20" t="n"/>
      <c r="K698" s="24">
        <f>IF(OR(O698=0,J698=""),0,INDEX(MAPA!$C$5:$C$14,MATCH(J698,MAPA!$A$5:$A$14,0)))</f>
        <v/>
      </c>
      <c r="L698" s="25">
        <f>H698+K698</f>
        <v/>
      </c>
      <c r="M698" s="20" t="n"/>
      <c r="N698" s="20" t="n"/>
      <c r="O698" s="14">
        <f>IF(A698="",0,IF(COUNTIF($A$5:A698,A698)=1,1,0))</f>
        <v/>
      </c>
    </row>
    <row r="699">
      <c r="A699" s="20" t="n"/>
      <c r="B699" s="21" t="n"/>
      <c r="C699" s="20" t="n"/>
      <c r="D699" s="22">
        <f>IF(C699="","",INDEX(MERCADORIA!$B$5:$B$22,MATCH(C699,MERCADORIA!$A$5:$A$22,0)))</f>
        <v/>
      </c>
      <c r="E699" s="22">
        <f>IF(C699="","",INDEX(MERCADORIA!$C$5:$C$22,MATCH(C699,MERCADORIA!$A$5:$A$22,0)))</f>
        <v/>
      </c>
      <c r="F699" s="23" t="n"/>
      <c r="G699" s="24">
        <f>IF(D699="","",INDEX(VALOR!$B$5:$B$8,MATCH(D699,VALOR!$A$5:$A$8,0)))</f>
        <v/>
      </c>
      <c r="H699" s="15">
        <f>IF(OR(G699="",F699=""),0,F699*G699)</f>
        <v/>
      </c>
      <c r="I699" s="20" t="n"/>
      <c r="J699" s="20" t="n"/>
      <c r="K699" s="24">
        <f>IF(OR(O699=0,J699=""),0,INDEX(MAPA!$C$5:$C$14,MATCH(J699,MAPA!$A$5:$A$14,0)))</f>
        <v/>
      </c>
      <c r="L699" s="25">
        <f>H699+K699</f>
        <v/>
      </c>
      <c r="M699" s="20" t="n"/>
      <c r="N699" s="20" t="n"/>
      <c r="O699" s="14">
        <f>IF(A699="",0,IF(COUNTIF($A$5:A699,A699)=1,1,0))</f>
        <v/>
      </c>
    </row>
    <row r="700">
      <c r="A700" s="20" t="n"/>
      <c r="B700" s="21" t="n"/>
      <c r="C700" s="20" t="n"/>
      <c r="D700" s="22">
        <f>IF(C700="","",INDEX(MERCADORIA!$B$5:$B$22,MATCH(C700,MERCADORIA!$A$5:$A$22,0)))</f>
        <v/>
      </c>
      <c r="E700" s="22">
        <f>IF(C700="","",INDEX(MERCADORIA!$C$5:$C$22,MATCH(C700,MERCADORIA!$A$5:$A$22,0)))</f>
        <v/>
      </c>
      <c r="F700" s="23" t="n"/>
      <c r="G700" s="24">
        <f>IF(D700="","",INDEX(VALOR!$B$5:$B$8,MATCH(D700,VALOR!$A$5:$A$8,0)))</f>
        <v/>
      </c>
      <c r="H700" s="15">
        <f>IF(OR(G700="",F700=""),0,F700*G700)</f>
        <v/>
      </c>
      <c r="I700" s="20" t="n"/>
      <c r="J700" s="20" t="n"/>
      <c r="K700" s="24">
        <f>IF(OR(O700=0,J700=""),0,INDEX(MAPA!$C$5:$C$14,MATCH(J700,MAPA!$A$5:$A$14,0)))</f>
        <v/>
      </c>
      <c r="L700" s="25">
        <f>H700+K700</f>
        <v/>
      </c>
      <c r="M700" s="20" t="n"/>
      <c r="N700" s="20" t="n"/>
      <c r="O700" s="14">
        <f>IF(A700="",0,IF(COUNTIF($A$5:A700,A700)=1,1,0))</f>
        <v/>
      </c>
    </row>
    <row r="701">
      <c r="A701" s="20" t="n"/>
      <c r="B701" s="21" t="n"/>
      <c r="C701" s="20" t="n"/>
      <c r="D701" s="22">
        <f>IF(C701="","",INDEX(MERCADORIA!$B$5:$B$22,MATCH(C701,MERCADORIA!$A$5:$A$22,0)))</f>
        <v/>
      </c>
      <c r="E701" s="22">
        <f>IF(C701="","",INDEX(MERCADORIA!$C$5:$C$22,MATCH(C701,MERCADORIA!$A$5:$A$22,0)))</f>
        <v/>
      </c>
      <c r="F701" s="23" t="n"/>
      <c r="G701" s="24">
        <f>IF(D701="","",INDEX(VALOR!$B$5:$B$8,MATCH(D701,VALOR!$A$5:$A$8,0)))</f>
        <v/>
      </c>
      <c r="H701" s="15">
        <f>IF(OR(G701="",F701=""),0,F701*G701)</f>
        <v/>
      </c>
      <c r="I701" s="20" t="n"/>
      <c r="J701" s="20" t="n"/>
      <c r="K701" s="24">
        <f>IF(OR(O701=0,J701=""),0,INDEX(MAPA!$C$5:$C$14,MATCH(J701,MAPA!$A$5:$A$14,0)))</f>
        <v/>
      </c>
      <c r="L701" s="25">
        <f>H701+K701</f>
        <v/>
      </c>
      <c r="M701" s="20" t="n"/>
      <c r="N701" s="20" t="n"/>
      <c r="O701" s="14">
        <f>IF(A701="",0,IF(COUNTIF($A$5:A701,A701)=1,1,0))</f>
        <v/>
      </c>
    </row>
    <row r="702">
      <c r="A702" s="20" t="n"/>
      <c r="B702" s="21" t="n"/>
      <c r="C702" s="20" t="n"/>
      <c r="D702" s="22">
        <f>IF(C702="","",INDEX(MERCADORIA!$B$5:$B$22,MATCH(C702,MERCADORIA!$A$5:$A$22,0)))</f>
        <v/>
      </c>
      <c r="E702" s="22">
        <f>IF(C702="","",INDEX(MERCADORIA!$C$5:$C$22,MATCH(C702,MERCADORIA!$A$5:$A$22,0)))</f>
        <v/>
      </c>
      <c r="F702" s="23" t="n"/>
      <c r="G702" s="24">
        <f>IF(D702="","",INDEX(VALOR!$B$5:$B$8,MATCH(D702,VALOR!$A$5:$A$8,0)))</f>
        <v/>
      </c>
      <c r="H702" s="15">
        <f>IF(OR(G702="",F702=""),0,F702*G702)</f>
        <v/>
      </c>
      <c r="I702" s="20" t="n"/>
      <c r="J702" s="20" t="n"/>
      <c r="K702" s="24">
        <f>IF(OR(O702=0,J702=""),0,INDEX(MAPA!$C$5:$C$14,MATCH(J702,MAPA!$A$5:$A$14,0)))</f>
        <v/>
      </c>
      <c r="L702" s="25">
        <f>H702+K702</f>
        <v/>
      </c>
      <c r="M702" s="20" t="n"/>
      <c r="N702" s="20" t="n"/>
      <c r="O702" s="14">
        <f>IF(A702="",0,IF(COUNTIF($A$5:A702,A702)=1,1,0))</f>
        <v/>
      </c>
    </row>
    <row r="703">
      <c r="A703" s="20" t="n"/>
      <c r="B703" s="21" t="n"/>
      <c r="C703" s="20" t="n"/>
      <c r="D703" s="22">
        <f>IF(C703="","",INDEX(MERCADORIA!$B$5:$B$22,MATCH(C703,MERCADORIA!$A$5:$A$22,0)))</f>
        <v/>
      </c>
      <c r="E703" s="22">
        <f>IF(C703="","",INDEX(MERCADORIA!$C$5:$C$22,MATCH(C703,MERCADORIA!$A$5:$A$22,0)))</f>
        <v/>
      </c>
      <c r="F703" s="23" t="n"/>
      <c r="G703" s="24">
        <f>IF(D703="","",INDEX(VALOR!$B$5:$B$8,MATCH(D703,VALOR!$A$5:$A$8,0)))</f>
        <v/>
      </c>
      <c r="H703" s="15">
        <f>IF(OR(G703="",F703=""),0,F703*G703)</f>
        <v/>
      </c>
      <c r="I703" s="20" t="n"/>
      <c r="J703" s="20" t="n"/>
      <c r="K703" s="24">
        <f>IF(OR(O703=0,J703=""),0,INDEX(MAPA!$C$5:$C$14,MATCH(J703,MAPA!$A$5:$A$14,0)))</f>
        <v/>
      </c>
      <c r="L703" s="25">
        <f>H703+K703</f>
        <v/>
      </c>
      <c r="M703" s="20" t="n"/>
      <c r="N703" s="20" t="n"/>
      <c r="O703" s="14">
        <f>IF(A703="",0,IF(COUNTIF($A$5:A703,A703)=1,1,0))</f>
        <v/>
      </c>
    </row>
    <row r="704">
      <c r="A704" s="20" t="n"/>
      <c r="B704" s="21" t="n"/>
      <c r="C704" s="20" t="n"/>
      <c r="D704" s="22">
        <f>IF(C704="","",INDEX(MERCADORIA!$B$5:$B$22,MATCH(C704,MERCADORIA!$A$5:$A$22,0)))</f>
        <v/>
      </c>
      <c r="E704" s="22">
        <f>IF(C704="","",INDEX(MERCADORIA!$C$5:$C$22,MATCH(C704,MERCADORIA!$A$5:$A$22,0)))</f>
        <v/>
      </c>
      <c r="F704" s="23" t="n"/>
      <c r="G704" s="24">
        <f>IF(D704="","",INDEX(VALOR!$B$5:$B$8,MATCH(D704,VALOR!$A$5:$A$8,0)))</f>
        <v/>
      </c>
      <c r="H704" s="15">
        <f>IF(OR(G704="",F704=""),0,F704*G704)</f>
        <v/>
      </c>
      <c r="I704" s="20" t="n"/>
      <c r="J704" s="20" t="n"/>
      <c r="K704" s="24">
        <f>IF(OR(O704=0,J704=""),0,INDEX(MAPA!$C$5:$C$14,MATCH(J704,MAPA!$A$5:$A$14,0)))</f>
        <v/>
      </c>
      <c r="L704" s="25">
        <f>H704+K704</f>
        <v/>
      </c>
      <c r="M704" s="20" t="n"/>
      <c r="N704" s="20" t="n"/>
      <c r="O704" s="14">
        <f>IF(A704="",0,IF(COUNTIF($A$5:A704,A704)=1,1,0))</f>
        <v/>
      </c>
    </row>
    <row r="705">
      <c r="A705" s="20" t="n"/>
      <c r="B705" s="21" t="n"/>
      <c r="C705" s="20" t="n"/>
      <c r="D705" s="22">
        <f>IF(C705="","",INDEX(MERCADORIA!$B$5:$B$22,MATCH(C705,MERCADORIA!$A$5:$A$22,0)))</f>
        <v/>
      </c>
      <c r="E705" s="22">
        <f>IF(C705="","",INDEX(MERCADORIA!$C$5:$C$22,MATCH(C705,MERCADORIA!$A$5:$A$22,0)))</f>
        <v/>
      </c>
      <c r="F705" s="23" t="n"/>
      <c r="G705" s="24">
        <f>IF(D705="","",INDEX(VALOR!$B$5:$B$8,MATCH(D705,VALOR!$A$5:$A$8,0)))</f>
        <v/>
      </c>
      <c r="H705" s="15">
        <f>IF(OR(G705="",F705=""),0,F705*G705)</f>
        <v/>
      </c>
      <c r="I705" s="20" t="n"/>
      <c r="J705" s="20" t="n"/>
      <c r="K705" s="24">
        <f>IF(OR(O705=0,J705=""),0,INDEX(MAPA!$C$5:$C$14,MATCH(J705,MAPA!$A$5:$A$14,0)))</f>
        <v/>
      </c>
      <c r="L705" s="25">
        <f>H705+K705</f>
        <v/>
      </c>
      <c r="M705" s="20" t="n"/>
      <c r="N705" s="20" t="n"/>
      <c r="O705" s="14">
        <f>IF(A705="",0,IF(COUNTIF($A$5:A705,A705)=1,1,0))</f>
        <v/>
      </c>
    </row>
    <row r="706">
      <c r="A706" s="20" t="n"/>
      <c r="B706" s="21" t="n"/>
      <c r="C706" s="20" t="n"/>
      <c r="D706" s="22">
        <f>IF(C706="","",INDEX(MERCADORIA!$B$5:$B$22,MATCH(C706,MERCADORIA!$A$5:$A$22,0)))</f>
        <v/>
      </c>
      <c r="E706" s="22">
        <f>IF(C706="","",INDEX(MERCADORIA!$C$5:$C$22,MATCH(C706,MERCADORIA!$A$5:$A$22,0)))</f>
        <v/>
      </c>
      <c r="F706" s="23" t="n"/>
      <c r="G706" s="24">
        <f>IF(D706="","",INDEX(VALOR!$B$5:$B$8,MATCH(D706,VALOR!$A$5:$A$8,0)))</f>
        <v/>
      </c>
      <c r="H706" s="15">
        <f>IF(OR(G706="",F706=""),0,F706*G706)</f>
        <v/>
      </c>
      <c r="I706" s="20" t="n"/>
      <c r="J706" s="20" t="n"/>
      <c r="K706" s="24">
        <f>IF(OR(O706=0,J706=""),0,INDEX(MAPA!$C$5:$C$14,MATCH(J706,MAPA!$A$5:$A$14,0)))</f>
        <v/>
      </c>
      <c r="L706" s="25">
        <f>H706+K706</f>
        <v/>
      </c>
      <c r="M706" s="20" t="n"/>
      <c r="N706" s="20" t="n"/>
      <c r="O706" s="14">
        <f>IF(A706="",0,IF(COUNTIF($A$5:A706,A706)=1,1,0))</f>
        <v/>
      </c>
    </row>
    <row r="707">
      <c r="A707" s="20" t="n"/>
      <c r="B707" s="21" t="n"/>
      <c r="C707" s="20" t="n"/>
      <c r="D707" s="22">
        <f>IF(C707="","",INDEX(MERCADORIA!$B$5:$B$22,MATCH(C707,MERCADORIA!$A$5:$A$22,0)))</f>
        <v/>
      </c>
      <c r="E707" s="22">
        <f>IF(C707="","",INDEX(MERCADORIA!$C$5:$C$22,MATCH(C707,MERCADORIA!$A$5:$A$22,0)))</f>
        <v/>
      </c>
      <c r="F707" s="23" t="n"/>
      <c r="G707" s="24">
        <f>IF(D707="","",INDEX(VALOR!$B$5:$B$8,MATCH(D707,VALOR!$A$5:$A$8,0)))</f>
        <v/>
      </c>
      <c r="H707" s="15">
        <f>IF(OR(G707="",F707=""),0,F707*G707)</f>
        <v/>
      </c>
      <c r="I707" s="20" t="n"/>
      <c r="J707" s="20" t="n"/>
      <c r="K707" s="24">
        <f>IF(OR(O707=0,J707=""),0,INDEX(MAPA!$C$5:$C$14,MATCH(J707,MAPA!$A$5:$A$14,0)))</f>
        <v/>
      </c>
      <c r="L707" s="25">
        <f>H707+K707</f>
        <v/>
      </c>
      <c r="M707" s="20" t="n"/>
      <c r="N707" s="20" t="n"/>
      <c r="O707" s="14">
        <f>IF(A707="",0,IF(COUNTIF($A$5:A707,A707)=1,1,0))</f>
        <v/>
      </c>
    </row>
    <row r="708">
      <c r="A708" s="20" t="n"/>
      <c r="B708" s="21" t="n"/>
      <c r="C708" s="20" t="n"/>
      <c r="D708" s="22">
        <f>IF(C708="","",INDEX(MERCADORIA!$B$5:$B$22,MATCH(C708,MERCADORIA!$A$5:$A$22,0)))</f>
        <v/>
      </c>
      <c r="E708" s="22">
        <f>IF(C708="","",INDEX(MERCADORIA!$C$5:$C$22,MATCH(C708,MERCADORIA!$A$5:$A$22,0)))</f>
        <v/>
      </c>
      <c r="F708" s="23" t="n"/>
      <c r="G708" s="24">
        <f>IF(D708="","",INDEX(VALOR!$B$5:$B$8,MATCH(D708,VALOR!$A$5:$A$8,0)))</f>
        <v/>
      </c>
      <c r="H708" s="15">
        <f>IF(OR(G708="",F708=""),0,F708*G708)</f>
        <v/>
      </c>
      <c r="I708" s="20" t="n"/>
      <c r="J708" s="20" t="n"/>
      <c r="K708" s="24">
        <f>IF(OR(O708=0,J708=""),0,INDEX(MAPA!$C$5:$C$14,MATCH(J708,MAPA!$A$5:$A$14,0)))</f>
        <v/>
      </c>
      <c r="L708" s="25">
        <f>H708+K708</f>
        <v/>
      </c>
      <c r="M708" s="20" t="n"/>
      <c r="N708" s="20" t="n"/>
      <c r="O708" s="14">
        <f>IF(A708="",0,IF(COUNTIF($A$5:A708,A708)=1,1,0))</f>
        <v/>
      </c>
    </row>
    <row r="709">
      <c r="A709" s="20" t="n"/>
      <c r="B709" s="21" t="n"/>
      <c r="C709" s="20" t="n"/>
      <c r="D709" s="22">
        <f>IF(C709="","",INDEX(MERCADORIA!$B$5:$B$22,MATCH(C709,MERCADORIA!$A$5:$A$22,0)))</f>
        <v/>
      </c>
      <c r="E709" s="22">
        <f>IF(C709="","",INDEX(MERCADORIA!$C$5:$C$22,MATCH(C709,MERCADORIA!$A$5:$A$22,0)))</f>
        <v/>
      </c>
      <c r="F709" s="23" t="n"/>
      <c r="G709" s="24">
        <f>IF(D709="","",INDEX(VALOR!$B$5:$B$8,MATCH(D709,VALOR!$A$5:$A$8,0)))</f>
        <v/>
      </c>
      <c r="H709" s="15">
        <f>IF(OR(G709="",F709=""),0,F709*G709)</f>
        <v/>
      </c>
      <c r="I709" s="20" t="n"/>
      <c r="J709" s="20" t="n"/>
      <c r="K709" s="24">
        <f>IF(OR(O709=0,J709=""),0,INDEX(MAPA!$C$5:$C$14,MATCH(J709,MAPA!$A$5:$A$14,0)))</f>
        <v/>
      </c>
      <c r="L709" s="25">
        <f>H709+K709</f>
        <v/>
      </c>
      <c r="M709" s="20" t="n"/>
      <c r="N709" s="20" t="n"/>
      <c r="O709" s="14">
        <f>IF(A709="",0,IF(COUNTIF($A$5:A709,A709)=1,1,0))</f>
        <v/>
      </c>
    </row>
    <row r="710">
      <c r="A710" s="20" t="n"/>
      <c r="B710" s="21" t="n"/>
      <c r="C710" s="20" t="n"/>
      <c r="D710" s="22">
        <f>IF(C710="","",INDEX(MERCADORIA!$B$5:$B$22,MATCH(C710,MERCADORIA!$A$5:$A$22,0)))</f>
        <v/>
      </c>
      <c r="E710" s="22">
        <f>IF(C710="","",INDEX(MERCADORIA!$C$5:$C$22,MATCH(C710,MERCADORIA!$A$5:$A$22,0)))</f>
        <v/>
      </c>
      <c r="F710" s="23" t="n"/>
      <c r="G710" s="24">
        <f>IF(D710="","",INDEX(VALOR!$B$5:$B$8,MATCH(D710,VALOR!$A$5:$A$8,0)))</f>
        <v/>
      </c>
      <c r="H710" s="15">
        <f>IF(OR(G710="",F710=""),0,F710*G710)</f>
        <v/>
      </c>
      <c r="I710" s="20" t="n"/>
      <c r="J710" s="20" t="n"/>
      <c r="K710" s="24">
        <f>IF(OR(O710=0,J710=""),0,INDEX(MAPA!$C$5:$C$14,MATCH(J710,MAPA!$A$5:$A$14,0)))</f>
        <v/>
      </c>
      <c r="L710" s="25">
        <f>H710+K710</f>
        <v/>
      </c>
      <c r="M710" s="20" t="n"/>
      <c r="N710" s="20" t="n"/>
      <c r="O710" s="14">
        <f>IF(A710="",0,IF(COUNTIF($A$5:A710,A710)=1,1,0))</f>
        <v/>
      </c>
    </row>
    <row r="711">
      <c r="A711" s="20" t="n"/>
      <c r="B711" s="21" t="n"/>
      <c r="C711" s="20" t="n"/>
      <c r="D711" s="22">
        <f>IF(C711="","",INDEX(MERCADORIA!$B$5:$B$22,MATCH(C711,MERCADORIA!$A$5:$A$22,0)))</f>
        <v/>
      </c>
      <c r="E711" s="22">
        <f>IF(C711="","",INDEX(MERCADORIA!$C$5:$C$22,MATCH(C711,MERCADORIA!$A$5:$A$22,0)))</f>
        <v/>
      </c>
      <c r="F711" s="23" t="n"/>
      <c r="G711" s="24">
        <f>IF(D711="","",INDEX(VALOR!$B$5:$B$8,MATCH(D711,VALOR!$A$5:$A$8,0)))</f>
        <v/>
      </c>
      <c r="H711" s="15">
        <f>IF(OR(G711="",F711=""),0,F711*G711)</f>
        <v/>
      </c>
      <c r="I711" s="20" t="n"/>
      <c r="J711" s="20" t="n"/>
      <c r="K711" s="24">
        <f>IF(OR(O711=0,J711=""),0,INDEX(MAPA!$C$5:$C$14,MATCH(J711,MAPA!$A$5:$A$14,0)))</f>
        <v/>
      </c>
      <c r="L711" s="25">
        <f>H711+K711</f>
        <v/>
      </c>
      <c r="M711" s="20" t="n"/>
      <c r="N711" s="20" t="n"/>
      <c r="O711" s="14">
        <f>IF(A711="",0,IF(COUNTIF($A$5:A711,A711)=1,1,0))</f>
        <v/>
      </c>
    </row>
    <row r="712">
      <c r="A712" s="20" t="n"/>
      <c r="B712" s="21" t="n"/>
      <c r="C712" s="20" t="n"/>
      <c r="D712" s="22">
        <f>IF(C712="","",INDEX(MERCADORIA!$B$5:$B$22,MATCH(C712,MERCADORIA!$A$5:$A$22,0)))</f>
        <v/>
      </c>
      <c r="E712" s="22">
        <f>IF(C712="","",INDEX(MERCADORIA!$C$5:$C$22,MATCH(C712,MERCADORIA!$A$5:$A$22,0)))</f>
        <v/>
      </c>
      <c r="F712" s="23" t="n"/>
      <c r="G712" s="24">
        <f>IF(D712="","",INDEX(VALOR!$B$5:$B$8,MATCH(D712,VALOR!$A$5:$A$8,0)))</f>
        <v/>
      </c>
      <c r="H712" s="15">
        <f>IF(OR(G712="",F712=""),0,F712*G712)</f>
        <v/>
      </c>
      <c r="I712" s="20" t="n"/>
      <c r="J712" s="20" t="n"/>
      <c r="K712" s="24">
        <f>IF(OR(O712=0,J712=""),0,INDEX(MAPA!$C$5:$C$14,MATCH(J712,MAPA!$A$5:$A$14,0)))</f>
        <v/>
      </c>
      <c r="L712" s="25">
        <f>H712+K712</f>
        <v/>
      </c>
      <c r="M712" s="20" t="n"/>
      <c r="N712" s="20" t="n"/>
      <c r="O712" s="14">
        <f>IF(A712="",0,IF(COUNTIF($A$5:A712,A712)=1,1,0))</f>
        <v/>
      </c>
    </row>
    <row r="713">
      <c r="A713" s="20" t="n"/>
      <c r="B713" s="21" t="n"/>
      <c r="C713" s="20" t="n"/>
      <c r="D713" s="22">
        <f>IF(C713="","",INDEX(MERCADORIA!$B$5:$B$22,MATCH(C713,MERCADORIA!$A$5:$A$22,0)))</f>
        <v/>
      </c>
      <c r="E713" s="22">
        <f>IF(C713="","",INDEX(MERCADORIA!$C$5:$C$22,MATCH(C713,MERCADORIA!$A$5:$A$22,0)))</f>
        <v/>
      </c>
      <c r="F713" s="23" t="n"/>
      <c r="G713" s="24">
        <f>IF(D713="","",INDEX(VALOR!$B$5:$B$8,MATCH(D713,VALOR!$A$5:$A$8,0)))</f>
        <v/>
      </c>
      <c r="H713" s="15">
        <f>IF(OR(G713="",F713=""),0,F713*G713)</f>
        <v/>
      </c>
      <c r="I713" s="20" t="n"/>
      <c r="J713" s="20" t="n"/>
      <c r="K713" s="24">
        <f>IF(OR(O713=0,J713=""),0,INDEX(MAPA!$C$5:$C$14,MATCH(J713,MAPA!$A$5:$A$14,0)))</f>
        <v/>
      </c>
      <c r="L713" s="25">
        <f>H713+K713</f>
        <v/>
      </c>
      <c r="M713" s="20" t="n"/>
      <c r="N713" s="20" t="n"/>
      <c r="O713" s="14">
        <f>IF(A713="",0,IF(COUNTIF($A$5:A713,A713)=1,1,0))</f>
        <v/>
      </c>
    </row>
    <row r="714">
      <c r="A714" s="20" t="n"/>
      <c r="B714" s="21" t="n"/>
      <c r="C714" s="20" t="n"/>
      <c r="D714" s="22">
        <f>IF(C714="","",INDEX(MERCADORIA!$B$5:$B$22,MATCH(C714,MERCADORIA!$A$5:$A$22,0)))</f>
        <v/>
      </c>
      <c r="E714" s="22">
        <f>IF(C714="","",INDEX(MERCADORIA!$C$5:$C$22,MATCH(C714,MERCADORIA!$A$5:$A$22,0)))</f>
        <v/>
      </c>
      <c r="F714" s="23" t="n"/>
      <c r="G714" s="24">
        <f>IF(D714="","",INDEX(VALOR!$B$5:$B$8,MATCH(D714,VALOR!$A$5:$A$8,0)))</f>
        <v/>
      </c>
      <c r="H714" s="15">
        <f>IF(OR(G714="",F714=""),0,F714*G714)</f>
        <v/>
      </c>
      <c r="I714" s="20" t="n"/>
      <c r="J714" s="20" t="n"/>
      <c r="K714" s="24">
        <f>IF(OR(O714=0,J714=""),0,INDEX(MAPA!$C$5:$C$14,MATCH(J714,MAPA!$A$5:$A$14,0)))</f>
        <v/>
      </c>
      <c r="L714" s="25">
        <f>H714+K714</f>
        <v/>
      </c>
      <c r="M714" s="20" t="n"/>
      <c r="N714" s="20" t="n"/>
      <c r="O714" s="14">
        <f>IF(A714="",0,IF(COUNTIF($A$5:A714,A714)=1,1,0))</f>
        <v/>
      </c>
    </row>
    <row r="715">
      <c r="A715" s="20" t="n"/>
      <c r="B715" s="21" t="n"/>
      <c r="C715" s="20" t="n"/>
      <c r="D715" s="22">
        <f>IF(C715="","",INDEX(MERCADORIA!$B$5:$B$22,MATCH(C715,MERCADORIA!$A$5:$A$22,0)))</f>
        <v/>
      </c>
      <c r="E715" s="22">
        <f>IF(C715="","",INDEX(MERCADORIA!$C$5:$C$22,MATCH(C715,MERCADORIA!$A$5:$A$22,0)))</f>
        <v/>
      </c>
      <c r="F715" s="23" t="n"/>
      <c r="G715" s="24">
        <f>IF(D715="","",INDEX(VALOR!$B$5:$B$8,MATCH(D715,VALOR!$A$5:$A$8,0)))</f>
        <v/>
      </c>
      <c r="H715" s="15">
        <f>IF(OR(G715="",F715=""),0,F715*G715)</f>
        <v/>
      </c>
      <c r="I715" s="20" t="n"/>
      <c r="J715" s="20" t="n"/>
      <c r="K715" s="24">
        <f>IF(OR(O715=0,J715=""),0,INDEX(MAPA!$C$5:$C$14,MATCH(J715,MAPA!$A$5:$A$14,0)))</f>
        <v/>
      </c>
      <c r="L715" s="25">
        <f>H715+K715</f>
        <v/>
      </c>
      <c r="M715" s="20" t="n"/>
      <c r="N715" s="20" t="n"/>
      <c r="O715" s="14">
        <f>IF(A715="",0,IF(COUNTIF($A$5:A715,A715)=1,1,0))</f>
        <v/>
      </c>
    </row>
    <row r="716">
      <c r="A716" s="20" t="n"/>
      <c r="B716" s="21" t="n"/>
      <c r="C716" s="20" t="n"/>
      <c r="D716" s="22">
        <f>IF(C716="","",INDEX(MERCADORIA!$B$5:$B$22,MATCH(C716,MERCADORIA!$A$5:$A$22,0)))</f>
        <v/>
      </c>
      <c r="E716" s="22">
        <f>IF(C716="","",INDEX(MERCADORIA!$C$5:$C$22,MATCH(C716,MERCADORIA!$A$5:$A$22,0)))</f>
        <v/>
      </c>
      <c r="F716" s="23" t="n"/>
      <c r="G716" s="24">
        <f>IF(D716="","",INDEX(VALOR!$B$5:$B$8,MATCH(D716,VALOR!$A$5:$A$8,0)))</f>
        <v/>
      </c>
      <c r="H716" s="15">
        <f>IF(OR(G716="",F716=""),0,F716*G716)</f>
        <v/>
      </c>
      <c r="I716" s="20" t="n"/>
      <c r="J716" s="20" t="n"/>
      <c r="K716" s="24">
        <f>IF(OR(O716=0,J716=""),0,INDEX(MAPA!$C$5:$C$14,MATCH(J716,MAPA!$A$5:$A$14,0)))</f>
        <v/>
      </c>
      <c r="L716" s="25">
        <f>H716+K716</f>
        <v/>
      </c>
      <c r="M716" s="20" t="n"/>
      <c r="N716" s="20" t="n"/>
      <c r="O716" s="14">
        <f>IF(A716="",0,IF(COUNTIF($A$5:A716,A716)=1,1,0))</f>
        <v/>
      </c>
    </row>
    <row r="717">
      <c r="A717" s="20" t="n"/>
      <c r="B717" s="21" t="n"/>
      <c r="C717" s="20" t="n"/>
      <c r="D717" s="22">
        <f>IF(C717="","",INDEX(MERCADORIA!$B$5:$B$22,MATCH(C717,MERCADORIA!$A$5:$A$22,0)))</f>
        <v/>
      </c>
      <c r="E717" s="22">
        <f>IF(C717="","",INDEX(MERCADORIA!$C$5:$C$22,MATCH(C717,MERCADORIA!$A$5:$A$22,0)))</f>
        <v/>
      </c>
      <c r="F717" s="23" t="n"/>
      <c r="G717" s="24">
        <f>IF(D717="","",INDEX(VALOR!$B$5:$B$8,MATCH(D717,VALOR!$A$5:$A$8,0)))</f>
        <v/>
      </c>
      <c r="H717" s="15">
        <f>IF(OR(G717="",F717=""),0,F717*G717)</f>
        <v/>
      </c>
      <c r="I717" s="20" t="n"/>
      <c r="J717" s="20" t="n"/>
      <c r="K717" s="24">
        <f>IF(OR(O717=0,J717=""),0,INDEX(MAPA!$C$5:$C$14,MATCH(J717,MAPA!$A$5:$A$14,0)))</f>
        <v/>
      </c>
      <c r="L717" s="25">
        <f>H717+K717</f>
        <v/>
      </c>
      <c r="M717" s="20" t="n"/>
      <c r="N717" s="20" t="n"/>
      <c r="O717" s="14">
        <f>IF(A717="",0,IF(COUNTIF($A$5:A717,A717)=1,1,0))</f>
        <v/>
      </c>
    </row>
    <row r="718">
      <c r="A718" s="20" t="n"/>
      <c r="B718" s="21" t="n"/>
      <c r="C718" s="20" t="n"/>
      <c r="D718" s="22">
        <f>IF(C718="","",INDEX(MERCADORIA!$B$5:$B$22,MATCH(C718,MERCADORIA!$A$5:$A$22,0)))</f>
        <v/>
      </c>
      <c r="E718" s="22">
        <f>IF(C718="","",INDEX(MERCADORIA!$C$5:$C$22,MATCH(C718,MERCADORIA!$A$5:$A$22,0)))</f>
        <v/>
      </c>
      <c r="F718" s="23" t="n"/>
      <c r="G718" s="24">
        <f>IF(D718="","",INDEX(VALOR!$B$5:$B$8,MATCH(D718,VALOR!$A$5:$A$8,0)))</f>
        <v/>
      </c>
      <c r="H718" s="15">
        <f>IF(OR(G718="",F718=""),0,F718*G718)</f>
        <v/>
      </c>
      <c r="I718" s="20" t="n"/>
      <c r="J718" s="20" t="n"/>
      <c r="K718" s="24">
        <f>IF(OR(O718=0,J718=""),0,INDEX(MAPA!$C$5:$C$14,MATCH(J718,MAPA!$A$5:$A$14,0)))</f>
        <v/>
      </c>
      <c r="L718" s="25">
        <f>H718+K718</f>
        <v/>
      </c>
      <c r="M718" s="20" t="n"/>
      <c r="N718" s="20" t="n"/>
      <c r="O718" s="14">
        <f>IF(A718="",0,IF(COUNTIF($A$5:A718,A718)=1,1,0))</f>
        <v/>
      </c>
    </row>
    <row r="719">
      <c r="A719" s="20" t="n"/>
      <c r="B719" s="21" t="n"/>
      <c r="C719" s="20" t="n"/>
      <c r="D719" s="22">
        <f>IF(C719="","",INDEX(MERCADORIA!$B$5:$B$22,MATCH(C719,MERCADORIA!$A$5:$A$22,0)))</f>
        <v/>
      </c>
      <c r="E719" s="22">
        <f>IF(C719="","",INDEX(MERCADORIA!$C$5:$C$22,MATCH(C719,MERCADORIA!$A$5:$A$22,0)))</f>
        <v/>
      </c>
      <c r="F719" s="23" t="n"/>
      <c r="G719" s="24">
        <f>IF(D719="","",INDEX(VALOR!$B$5:$B$8,MATCH(D719,VALOR!$A$5:$A$8,0)))</f>
        <v/>
      </c>
      <c r="H719" s="15">
        <f>IF(OR(G719="",F719=""),0,F719*G719)</f>
        <v/>
      </c>
      <c r="I719" s="20" t="n"/>
      <c r="J719" s="20" t="n"/>
      <c r="K719" s="24">
        <f>IF(OR(O719=0,J719=""),0,INDEX(MAPA!$C$5:$C$14,MATCH(J719,MAPA!$A$5:$A$14,0)))</f>
        <v/>
      </c>
      <c r="L719" s="25">
        <f>H719+K719</f>
        <v/>
      </c>
      <c r="M719" s="20" t="n"/>
      <c r="N719" s="20" t="n"/>
      <c r="O719" s="14">
        <f>IF(A719="",0,IF(COUNTIF($A$5:A719,A719)=1,1,0))</f>
        <v/>
      </c>
    </row>
    <row r="720">
      <c r="A720" s="20" t="n"/>
      <c r="B720" s="21" t="n"/>
      <c r="C720" s="20" t="n"/>
      <c r="D720" s="22">
        <f>IF(C720="","",INDEX(MERCADORIA!$B$5:$B$22,MATCH(C720,MERCADORIA!$A$5:$A$22,0)))</f>
        <v/>
      </c>
      <c r="E720" s="22">
        <f>IF(C720="","",INDEX(MERCADORIA!$C$5:$C$22,MATCH(C720,MERCADORIA!$A$5:$A$22,0)))</f>
        <v/>
      </c>
      <c r="F720" s="23" t="n"/>
      <c r="G720" s="24">
        <f>IF(D720="","",INDEX(VALOR!$B$5:$B$8,MATCH(D720,VALOR!$A$5:$A$8,0)))</f>
        <v/>
      </c>
      <c r="H720" s="15">
        <f>IF(OR(G720="",F720=""),0,F720*G720)</f>
        <v/>
      </c>
      <c r="I720" s="20" t="n"/>
      <c r="J720" s="20" t="n"/>
      <c r="K720" s="24">
        <f>IF(OR(O720=0,J720=""),0,INDEX(MAPA!$C$5:$C$14,MATCH(J720,MAPA!$A$5:$A$14,0)))</f>
        <v/>
      </c>
      <c r="L720" s="25">
        <f>H720+K720</f>
        <v/>
      </c>
      <c r="M720" s="20" t="n"/>
      <c r="N720" s="20" t="n"/>
      <c r="O720" s="14">
        <f>IF(A720="",0,IF(COUNTIF($A$5:A720,A720)=1,1,0))</f>
        <v/>
      </c>
    </row>
    <row r="721">
      <c r="A721" s="20" t="n"/>
      <c r="B721" s="21" t="n"/>
      <c r="C721" s="20" t="n"/>
      <c r="D721" s="22">
        <f>IF(C721="","",INDEX(MERCADORIA!$B$5:$B$22,MATCH(C721,MERCADORIA!$A$5:$A$22,0)))</f>
        <v/>
      </c>
      <c r="E721" s="22">
        <f>IF(C721="","",INDEX(MERCADORIA!$C$5:$C$22,MATCH(C721,MERCADORIA!$A$5:$A$22,0)))</f>
        <v/>
      </c>
      <c r="F721" s="23" t="n"/>
      <c r="G721" s="24">
        <f>IF(D721="","",INDEX(VALOR!$B$5:$B$8,MATCH(D721,VALOR!$A$5:$A$8,0)))</f>
        <v/>
      </c>
      <c r="H721" s="15">
        <f>IF(OR(G721="",F721=""),0,F721*G721)</f>
        <v/>
      </c>
      <c r="I721" s="20" t="n"/>
      <c r="J721" s="20" t="n"/>
      <c r="K721" s="24">
        <f>IF(OR(O721=0,J721=""),0,INDEX(MAPA!$C$5:$C$14,MATCH(J721,MAPA!$A$5:$A$14,0)))</f>
        <v/>
      </c>
      <c r="L721" s="25">
        <f>H721+K721</f>
        <v/>
      </c>
      <c r="M721" s="20" t="n"/>
      <c r="N721" s="20" t="n"/>
      <c r="O721" s="14">
        <f>IF(A721="",0,IF(COUNTIF($A$5:A721,A721)=1,1,0))</f>
        <v/>
      </c>
    </row>
    <row r="722">
      <c r="A722" s="20" t="n"/>
      <c r="B722" s="21" t="n"/>
      <c r="C722" s="20" t="n"/>
      <c r="D722" s="22">
        <f>IF(C722="","",INDEX(MERCADORIA!$B$5:$B$22,MATCH(C722,MERCADORIA!$A$5:$A$22,0)))</f>
        <v/>
      </c>
      <c r="E722" s="22">
        <f>IF(C722="","",INDEX(MERCADORIA!$C$5:$C$22,MATCH(C722,MERCADORIA!$A$5:$A$22,0)))</f>
        <v/>
      </c>
      <c r="F722" s="23" t="n"/>
      <c r="G722" s="24">
        <f>IF(D722="","",INDEX(VALOR!$B$5:$B$8,MATCH(D722,VALOR!$A$5:$A$8,0)))</f>
        <v/>
      </c>
      <c r="H722" s="15">
        <f>IF(OR(G722="",F722=""),0,F722*G722)</f>
        <v/>
      </c>
      <c r="I722" s="20" t="n"/>
      <c r="J722" s="20" t="n"/>
      <c r="K722" s="24">
        <f>IF(OR(O722=0,J722=""),0,INDEX(MAPA!$C$5:$C$14,MATCH(J722,MAPA!$A$5:$A$14,0)))</f>
        <v/>
      </c>
      <c r="L722" s="25">
        <f>H722+K722</f>
        <v/>
      </c>
      <c r="M722" s="20" t="n"/>
      <c r="N722" s="20" t="n"/>
      <c r="O722" s="14">
        <f>IF(A722="",0,IF(COUNTIF($A$5:A722,A722)=1,1,0))</f>
        <v/>
      </c>
    </row>
    <row r="723">
      <c r="A723" s="20" t="n"/>
      <c r="B723" s="21" t="n"/>
      <c r="C723" s="20" t="n"/>
      <c r="D723" s="22">
        <f>IF(C723="","",INDEX(MERCADORIA!$B$5:$B$22,MATCH(C723,MERCADORIA!$A$5:$A$22,0)))</f>
        <v/>
      </c>
      <c r="E723" s="22">
        <f>IF(C723="","",INDEX(MERCADORIA!$C$5:$C$22,MATCH(C723,MERCADORIA!$A$5:$A$22,0)))</f>
        <v/>
      </c>
      <c r="F723" s="23" t="n"/>
      <c r="G723" s="24">
        <f>IF(D723="","",INDEX(VALOR!$B$5:$B$8,MATCH(D723,VALOR!$A$5:$A$8,0)))</f>
        <v/>
      </c>
      <c r="H723" s="15">
        <f>IF(OR(G723="",F723=""),0,F723*G723)</f>
        <v/>
      </c>
      <c r="I723" s="20" t="n"/>
      <c r="J723" s="20" t="n"/>
      <c r="K723" s="24">
        <f>IF(OR(O723=0,J723=""),0,INDEX(MAPA!$C$5:$C$14,MATCH(J723,MAPA!$A$5:$A$14,0)))</f>
        <v/>
      </c>
      <c r="L723" s="25">
        <f>H723+K723</f>
        <v/>
      </c>
      <c r="M723" s="20" t="n"/>
      <c r="N723" s="20" t="n"/>
      <c r="O723" s="14">
        <f>IF(A723="",0,IF(COUNTIF($A$5:A723,A723)=1,1,0))</f>
        <v/>
      </c>
    </row>
    <row r="724">
      <c r="A724" s="20" t="n"/>
      <c r="B724" s="21" t="n"/>
      <c r="C724" s="20" t="n"/>
      <c r="D724" s="22">
        <f>IF(C724="","",INDEX(MERCADORIA!$B$5:$B$22,MATCH(C724,MERCADORIA!$A$5:$A$22,0)))</f>
        <v/>
      </c>
      <c r="E724" s="22">
        <f>IF(C724="","",INDEX(MERCADORIA!$C$5:$C$22,MATCH(C724,MERCADORIA!$A$5:$A$22,0)))</f>
        <v/>
      </c>
      <c r="F724" s="23" t="n"/>
      <c r="G724" s="24">
        <f>IF(D724="","",INDEX(VALOR!$B$5:$B$8,MATCH(D724,VALOR!$A$5:$A$8,0)))</f>
        <v/>
      </c>
      <c r="H724" s="15">
        <f>IF(OR(G724="",F724=""),0,F724*G724)</f>
        <v/>
      </c>
      <c r="I724" s="20" t="n"/>
      <c r="J724" s="20" t="n"/>
      <c r="K724" s="24">
        <f>IF(OR(O724=0,J724=""),0,INDEX(MAPA!$C$5:$C$14,MATCH(J724,MAPA!$A$5:$A$14,0)))</f>
        <v/>
      </c>
      <c r="L724" s="25">
        <f>H724+K724</f>
        <v/>
      </c>
      <c r="M724" s="20" t="n"/>
      <c r="N724" s="20" t="n"/>
      <c r="O724" s="14">
        <f>IF(A724="",0,IF(COUNTIF($A$5:A724,A724)=1,1,0))</f>
        <v/>
      </c>
    </row>
    <row r="725">
      <c r="A725" s="20" t="n"/>
      <c r="B725" s="21" t="n"/>
      <c r="C725" s="20" t="n"/>
      <c r="D725" s="22">
        <f>IF(C725="","",INDEX(MERCADORIA!$B$5:$B$22,MATCH(C725,MERCADORIA!$A$5:$A$22,0)))</f>
        <v/>
      </c>
      <c r="E725" s="22">
        <f>IF(C725="","",INDEX(MERCADORIA!$C$5:$C$22,MATCH(C725,MERCADORIA!$A$5:$A$22,0)))</f>
        <v/>
      </c>
      <c r="F725" s="23" t="n"/>
      <c r="G725" s="24">
        <f>IF(D725="","",INDEX(VALOR!$B$5:$B$8,MATCH(D725,VALOR!$A$5:$A$8,0)))</f>
        <v/>
      </c>
      <c r="H725" s="15">
        <f>IF(OR(G725="",F725=""),0,F725*G725)</f>
        <v/>
      </c>
      <c r="I725" s="20" t="n"/>
      <c r="J725" s="20" t="n"/>
      <c r="K725" s="24">
        <f>IF(OR(O725=0,J725=""),0,INDEX(MAPA!$C$5:$C$14,MATCH(J725,MAPA!$A$5:$A$14,0)))</f>
        <v/>
      </c>
      <c r="L725" s="25">
        <f>H725+K725</f>
        <v/>
      </c>
      <c r="M725" s="20" t="n"/>
      <c r="N725" s="20" t="n"/>
      <c r="O725" s="14">
        <f>IF(A725="",0,IF(COUNTIF($A$5:A725,A725)=1,1,0))</f>
        <v/>
      </c>
    </row>
    <row r="726">
      <c r="A726" s="20" t="n"/>
      <c r="B726" s="21" t="n"/>
      <c r="C726" s="20" t="n"/>
      <c r="D726" s="22">
        <f>IF(C726="","",INDEX(MERCADORIA!$B$5:$B$22,MATCH(C726,MERCADORIA!$A$5:$A$22,0)))</f>
        <v/>
      </c>
      <c r="E726" s="22">
        <f>IF(C726="","",INDEX(MERCADORIA!$C$5:$C$22,MATCH(C726,MERCADORIA!$A$5:$A$22,0)))</f>
        <v/>
      </c>
      <c r="F726" s="23" t="n"/>
      <c r="G726" s="24">
        <f>IF(D726="","",INDEX(VALOR!$B$5:$B$8,MATCH(D726,VALOR!$A$5:$A$8,0)))</f>
        <v/>
      </c>
      <c r="H726" s="15">
        <f>IF(OR(G726="",F726=""),0,F726*G726)</f>
        <v/>
      </c>
      <c r="I726" s="20" t="n"/>
      <c r="J726" s="20" t="n"/>
      <c r="K726" s="24">
        <f>IF(OR(O726=0,J726=""),0,INDEX(MAPA!$C$5:$C$14,MATCH(J726,MAPA!$A$5:$A$14,0)))</f>
        <v/>
      </c>
      <c r="L726" s="25">
        <f>H726+K726</f>
        <v/>
      </c>
      <c r="M726" s="20" t="n"/>
      <c r="N726" s="20" t="n"/>
      <c r="O726" s="14">
        <f>IF(A726="",0,IF(COUNTIF($A$5:A726,A726)=1,1,0))</f>
        <v/>
      </c>
    </row>
    <row r="727">
      <c r="A727" s="20" t="n"/>
      <c r="B727" s="21" t="n"/>
      <c r="C727" s="20" t="n"/>
      <c r="D727" s="22">
        <f>IF(C727="","",INDEX(MERCADORIA!$B$5:$B$22,MATCH(C727,MERCADORIA!$A$5:$A$22,0)))</f>
        <v/>
      </c>
      <c r="E727" s="22">
        <f>IF(C727="","",INDEX(MERCADORIA!$C$5:$C$22,MATCH(C727,MERCADORIA!$A$5:$A$22,0)))</f>
        <v/>
      </c>
      <c r="F727" s="23" t="n"/>
      <c r="G727" s="24">
        <f>IF(D727="","",INDEX(VALOR!$B$5:$B$8,MATCH(D727,VALOR!$A$5:$A$8,0)))</f>
        <v/>
      </c>
      <c r="H727" s="15">
        <f>IF(OR(G727="",F727=""),0,F727*G727)</f>
        <v/>
      </c>
      <c r="I727" s="20" t="n"/>
      <c r="J727" s="20" t="n"/>
      <c r="K727" s="24">
        <f>IF(OR(O727=0,J727=""),0,INDEX(MAPA!$C$5:$C$14,MATCH(J727,MAPA!$A$5:$A$14,0)))</f>
        <v/>
      </c>
      <c r="L727" s="25">
        <f>H727+K727</f>
        <v/>
      </c>
      <c r="M727" s="20" t="n"/>
      <c r="N727" s="20" t="n"/>
      <c r="O727" s="14">
        <f>IF(A727="",0,IF(COUNTIF($A$5:A727,A727)=1,1,0))</f>
        <v/>
      </c>
    </row>
    <row r="728">
      <c r="A728" s="20" t="n"/>
      <c r="B728" s="21" t="n"/>
      <c r="C728" s="20" t="n"/>
      <c r="D728" s="22">
        <f>IF(C728="","",INDEX(MERCADORIA!$B$5:$B$22,MATCH(C728,MERCADORIA!$A$5:$A$22,0)))</f>
        <v/>
      </c>
      <c r="E728" s="22">
        <f>IF(C728="","",INDEX(MERCADORIA!$C$5:$C$22,MATCH(C728,MERCADORIA!$A$5:$A$22,0)))</f>
        <v/>
      </c>
      <c r="F728" s="23" t="n"/>
      <c r="G728" s="24">
        <f>IF(D728="","",INDEX(VALOR!$B$5:$B$8,MATCH(D728,VALOR!$A$5:$A$8,0)))</f>
        <v/>
      </c>
      <c r="H728" s="15">
        <f>IF(OR(G728="",F728=""),0,F728*G728)</f>
        <v/>
      </c>
      <c r="I728" s="20" t="n"/>
      <c r="J728" s="20" t="n"/>
      <c r="K728" s="24">
        <f>IF(OR(O728=0,J728=""),0,INDEX(MAPA!$C$5:$C$14,MATCH(J728,MAPA!$A$5:$A$14,0)))</f>
        <v/>
      </c>
      <c r="L728" s="25">
        <f>H728+K728</f>
        <v/>
      </c>
      <c r="M728" s="20" t="n"/>
      <c r="N728" s="20" t="n"/>
      <c r="O728" s="14">
        <f>IF(A728="",0,IF(COUNTIF($A$5:A728,A728)=1,1,0))</f>
        <v/>
      </c>
    </row>
    <row r="729">
      <c r="A729" s="20" t="n"/>
      <c r="B729" s="21" t="n"/>
      <c r="C729" s="20" t="n"/>
      <c r="D729" s="22">
        <f>IF(C729="","",INDEX(MERCADORIA!$B$5:$B$22,MATCH(C729,MERCADORIA!$A$5:$A$22,0)))</f>
        <v/>
      </c>
      <c r="E729" s="22">
        <f>IF(C729="","",INDEX(MERCADORIA!$C$5:$C$22,MATCH(C729,MERCADORIA!$A$5:$A$22,0)))</f>
        <v/>
      </c>
      <c r="F729" s="23" t="n"/>
      <c r="G729" s="24">
        <f>IF(D729="","",INDEX(VALOR!$B$5:$B$8,MATCH(D729,VALOR!$A$5:$A$8,0)))</f>
        <v/>
      </c>
      <c r="H729" s="15">
        <f>IF(OR(G729="",F729=""),0,F729*G729)</f>
        <v/>
      </c>
      <c r="I729" s="20" t="n"/>
      <c r="J729" s="20" t="n"/>
      <c r="K729" s="24">
        <f>IF(OR(O729=0,J729=""),0,INDEX(MAPA!$C$5:$C$14,MATCH(J729,MAPA!$A$5:$A$14,0)))</f>
        <v/>
      </c>
      <c r="L729" s="25">
        <f>H729+K729</f>
        <v/>
      </c>
      <c r="M729" s="20" t="n"/>
      <c r="N729" s="20" t="n"/>
      <c r="O729" s="14">
        <f>IF(A729="",0,IF(COUNTIF($A$5:A729,A729)=1,1,0))</f>
        <v/>
      </c>
    </row>
    <row r="730">
      <c r="A730" s="20" t="n"/>
      <c r="B730" s="21" t="n"/>
      <c r="C730" s="20" t="n"/>
      <c r="D730" s="22">
        <f>IF(C730="","",INDEX(MERCADORIA!$B$5:$B$22,MATCH(C730,MERCADORIA!$A$5:$A$22,0)))</f>
        <v/>
      </c>
      <c r="E730" s="22">
        <f>IF(C730="","",INDEX(MERCADORIA!$C$5:$C$22,MATCH(C730,MERCADORIA!$A$5:$A$22,0)))</f>
        <v/>
      </c>
      <c r="F730" s="23" t="n"/>
      <c r="G730" s="24">
        <f>IF(D730="","",INDEX(VALOR!$B$5:$B$8,MATCH(D730,VALOR!$A$5:$A$8,0)))</f>
        <v/>
      </c>
      <c r="H730" s="15">
        <f>IF(OR(G730="",F730=""),0,F730*G730)</f>
        <v/>
      </c>
      <c r="I730" s="20" t="n"/>
      <c r="J730" s="20" t="n"/>
      <c r="K730" s="24">
        <f>IF(OR(O730=0,J730=""),0,INDEX(MAPA!$C$5:$C$14,MATCH(J730,MAPA!$A$5:$A$14,0)))</f>
        <v/>
      </c>
      <c r="L730" s="25">
        <f>H730+K730</f>
        <v/>
      </c>
      <c r="M730" s="20" t="n"/>
      <c r="N730" s="20" t="n"/>
      <c r="O730" s="14">
        <f>IF(A730="",0,IF(COUNTIF($A$5:A730,A730)=1,1,0))</f>
        <v/>
      </c>
    </row>
    <row r="731">
      <c r="A731" s="20" t="n"/>
      <c r="B731" s="21" t="n"/>
      <c r="C731" s="20" t="n"/>
      <c r="D731" s="22">
        <f>IF(C731="","",INDEX(MERCADORIA!$B$5:$B$22,MATCH(C731,MERCADORIA!$A$5:$A$22,0)))</f>
        <v/>
      </c>
      <c r="E731" s="22">
        <f>IF(C731="","",INDEX(MERCADORIA!$C$5:$C$22,MATCH(C731,MERCADORIA!$A$5:$A$22,0)))</f>
        <v/>
      </c>
      <c r="F731" s="23" t="n"/>
      <c r="G731" s="24">
        <f>IF(D731="","",INDEX(VALOR!$B$5:$B$8,MATCH(D731,VALOR!$A$5:$A$8,0)))</f>
        <v/>
      </c>
      <c r="H731" s="15">
        <f>IF(OR(G731="",F731=""),0,F731*G731)</f>
        <v/>
      </c>
      <c r="I731" s="20" t="n"/>
      <c r="J731" s="20" t="n"/>
      <c r="K731" s="24">
        <f>IF(OR(O731=0,J731=""),0,INDEX(MAPA!$C$5:$C$14,MATCH(J731,MAPA!$A$5:$A$14,0)))</f>
        <v/>
      </c>
      <c r="L731" s="25">
        <f>H731+K731</f>
        <v/>
      </c>
      <c r="M731" s="20" t="n"/>
      <c r="N731" s="20" t="n"/>
      <c r="O731" s="14">
        <f>IF(A731="",0,IF(COUNTIF($A$5:A731,A731)=1,1,0))</f>
        <v/>
      </c>
    </row>
    <row r="732">
      <c r="A732" s="20" t="n"/>
      <c r="B732" s="21" t="n"/>
      <c r="C732" s="20" t="n"/>
      <c r="D732" s="22">
        <f>IF(C732="","",INDEX(MERCADORIA!$B$5:$B$22,MATCH(C732,MERCADORIA!$A$5:$A$22,0)))</f>
        <v/>
      </c>
      <c r="E732" s="22">
        <f>IF(C732="","",INDEX(MERCADORIA!$C$5:$C$22,MATCH(C732,MERCADORIA!$A$5:$A$22,0)))</f>
        <v/>
      </c>
      <c r="F732" s="23" t="n"/>
      <c r="G732" s="24">
        <f>IF(D732="","",INDEX(VALOR!$B$5:$B$8,MATCH(D732,VALOR!$A$5:$A$8,0)))</f>
        <v/>
      </c>
      <c r="H732" s="15">
        <f>IF(OR(G732="",F732=""),0,F732*G732)</f>
        <v/>
      </c>
      <c r="I732" s="20" t="n"/>
      <c r="J732" s="20" t="n"/>
      <c r="K732" s="24">
        <f>IF(OR(O732=0,J732=""),0,INDEX(MAPA!$C$5:$C$14,MATCH(J732,MAPA!$A$5:$A$14,0)))</f>
        <v/>
      </c>
      <c r="L732" s="25">
        <f>H732+K732</f>
        <v/>
      </c>
      <c r="M732" s="20" t="n"/>
      <c r="N732" s="20" t="n"/>
      <c r="O732" s="14">
        <f>IF(A732="",0,IF(COUNTIF($A$5:A732,A732)=1,1,0))</f>
        <v/>
      </c>
    </row>
    <row r="733">
      <c r="A733" s="20" t="n"/>
      <c r="B733" s="21" t="n"/>
      <c r="C733" s="20" t="n"/>
      <c r="D733" s="22">
        <f>IF(C733="","",INDEX(MERCADORIA!$B$5:$B$22,MATCH(C733,MERCADORIA!$A$5:$A$22,0)))</f>
        <v/>
      </c>
      <c r="E733" s="22">
        <f>IF(C733="","",INDEX(MERCADORIA!$C$5:$C$22,MATCH(C733,MERCADORIA!$A$5:$A$22,0)))</f>
        <v/>
      </c>
      <c r="F733" s="23" t="n"/>
      <c r="G733" s="24">
        <f>IF(D733="","",INDEX(VALOR!$B$5:$B$8,MATCH(D733,VALOR!$A$5:$A$8,0)))</f>
        <v/>
      </c>
      <c r="H733" s="15">
        <f>IF(OR(G733="",F733=""),0,F733*G733)</f>
        <v/>
      </c>
      <c r="I733" s="20" t="n"/>
      <c r="J733" s="20" t="n"/>
      <c r="K733" s="24">
        <f>IF(OR(O733=0,J733=""),0,INDEX(MAPA!$C$5:$C$14,MATCH(J733,MAPA!$A$5:$A$14,0)))</f>
        <v/>
      </c>
      <c r="L733" s="25">
        <f>H733+K733</f>
        <v/>
      </c>
      <c r="M733" s="20" t="n"/>
      <c r="N733" s="20" t="n"/>
      <c r="O733" s="14">
        <f>IF(A733="",0,IF(COUNTIF($A$5:A733,A733)=1,1,0))</f>
        <v/>
      </c>
    </row>
    <row r="734">
      <c r="A734" s="20" t="n"/>
      <c r="B734" s="21" t="n"/>
      <c r="C734" s="20" t="n"/>
      <c r="D734" s="22">
        <f>IF(C734="","",INDEX(MERCADORIA!$B$5:$B$22,MATCH(C734,MERCADORIA!$A$5:$A$22,0)))</f>
        <v/>
      </c>
      <c r="E734" s="22">
        <f>IF(C734="","",INDEX(MERCADORIA!$C$5:$C$22,MATCH(C734,MERCADORIA!$A$5:$A$22,0)))</f>
        <v/>
      </c>
      <c r="F734" s="23" t="n"/>
      <c r="G734" s="24">
        <f>IF(D734="","",INDEX(VALOR!$B$5:$B$8,MATCH(D734,VALOR!$A$5:$A$8,0)))</f>
        <v/>
      </c>
      <c r="H734" s="15">
        <f>IF(OR(G734="",F734=""),0,F734*G734)</f>
        <v/>
      </c>
      <c r="I734" s="20" t="n"/>
      <c r="J734" s="20" t="n"/>
      <c r="K734" s="24">
        <f>IF(OR(O734=0,J734=""),0,INDEX(MAPA!$C$5:$C$14,MATCH(J734,MAPA!$A$5:$A$14,0)))</f>
        <v/>
      </c>
      <c r="L734" s="25">
        <f>H734+K734</f>
        <v/>
      </c>
      <c r="M734" s="20" t="n"/>
      <c r="N734" s="20" t="n"/>
      <c r="O734" s="14">
        <f>IF(A734="",0,IF(COUNTIF($A$5:A734,A734)=1,1,0))</f>
        <v/>
      </c>
    </row>
    <row r="735">
      <c r="A735" s="20" t="n"/>
      <c r="B735" s="21" t="n"/>
      <c r="C735" s="20" t="n"/>
      <c r="D735" s="22">
        <f>IF(C735="","",INDEX(MERCADORIA!$B$5:$B$22,MATCH(C735,MERCADORIA!$A$5:$A$22,0)))</f>
        <v/>
      </c>
      <c r="E735" s="22">
        <f>IF(C735="","",INDEX(MERCADORIA!$C$5:$C$22,MATCH(C735,MERCADORIA!$A$5:$A$22,0)))</f>
        <v/>
      </c>
      <c r="F735" s="23" t="n"/>
      <c r="G735" s="24">
        <f>IF(D735="","",INDEX(VALOR!$B$5:$B$8,MATCH(D735,VALOR!$A$5:$A$8,0)))</f>
        <v/>
      </c>
      <c r="H735" s="15">
        <f>IF(OR(G735="",F735=""),0,F735*G735)</f>
        <v/>
      </c>
      <c r="I735" s="20" t="n"/>
      <c r="J735" s="20" t="n"/>
      <c r="K735" s="24">
        <f>IF(OR(O735=0,J735=""),0,INDEX(MAPA!$C$5:$C$14,MATCH(J735,MAPA!$A$5:$A$14,0)))</f>
        <v/>
      </c>
      <c r="L735" s="25">
        <f>H735+K735</f>
        <v/>
      </c>
      <c r="M735" s="20" t="n"/>
      <c r="N735" s="20" t="n"/>
      <c r="O735" s="14">
        <f>IF(A735="",0,IF(COUNTIF($A$5:A735,A735)=1,1,0))</f>
        <v/>
      </c>
    </row>
    <row r="736">
      <c r="A736" s="20" t="n"/>
      <c r="B736" s="21" t="n"/>
      <c r="C736" s="20" t="n"/>
      <c r="D736" s="22">
        <f>IF(C736="","",INDEX(MERCADORIA!$B$5:$B$22,MATCH(C736,MERCADORIA!$A$5:$A$22,0)))</f>
        <v/>
      </c>
      <c r="E736" s="22">
        <f>IF(C736="","",INDEX(MERCADORIA!$C$5:$C$22,MATCH(C736,MERCADORIA!$A$5:$A$22,0)))</f>
        <v/>
      </c>
      <c r="F736" s="23" t="n"/>
      <c r="G736" s="24">
        <f>IF(D736="","",INDEX(VALOR!$B$5:$B$8,MATCH(D736,VALOR!$A$5:$A$8,0)))</f>
        <v/>
      </c>
      <c r="H736" s="15">
        <f>IF(OR(G736="",F736=""),0,F736*G736)</f>
        <v/>
      </c>
      <c r="I736" s="20" t="n"/>
      <c r="J736" s="20" t="n"/>
      <c r="K736" s="24">
        <f>IF(OR(O736=0,J736=""),0,INDEX(MAPA!$C$5:$C$14,MATCH(J736,MAPA!$A$5:$A$14,0)))</f>
        <v/>
      </c>
      <c r="L736" s="25">
        <f>H736+K736</f>
        <v/>
      </c>
      <c r="M736" s="20" t="n"/>
      <c r="N736" s="20" t="n"/>
      <c r="O736" s="14">
        <f>IF(A736="",0,IF(COUNTIF($A$5:A736,A736)=1,1,0))</f>
        <v/>
      </c>
    </row>
    <row r="737">
      <c r="A737" s="20" t="n"/>
      <c r="B737" s="21" t="n"/>
      <c r="C737" s="20" t="n"/>
      <c r="D737" s="22">
        <f>IF(C737="","",INDEX(MERCADORIA!$B$5:$B$22,MATCH(C737,MERCADORIA!$A$5:$A$22,0)))</f>
        <v/>
      </c>
      <c r="E737" s="22">
        <f>IF(C737="","",INDEX(MERCADORIA!$C$5:$C$22,MATCH(C737,MERCADORIA!$A$5:$A$22,0)))</f>
        <v/>
      </c>
      <c r="F737" s="23" t="n"/>
      <c r="G737" s="24">
        <f>IF(D737="","",INDEX(VALOR!$B$5:$B$8,MATCH(D737,VALOR!$A$5:$A$8,0)))</f>
        <v/>
      </c>
      <c r="H737" s="15">
        <f>IF(OR(G737="",F737=""),0,F737*G737)</f>
        <v/>
      </c>
      <c r="I737" s="20" t="n"/>
      <c r="J737" s="20" t="n"/>
      <c r="K737" s="24">
        <f>IF(OR(O737=0,J737=""),0,INDEX(MAPA!$C$5:$C$14,MATCH(J737,MAPA!$A$5:$A$14,0)))</f>
        <v/>
      </c>
      <c r="L737" s="25">
        <f>H737+K737</f>
        <v/>
      </c>
      <c r="M737" s="20" t="n"/>
      <c r="N737" s="20" t="n"/>
      <c r="O737" s="14">
        <f>IF(A737="",0,IF(COUNTIF($A$5:A737,A737)=1,1,0))</f>
        <v/>
      </c>
    </row>
    <row r="738">
      <c r="A738" s="20" t="n"/>
      <c r="B738" s="21" t="n"/>
      <c r="C738" s="20" t="n"/>
      <c r="D738" s="22">
        <f>IF(C738="","",INDEX(MERCADORIA!$B$5:$B$22,MATCH(C738,MERCADORIA!$A$5:$A$22,0)))</f>
        <v/>
      </c>
      <c r="E738" s="22">
        <f>IF(C738="","",INDEX(MERCADORIA!$C$5:$C$22,MATCH(C738,MERCADORIA!$A$5:$A$22,0)))</f>
        <v/>
      </c>
      <c r="F738" s="23" t="n"/>
      <c r="G738" s="24">
        <f>IF(D738="","",INDEX(VALOR!$B$5:$B$8,MATCH(D738,VALOR!$A$5:$A$8,0)))</f>
        <v/>
      </c>
      <c r="H738" s="15">
        <f>IF(OR(G738="",F738=""),0,F738*G738)</f>
        <v/>
      </c>
      <c r="I738" s="20" t="n"/>
      <c r="J738" s="20" t="n"/>
      <c r="K738" s="24">
        <f>IF(OR(O738=0,J738=""),0,INDEX(MAPA!$C$5:$C$14,MATCH(J738,MAPA!$A$5:$A$14,0)))</f>
        <v/>
      </c>
      <c r="L738" s="25">
        <f>H738+K738</f>
        <v/>
      </c>
      <c r="M738" s="20" t="n"/>
      <c r="N738" s="20" t="n"/>
      <c r="O738" s="14">
        <f>IF(A738="",0,IF(COUNTIF($A$5:A738,A738)=1,1,0))</f>
        <v/>
      </c>
    </row>
    <row r="739">
      <c r="A739" s="20" t="n"/>
      <c r="B739" s="21" t="n"/>
      <c r="C739" s="20" t="n"/>
      <c r="D739" s="22">
        <f>IF(C739="","",INDEX(MERCADORIA!$B$5:$B$22,MATCH(C739,MERCADORIA!$A$5:$A$22,0)))</f>
        <v/>
      </c>
      <c r="E739" s="22">
        <f>IF(C739="","",INDEX(MERCADORIA!$C$5:$C$22,MATCH(C739,MERCADORIA!$A$5:$A$22,0)))</f>
        <v/>
      </c>
      <c r="F739" s="23" t="n"/>
      <c r="G739" s="24">
        <f>IF(D739="","",INDEX(VALOR!$B$5:$B$8,MATCH(D739,VALOR!$A$5:$A$8,0)))</f>
        <v/>
      </c>
      <c r="H739" s="15">
        <f>IF(OR(G739="",F739=""),0,F739*G739)</f>
        <v/>
      </c>
      <c r="I739" s="20" t="n"/>
      <c r="J739" s="20" t="n"/>
      <c r="K739" s="24">
        <f>IF(OR(O739=0,J739=""),0,INDEX(MAPA!$C$5:$C$14,MATCH(J739,MAPA!$A$5:$A$14,0)))</f>
        <v/>
      </c>
      <c r="L739" s="25">
        <f>H739+K739</f>
        <v/>
      </c>
      <c r="M739" s="20" t="n"/>
      <c r="N739" s="20" t="n"/>
      <c r="O739" s="14">
        <f>IF(A739="",0,IF(COUNTIF($A$5:A739,A739)=1,1,0))</f>
        <v/>
      </c>
    </row>
    <row r="740">
      <c r="A740" s="20" t="n"/>
      <c r="B740" s="21" t="n"/>
      <c r="C740" s="20" t="n"/>
      <c r="D740" s="22">
        <f>IF(C740="","",INDEX(MERCADORIA!$B$5:$B$22,MATCH(C740,MERCADORIA!$A$5:$A$22,0)))</f>
        <v/>
      </c>
      <c r="E740" s="22">
        <f>IF(C740="","",INDEX(MERCADORIA!$C$5:$C$22,MATCH(C740,MERCADORIA!$A$5:$A$22,0)))</f>
        <v/>
      </c>
      <c r="F740" s="23" t="n"/>
      <c r="G740" s="24">
        <f>IF(D740="","",INDEX(VALOR!$B$5:$B$8,MATCH(D740,VALOR!$A$5:$A$8,0)))</f>
        <v/>
      </c>
      <c r="H740" s="15">
        <f>IF(OR(G740="",F740=""),0,F740*G740)</f>
        <v/>
      </c>
      <c r="I740" s="20" t="n"/>
      <c r="J740" s="20" t="n"/>
      <c r="K740" s="24">
        <f>IF(OR(O740=0,J740=""),0,INDEX(MAPA!$C$5:$C$14,MATCH(J740,MAPA!$A$5:$A$14,0)))</f>
        <v/>
      </c>
      <c r="L740" s="25">
        <f>H740+K740</f>
        <v/>
      </c>
      <c r="M740" s="20" t="n"/>
      <c r="N740" s="20" t="n"/>
      <c r="O740" s="14">
        <f>IF(A740="",0,IF(COUNTIF($A$5:A740,A740)=1,1,0))</f>
        <v/>
      </c>
    </row>
    <row r="741">
      <c r="A741" s="20" t="n"/>
      <c r="B741" s="21" t="n"/>
      <c r="C741" s="20" t="n"/>
      <c r="D741" s="22">
        <f>IF(C741="","",INDEX(MERCADORIA!$B$5:$B$22,MATCH(C741,MERCADORIA!$A$5:$A$22,0)))</f>
        <v/>
      </c>
      <c r="E741" s="22">
        <f>IF(C741="","",INDEX(MERCADORIA!$C$5:$C$22,MATCH(C741,MERCADORIA!$A$5:$A$22,0)))</f>
        <v/>
      </c>
      <c r="F741" s="23" t="n"/>
      <c r="G741" s="24">
        <f>IF(D741="","",INDEX(VALOR!$B$5:$B$8,MATCH(D741,VALOR!$A$5:$A$8,0)))</f>
        <v/>
      </c>
      <c r="H741" s="15">
        <f>IF(OR(G741="",F741=""),0,F741*G741)</f>
        <v/>
      </c>
      <c r="I741" s="20" t="n"/>
      <c r="J741" s="20" t="n"/>
      <c r="K741" s="24">
        <f>IF(OR(O741=0,J741=""),0,INDEX(MAPA!$C$5:$C$14,MATCH(J741,MAPA!$A$5:$A$14,0)))</f>
        <v/>
      </c>
      <c r="L741" s="25">
        <f>H741+K741</f>
        <v/>
      </c>
      <c r="M741" s="20" t="n"/>
      <c r="N741" s="20" t="n"/>
      <c r="O741" s="14">
        <f>IF(A741="",0,IF(COUNTIF($A$5:A741,A741)=1,1,0))</f>
        <v/>
      </c>
    </row>
    <row r="742">
      <c r="A742" s="20" t="n"/>
      <c r="B742" s="21" t="n"/>
      <c r="C742" s="20" t="n"/>
      <c r="D742" s="22">
        <f>IF(C742="","",INDEX(MERCADORIA!$B$5:$B$22,MATCH(C742,MERCADORIA!$A$5:$A$22,0)))</f>
        <v/>
      </c>
      <c r="E742" s="22">
        <f>IF(C742="","",INDEX(MERCADORIA!$C$5:$C$22,MATCH(C742,MERCADORIA!$A$5:$A$22,0)))</f>
        <v/>
      </c>
      <c r="F742" s="23" t="n"/>
      <c r="G742" s="24">
        <f>IF(D742="","",INDEX(VALOR!$B$5:$B$8,MATCH(D742,VALOR!$A$5:$A$8,0)))</f>
        <v/>
      </c>
      <c r="H742" s="15">
        <f>IF(OR(G742="",F742=""),0,F742*G742)</f>
        <v/>
      </c>
      <c r="I742" s="20" t="n"/>
      <c r="J742" s="20" t="n"/>
      <c r="K742" s="24">
        <f>IF(OR(O742=0,J742=""),0,INDEX(MAPA!$C$5:$C$14,MATCH(J742,MAPA!$A$5:$A$14,0)))</f>
        <v/>
      </c>
      <c r="L742" s="25">
        <f>H742+K742</f>
        <v/>
      </c>
      <c r="M742" s="20" t="n"/>
      <c r="N742" s="20" t="n"/>
      <c r="O742" s="14">
        <f>IF(A742="",0,IF(COUNTIF($A$5:A742,A742)=1,1,0))</f>
        <v/>
      </c>
    </row>
    <row r="743">
      <c r="A743" s="20" t="n"/>
      <c r="B743" s="21" t="n"/>
      <c r="C743" s="20" t="n"/>
      <c r="D743" s="22">
        <f>IF(C743="","",INDEX(MERCADORIA!$B$5:$B$22,MATCH(C743,MERCADORIA!$A$5:$A$22,0)))</f>
        <v/>
      </c>
      <c r="E743" s="22">
        <f>IF(C743="","",INDEX(MERCADORIA!$C$5:$C$22,MATCH(C743,MERCADORIA!$A$5:$A$22,0)))</f>
        <v/>
      </c>
      <c r="F743" s="23" t="n"/>
      <c r="G743" s="24">
        <f>IF(D743="","",INDEX(VALOR!$B$5:$B$8,MATCH(D743,VALOR!$A$5:$A$8,0)))</f>
        <v/>
      </c>
      <c r="H743" s="15">
        <f>IF(OR(G743="",F743=""),0,F743*G743)</f>
        <v/>
      </c>
      <c r="I743" s="20" t="n"/>
      <c r="J743" s="20" t="n"/>
      <c r="K743" s="24">
        <f>IF(OR(O743=0,J743=""),0,INDEX(MAPA!$C$5:$C$14,MATCH(J743,MAPA!$A$5:$A$14,0)))</f>
        <v/>
      </c>
      <c r="L743" s="25">
        <f>H743+K743</f>
        <v/>
      </c>
      <c r="M743" s="20" t="n"/>
      <c r="N743" s="20" t="n"/>
      <c r="O743" s="14">
        <f>IF(A743="",0,IF(COUNTIF($A$5:A743,A743)=1,1,0))</f>
        <v/>
      </c>
    </row>
    <row r="744">
      <c r="A744" s="20" t="n"/>
      <c r="B744" s="21" t="n"/>
      <c r="C744" s="20" t="n"/>
      <c r="D744" s="22">
        <f>IF(C744="","",INDEX(MERCADORIA!$B$5:$B$22,MATCH(C744,MERCADORIA!$A$5:$A$22,0)))</f>
        <v/>
      </c>
      <c r="E744" s="22">
        <f>IF(C744="","",INDEX(MERCADORIA!$C$5:$C$22,MATCH(C744,MERCADORIA!$A$5:$A$22,0)))</f>
        <v/>
      </c>
      <c r="F744" s="23" t="n"/>
      <c r="G744" s="24">
        <f>IF(D744="","",INDEX(VALOR!$B$5:$B$8,MATCH(D744,VALOR!$A$5:$A$8,0)))</f>
        <v/>
      </c>
      <c r="H744" s="15">
        <f>IF(OR(G744="",F744=""),0,F744*G744)</f>
        <v/>
      </c>
      <c r="I744" s="20" t="n"/>
      <c r="J744" s="20" t="n"/>
      <c r="K744" s="24">
        <f>IF(OR(O744=0,J744=""),0,INDEX(MAPA!$C$5:$C$14,MATCH(J744,MAPA!$A$5:$A$14,0)))</f>
        <v/>
      </c>
      <c r="L744" s="25">
        <f>H744+K744</f>
        <v/>
      </c>
      <c r="M744" s="20" t="n"/>
      <c r="N744" s="20" t="n"/>
      <c r="O744" s="14">
        <f>IF(A744="",0,IF(COUNTIF($A$5:A744,A744)=1,1,0))</f>
        <v/>
      </c>
    </row>
    <row r="745">
      <c r="A745" s="20" t="n"/>
      <c r="B745" s="21" t="n"/>
      <c r="C745" s="20" t="n"/>
      <c r="D745" s="22">
        <f>IF(C745="","",INDEX(MERCADORIA!$B$5:$B$22,MATCH(C745,MERCADORIA!$A$5:$A$22,0)))</f>
        <v/>
      </c>
      <c r="E745" s="22">
        <f>IF(C745="","",INDEX(MERCADORIA!$C$5:$C$22,MATCH(C745,MERCADORIA!$A$5:$A$22,0)))</f>
        <v/>
      </c>
      <c r="F745" s="23" t="n"/>
      <c r="G745" s="24">
        <f>IF(D745="","",INDEX(VALOR!$B$5:$B$8,MATCH(D745,VALOR!$A$5:$A$8,0)))</f>
        <v/>
      </c>
      <c r="H745" s="15">
        <f>IF(OR(G745="",F745=""),0,F745*G745)</f>
        <v/>
      </c>
      <c r="I745" s="20" t="n"/>
      <c r="J745" s="20" t="n"/>
      <c r="K745" s="24">
        <f>IF(OR(O745=0,J745=""),0,INDEX(MAPA!$C$5:$C$14,MATCH(J745,MAPA!$A$5:$A$14,0)))</f>
        <v/>
      </c>
      <c r="L745" s="25">
        <f>H745+K745</f>
        <v/>
      </c>
      <c r="M745" s="20" t="n"/>
      <c r="N745" s="20" t="n"/>
      <c r="O745" s="14">
        <f>IF(A745="",0,IF(COUNTIF($A$5:A745,A745)=1,1,0))</f>
        <v/>
      </c>
    </row>
    <row r="746">
      <c r="A746" s="20" t="n"/>
      <c r="B746" s="21" t="n"/>
      <c r="C746" s="20" t="n"/>
      <c r="D746" s="22">
        <f>IF(C746="","",INDEX(MERCADORIA!$B$5:$B$22,MATCH(C746,MERCADORIA!$A$5:$A$22,0)))</f>
        <v/>
      </c>
      <c r="E746" s="22">
        <f>IF(C746="","",INDEX(MERCADORIA!$C$5:$C$22,MATCH(C746,MERCADORIA!$A$5:$A$22,0)))</f>
        <v/>
      </c>
      <c r="F746" s="23" t="n"/>
      <c r="G746" s="24">
        <f>IF(D746="","",INDEX(VALOR!$B$5:$B$8,MATCH(D746,VALOR!$A$5:$A$8,0)))</f>
        <v/>
      </c>
      <c r="H746" s="15">
        <f>IF(OR(G746="",F746=""),0,F746*G746)</f>
        <v/>
      </c>
      <c r="I746" s="20" t="n"/>
      <c r="J746" s="20" t="n"/>
      <c r="K746" s="24">
        <f>IF(OR(O746=0,J746=""),0,INDEX(MAPA!$C$5:$C$14,MATCH(J746,MAPA!$A$5:$A$14,0)))</f>
        <v/>
      </c>
      <c r="L746" s="25">
        <f>H746+K746</f>
        <v/>
      </c>
      <c r="M746" s="20" t="n"/>
      <c r="N746" s="20" t="n"/>
      <c r="O746" s="14">
        <f>IF(A746="",0,IF(COUNTIF($A$5:A746,A746)=1,1,0))</f>
        <v/>
      </c>
    </row>
    <row r="747">
      <c r="A747" s="20" t="n"/>
      <c r="B747" s="21" t="n"/>
      <c r="C747" s="20" t="n"/>
      <c r="D747" s="22">
        <f>IF(C747="","",INDEX(MERCADORIA!$B$5:$B$22,MATCH(C747,MERCADORIA!$A$5:$A$22,0)))</f>
        <v/>
      </c>
      <c r="E747" s="22">
        <f>IF(C747="","",INDEX(MERCADORIA!$C$5:$C$22,MATCH(C747,MERCADORIA!$A$5:$A$22,0)))</f>
        <v/>
      </c>
      <c r="F747" s="23" t="n"/>
      <c r="G747" s="24">
        <f>IF(D747="","",INDEX(VALOR!$B$5:$B$8,MATCH(D747,VALOR!$A$5:$A$8,0)))</f>
        <v/>
      </c>
      <c r="H747" s="15">
        <f>IF(OR(G747="",F747=""),0,F747*G747)</f>
        <v/>
      </c>
      <c r="I747" s="20" t="n"/>
      <c r="J747" s="20" t="n"/>
      <c r="K747" s="24">
        <f>IF(OR(O747=0,J747=""),0,INDEX(MAPA!$C$5:$C$14,MATCH(J747,MAPA!$A$5:$A$14,0)))</f>
        <v/>
      </c>
      <c r="L747" s="25">
        <f>H747+K747</f>
        <v/>
      </c>
      <c r="M747" s="20" t="n"/>
      <c r="N747" s="20" t="n"/>
      <c r="O747" s="14">
        <f>IF(A747="",0,IF(COUNTIF($A$5:A747,A747)=1,1,0))</f>
        <v/>
      </c>
    </row>
    <row r="748">
      <c r="A748" s="20" t="n"/>
      <c r="B748" s="21" t="n"/>
      <c r="C748" s="20" t="n"/>
      <c r="D748" s="22">
        <f>IF(C748="","",INDEX(MERCADORIA!$B$5:$B$22,MATCH(C748,MERCADORIA!$A$5:$A$22,0)))</f>
        <v/>
      </c>
      <c r="E748" s="22">
        <f>IF(C748="","",INDEX(MERCADORIA!$C$5:$C$22,MATCH(C748,MERCADORIA!$A$5:$A$22,0)))</f>
        <v/>
      </c>
      <c r="F748" s="23" t="n"/>
      <c r="G748" s="24">
        <f>IF(D748="","",INDEX(VALOR!$B$5:$B$8,MATCH(D748,VALOR!$A$5:$A$8,0)))</f>
        <v/>
      </c>
      <c r="H748" s="15">
        <f>IF(OR(G748="",F748=""),0,F748*G748)</f>
        <v/>
      </c>
      <c r="I748" s="20" t="n"/>
      <c r="J748" s="20" t="n"/>
      <c r="K748" s="24">
        <f>IF(OR(O748=0,J748=""),0,INDEX(MAPA!$C$5:$C$14,MATCH(J748,MAPA!$A$5:$A$14,0)))</f>
        <v/>
      </c>
      <c r="L748" s="25">
        <f>H748+K748</f>
        <v/>
      </c>
      <c r="M748" s="20" t="n"/>
      <c r="N748" s="20" t="n"/>
      <c r="O748" s="14">
        <f>IF(A748="",0,IF(COUNTIF($A$5:A748,A748)=1,1,0))</f>
        <v/>
      </c>
    </row>
    <row r="749">
      <c r="A749" s="20" t="n"/>
      <c r="B749" s="21" t="n"/>
      <c r="C749" s="20" t="n"/>
      <c r="D749" s="22">
        <f>IF(C749="","",INDEX(MERCADORIA!$B$5:$B$22,MATCH(C749,MERCADORIA!$A$5:$A$22,0)))</f>
        <v/>
      </c>
      <c r="E749" s="22">
        <f>IF(C749="","",INDEX(MERCADORIA!$C$5:$C$22,MATCH(C749,MERCADORIA!$A$5:$A$22,0)))</f>
        <v/>
      </c>
      <c r="F749" s="23" t="n"/>
      <c r="G749" s="24">
        <f>IF(D749="","",INDEX(VALOR!$B$5:$B$8,MATCH(D749,VALOR!$A$5:$A$8,0)))</f>
        <v/>
      </c>
      <c r="H749" s="15">
        <f>IF(OR(G749="",F749=""),0,F749*G749)</f>
        <v/>
      </c>
      <c r="I749" s="20" t="n"/>
      <c r="J749" s="20" t="n"/>
      <c r="K749" s="24">
        <f>IF(OR(O749=0,J749=""),0,INDEX(MAPA!$C$5:$C$14,MATCH(J749,MAPA!$A$5:$A$14,0)))</f>
        <v/>
      </c>
      <c r="L749" s="25">
        <f>H749+K749</f>
        <v/>
      </c>
      <c r="M749" s="20" t="n"/>
      <c r="N749" s="20" t="n"/>
      <c r="O749" s="14">
        <f>IF(A749="",0,IF(COUNTIF($A$5:A749,A749)=1,1,0))</f>
        <v/>
      </c>
    </row>
    <row r="750">
      <c r="A750" s="20" t="n"/>
      <c r="B750" s="21" t="n"/>
      <c r="C750" s="20" t="n"/>
      <c r="D750" s="22">
        <f>IF(C750="","",INDEX(MERCADORIA!$B$5:$B$22,MATCH(C750,MERCADORIA!$A$5:$A$22,0)))</f>
        <v/>
      </c>
      <c r="E750" s="22">
        <f>IF(C750="","",INDEX(MERCADORIA!$C$5:$C$22,MATCH(C750,MERCADORIA!$A$5:$A$22,0)))</f>
        <v/>
      </c>
      <c r="F750" s="23" t="n"/>
      <c r="G750" s="24">
        <f>IF(D750="","",INDEX(VALOR!$B$5:$B$8,MATCH(D750,VALOR!$A$5:$A$8,0)))</f>
        <v/>
      </c>
      <c r="H750" s="15">
        <f>IF(OR(G750="",F750=""),0,F750*G750)</f>
        <v/>
      </c>
      <c r="I750" s="20" t="n"/>
      <c r="J750" s="20" t="n"/>
      <c r="K750" s="24">
        <f>IF(OR(O750=0,J750=""),0,INDEX(MAPA!$C$5:$C$14,MATCH(J750,MAPA!$A$5:$A$14,0)))</f>
        <v/>
      </c>
      <c r="L750" s="25">
        <f>H750+K750</f>
        <v/>
      </c>
      <c r="M750" s="20" t="n"/>
      <c r="N750" s="20" t="n"/>
      <c r="O750" s="14">
        <f>IF(A750="",0,IF(COUNTIF($A$5:A750,A750)=1,1,0))</f>
        <v/>
      </c>
    </row>
    <row r="751">
      <c r="A751" s="20" t="n"/>
      <c r="B751" s="21" t="n"/>
      <c r="C751" s="20" t="n"/>
      <c r="D751" s="22">
        <f>IF(C751="","",INDEX(MERCADORIA!$B$5:$B$22,MATCH(C751,MERCADORIA!$A$5:$A$22,0)))</f>
        <v/>
      </c>
      <c r="E751" s="22">
        <f>IF(C751="","",INDEX(MERCADORIA!$C$5:$C$22,MATCH(C751,MERCADORIA!$A$5:$A$22,0)))</f>
        <v/>
      </c>
      <c r="F751" s="23" t="n"/>
      <c r="G751" s="24">
        <f>IF(D751="","",INDEX(VALOR!$B$5:$B$8,MATCH(D751,VALOR!$A$5:$A$8,0)))</f>
        <v/>
      </c>
      <c r="H751" s="15">
        <f>IF(OR(G751="",F751=""),0,F751*G751)</f>
        <v/>
      </c>
      <c r="I751" s="20" t="n"/>
      <c r="J751" s="20" t="n"/>
      <c r="K751" s="24">
        <f>IF(OR(O751=0,J751=""),0,INDEX(MAPA!$C$5:$C$14,MATCH(J751,MAPA!$A$5:$A$14,0)))</f>
        <v/>
      </c>
      <c r="L751" s="25">
        <f>H751+K751</f>
        <v/>
      </c>
      <c r="M751" s="20" t="n"/>
      <c r="N751" s="20" t="n"/>
      <c r="O751" s="14">
        <f>IF(A751="",0,IF(COUNTIF($A$5:A751,A751)=1,1,0))</f>
        <v/>
      </c>
    </row>
    <row r="752">
      <c r="A752" s="20" t="n"/>
      <c r="B752" s="21" t="n"/>
      <c r="C752" s="20" t="n"/>
      <c r="D752" s="22">
        <f>IF(C752="","",INDEX(MERCADORIA!$B$5:$B$22,MATCH(C752,MERCADORIA!$A$5:$A$22,0)))</f>
        <v/>
      </c>
      <c r="E752" s="22">
        <f>IF(C752="","",INDEX(MERCADORIA!$C$5:$C$22,MATCH(C752,MERCADORIA!$A$5:$A$22,0)))</f>
        <v/>
      </c>
      <c r="F752" s="23" t="n"/>
      <c r="G752" s="24">
        <f>IF(D752="","",INDEX(VALOR!$B$5:$B$8,MATCH(D752,VALOR!$A$5:$A$8,0)))</f>
        <v/>
      </c>
      <c r="H752" s="15">
        <f>IF(OR(G752="",F752=""),0,F752*G752)</f>
        <v/>
      </c>
      <c r="I752" s="20" t="n"/>
      <c r="J752" s="20" t="n"/>
      <c r="K752" s="24">
        <f>IF(OR(O752=0,J752=""),0,INDEX(MAPA!$C$5:$C$14,MATCH(J752,MAPA!$A$5:$A$14,0)))</f>
        <v/>
      </c>
      <c r="L752" s="25">
        <f>H752+K752</f>
        <v/>
      </c>
      <c r="M752" s="20" t="n"/>
      <c r="N752" s="20" t="n"/>
      <c r="O752" s="14">
        <f>IF(A752="",0,IF(COUNTIF($A$5:A752,A752)=1,1,0))</f>
        <v/>
      </c>
    </row>
    <row r="753">
      <c r="A753" s="20" t="n"/>
      <c r="B753" s="21" t="n"/>
      <c r="C753" s="20" t="n"/>
      <c r="D753" s="22">
        <f>IF(C753="","",INDEX(MERCADORIA!$B$5:$B$22,MATCH(C753,MERCADORIA!$A$5:$A$22,0)))</f>
        <v/>
      </c>
      <c r="E753" s="22">
        <f>IF(C753="","",INDEX(MERCADORIA!$C$5:$C$22,MATCH(C753,MERCADORIA!$A$5:$A$22,0)))</f>
        <v/>
      </c>
      <c r="F753" s="23" t="n"/>
      <c r="G753" s="24">
        <f>IF(D753="","",INDEX(VALOR!$B$5:$B$8,MATCH(D753,VALOR!$A$5:$A$8,0)))</f>
        <v/>
      </c>
      <c r="H753" s="15">
        <f>IF(OR(G753="",F753=""),0,F753*G753)</f>
        <v/>
      </c>
      <c r="I753" s="20" t="n"/>
      <c r="J753" s="20" t="n"/>
      <c r="K753" s="24">
        <f>IF(OR(O753=0,J753=""),0,INDEX(MAPA!$C$5:$C$14,MATCH(J753,MAPA!$A$5:$A$14,0)))</f>
        <v/>
      </c>
      <c r="L753" s="25">
        <f>H753+K753</f>
        <v/>
      </c>
      <c r="M753" s="20" t="n"/>
      <c r="N753" s="20" t="n"/>
      <c r="O753" s="14">
        <f>IF(A753="",0,IF(COUNTIF($A$5:A753,A753)=1,1,0))</f>
        <v/>
      </c>
    </row>
    <row r="754">
      <c r="A754" s="20" t="n"/>
      <c r="B754" s="21" t="n"/>
      <c r="C754" s="20" t="n"/>
      <c r="D754" s="22">
        <f>IF(C754="","",INDEX(MERCADORIA!$B$5:$B$22,MATCH(C754,MERCADORIA!$A$5:$A$22,0)))</f>
        <v/>
      </c>
      <c r="E754" s="22">
        <f>IF(C754="","",INDEX(MERCADORIA!$C$5:$C$22,MATCH(C754,MERCADORIA!$A$5:$A$22,0)))</f>
        <v/>
      </c>
      <c r="F754" s="23" t="n"/>
      <c r="G754" s="24">
        <f>IF(D754="","",INDEX(VALOR!$B$5:$B$8,MATCH(D754,VALOR!$A$5:$A$8,0)))</f>
        <v/>
      </c>
      <c r="H754" s="15">
        <f>IF(OR(G754="",F754=""),0,F754*G754)</f>
        <v/>
      </c>
      <c r="I754" s="20" t="n"/>
      <c r="J754" s="20" t="n"/>
      <c r="K754" s="24">
        <f>IF(OR(O754=0,J754=""),0,INDEX(MAPA!$C$5:$C$14,MATCH(J754,MAPA!$A$5:$A$14,0)))</f>
        <v/>
      </c>
      <c r="L754" s="25">
        <f>H754+K754</f>
        <v/>
      </c>
      <c r="M754" s="20" t="n"/>
      <c r="N754" s="20" t="n"/>
      <c r="O754" s="14">
        <f>IF(A754="",0,IF(COUNTIF($A$5:A754,A754)=1,1,0))</f>
        <v/>
      </c>
    </row>
    <row r="755">
      <c r="A755" s="20" t="n"/>
      <c r="B755" s="21" t="n"/>
      <c r="C755" s="20" t="n"/>
      <c r="D755" s="22">
        <f>IF(C755="","",INDEX(MERCADORIA!$B$5:$B$22,MATCH(C755,MERCADORIA!$A$5:$A$22,0)))</f>
        <v/>
      </c>
      <c r="E755" s="22">
        <f>IF(C755="","",INDEX(MERCADORIA!$C$5:$C$22,MATCH(C755,MERCADORIA!$A$5:$A$22,0)))</f>
        <v/>
      </c>
      <c r="F755" s="23" t="n"/>
      <c r="G755" s="24">
        <f>IF(D755="","",INDEX(VALOR!$B$5:$B$8,MATCH(D755,VALOR!$A$5:$A$8,0)))</f>
        <v/>
      </c>
      <c r="H755" s="15">
        <f>IF(OR(G755="",F755=""),0,F755*G755)</f>
        <v/>
      </c>
      <c r="I755" s="20" t="n"/>
      <c r="J755" s="20" t="n"/>
      <c r="K755" s="24">
        <f>IF(OR(O755=0,J755=""),0,INDEX(MAPA!$C$5:$C$14,MATCH(J755,MAPA!$A$5:$A$14,0)))</f>
        <v/>
      </c>
      <c r="L755" s="25">
        <f>H755+K755</f>
        <v/>
      </c>
      <c r="M755" s="20" t="n"/>
      <c r="N755" s="20" t="n"/>
      <c r="O755" s="14">
        <f>IF(A755="",0,IF(COUNTIF($A$5:A755,A755)=1,1,0))</f>
        <v/>
      </c>
    </row>
    <row r="756">
      <c r="A756" s="20" t="n"/>
      <c r="B756" s="21" t="n"/>
      <c r="C756" s="20" t="n"/>
      <c r="D756" s="22">
        <f>IF(C756="","",INDEX(MERCADORIA!$B$5:$B$22,MATCH(C756,MERCADORIA!$A$5:$A$22,0)))</f>
        <v/>
      </c>
      <c r="E756" s="22">
        <f>IF(C756="","",INDEX(MERCADORIA!$C$5:$C$22,MATCH(C756,MERCADORIA!$A$5:$A$22,0)))</f>
        <v/>
      </c>
      <c r="F756" s="23" t="n"/>
      <c r="G756" s="24">
        <f>IF(D756="","",INDEX(VALOR!$B$5:$B$8,MATCH(D756,VALOR!$A$5:$A$8,0)))</f>
        <v/>
      </c>
      <c r="H756" s="15">
        <f>IF(OR(G756="",F756=""),0,F756*G756)</f>
        <v/>
      </c>
      <c r="I756" s="20" t="n"/>
      <c r="J756" s="20" t="n"/>
      <c r="K756" s="24">
        <f>IF(OR(O756=0,J756=""),0,INDEX(MAPA!$C$5:$C$14,MATCH(J756,MAPA!$A$5:$A$14,0)))</f>
        <v/>
      </c>
      <c r="L756" s="25">
        <f>H756+K756</f>
        <v/>
      </c>
      <c r="M756" s="20" t="n"/>
      <c r="N756" s="20" t="n"/>
      <c r="O756" s="14">
        <f>IF(A756="",0,IF(COUNTIF($A$5:A756,A756)=1,1,0))</f>
        <v/>
      </c>
    </row>
    <row r="757">
      <c r="A757" s="20" t="n"/>
      <c r="B757" s="21" t="n"/>
      <c r="C757" s="20" t="n"/>
      <c r="D757" s="22">
        <f>IF(C757="","",INDEX(MERCADORIA!$B$5:$B$22,MATCH(C757,MERCADORIA!$A$5:$A$22,0)))</f>
        <v/>
      </c>
      <c r="E757" s="22">
        <f>IF(C757="","",INDEX(MERCADORIA!$C$5:$C$22,MATCH(C757,MERCADORIA!$A$5:$A$22,0)))</f>
        <v/>
      </c>
      <c r="F757" s="23" t="n"/>
      <c r="G757" s="24">
        <f>IF(D757="","",INDEX(VALOR!$B$5:$B$8,MATCH(D757,VALOR!$A$5:$A$8,0)))</f>
        <v/>
      </c>
      <c r="H757" s="15">
        <f>IF(OR(G757="",F757=""),0,F757*G757)</f>
        <v/>
      </c>
      <c r="I757" s="20" t="n"/>
      <c r="J757" s="20" t="n"/>
      <c r="K757" s="24">
        <f>IF(OR(O757=0,J757=""),0,INDEX(MAPA!$C$5:$C$14,MATCH(J757,MAPA!$A$5:$A$14,0)))</f>
        <v/>
      </c>
      <c r="L757" s="25">
        <f>H757+K757</f>
        <v/>
      </c>
      <c r="M757" s="20" t="n"/>
      <c r="N757" s="20" t="n"/>
      <c r="O757" s="14">
        <f>IF(A757="",0,IF(COUNTIF($A$5:A757,A757)=1,1,0))</f>
        <v/>
      </c>
    </row>
    <row r="758">
      <c r="A758" s="20" t="n"/>
      <c r="B758" s="21" t="n"/>
      <c r="C758" s="20" t="n"/>
      <c r="D758" s="22">
        <f>IF(C758="","",INDEX(MERCADORIA!$B$5:$B$22,MATCH(C758,MERCADORIA!$A$5:$A$22,0)))</f>
        <v/>
      </c>
      <c r="E758" s="22">
        <f>IF(C758="","",INDEX(MERCADORIA!$C$5:$C$22,MATCH(C758,MERCADORIA!$A$5:$A$22,0)))</f>
        <v/>
      </c>
      <c r="F758" s="23" t="n"/>
      <c r="G758" s="24">
        <f>IF(D758="","",INDEX(VALOR!$B$5:$B$8,MATCH(D758,VALOR!$A$5:$A$8,0)))</f>
        <v/>
      </c>
      <c r="H758" s="15">
        <f>IF(OR(G758="",F758=""),0,F758*G758)</f>
        <v/>
      </c>
      <c r="I758" s="20" t="n"/>
      <c r="J758" s="20" t="n"/>
      <c r="K758" s="24">
        <f>IF(OR(O758=0,J758=""),0,INDEX(MAPA!$C$5:$C$14,MATCH(J758,MAPA!$A$5:$A$14,0)))</f>
        <v/>
      </c>
      <c r="L758" s="25">
        <f>H758+K758</f>
        <v/>
      </c>
      <c r="M758" s="20" t="n"/>
      <c r="N758" s="20" t="n"/>
      <c r="O758" s="14">
        <f>IF(A758="",0,IF(COUNTIF($A$5:A758,A758)=1,1,0))</f>
        <v/>
      </c>
    </row>
    <row r="759">
      <c r="A759" s="20" t="n"/>
      <c r="B759" s="21" t="n"/>
      <c r="C759" s="20" t="n"/>
      <c r="D759" s="22">
        <f>IF(C759="","",INDEX(MERCADORIA!$B$5:$B$22,MATCH(C759,MERCADORIA!$A$5:$A$22,0)))</f>
        <v/>
      </c>
      <c r="E759" s="22">
        <f>IF(C759="","",INDEX(MERCADORIA!$C$5:$C$22,MATCH(C759,MERCADORIA!$A$5:$A$22,0)))</f>
        <v/>
      </c>
      <c r="F759" s="23" t="n"/>
      <c r="G759" s="24">
        <f>IF(D759="","",INDEX(VALOR!$B$5:$B$8,MATCH(D759,VALOR!$A$5:$A$8,0)))</f>
        <v/>
      </c>
      <c r="H759" s="15">
        <f>IF(OR(G759="",F759=""),0,F759*G759)</f>
        <v/>
      </c>
      <c r="I759" s="20" t="n"/>
      <c r="J759" s="20" t="n"/>
      <c r="K759" s="24">
        <f>IF(OR(O759=0,J759=""),0,INDEX(MAPA!$C$5:$C$14,MATCH(J759,MAPA!$A$5:$A$14,0)))</f>
        <v/>
      </c>
      <c r="L759" s="25">
        <f>H759+K759</f>
        <v/>
      </c>
      <c r="M759" s="20" t="n"/>
      <c r="N759" s="20" t="n"/>
      <c r="O759" s="14">
        <f>IF(A759="",0,IF(COUNTIF($A$5:A759,A759)=1,1,0))</f>
        <v/>
      </c>
    </row>
    <row r="760">
      <c r="A760" s="20" t="n"/>
      <c r="B760" s="21" t="n"/>
      <c r="C760" s="20" t="n"/>
      <c r="D760" s="22">
        <f>IF(C760="","",INDEX(MERCADORIA!$B$5:$B$22,MATCH(C760,MERCADORIA!$A$5:$A$22,0)))</f>
        <v/>
      </c>
      <c r="E760" s="22">
        <f>IF(C760="","",INDEX(MERCADORIA!$C$5:$C$22,MATCH(C760,MERCADORIA!$A$5:$A$22,0)))</f>
        <v/>
      </c>
      <c r="F760" s="23" t="n"/>
      <c r="G760" s="24">
        <f>IF(D760="","",INDEX(VALOR!$B$5:$B$8,MATCH(D760,VALOR!$A$5:$A$8,0)))</f>
        <v/>
      </c>
      <c r="H760" s="15">
        <f>IF(OR(G760="",F760=""),0,F760*G760)</f>
        <v/>
      </c>
      <c r="I760" s="20" t="n"/>
      <c r="J760" s="20" t="n"/>
      <c r="K760" s="24">
        <f>IF(OR(O760=0,J760=""),0,INDEX(MAPA!$C$5:$C$14,MATCH(J760,MAPA!$A$5:$A$14,0)))</f>
        <v/>
      </c>
      <c r="L760" s="25">
        <f>H760+K760</f>
        <v/>
      </c>
      <c r="M760" s="20" t="n"/>
      <c r="N760" s="20" t="n"/>
      <c r="O760" s="14">
        <f>IF(A760="",0,IF(COUNTIF($A$5:A760,A760)=1,1,0))</f>
        <v/>
      </c>
    </row>
    <row r="761">
      <c r="A761" s="20" t="n"/>
      <c r="B761" s="21" t="n"/>
      <c r="C761" s="20" t="n"/>
      <c r="D761" s="22">
        <f>IF(C761="","",INDEX(MERCADORIA!$B$5:$B$22,MATCH(C761,MERCADORIA!$A$5:$A$22,0)))</f>
        <v/>
      </c>
      <c r="E761" s="22">
        <f>IF(C761="","",INDEX(MERCADORIA!$C$5:$C$22,MATCH(C761,MERCADORIA!$A$5:$A$22,0)))</f>
        <v/>
      </c>
      <c r="F761" s="23" t="n"/>
      <c r="G761" s="24">
        <f>IF(D761="","",INDEX(VALOR!$B$5:$B$8,MATCH(D761,VALOR!$A$5:$A$8,0)))</f>
        <v/>
      </c>
      <c r="H761" s="15">
        <f>IF(OR(G761="",F761=""),0,F761*G761)</f>
        <v/>
      </c>
      <c r="I761" s="20" t="n"/>
      <c r="J761" s="20" t="n"/>
      <c r="K761" s="24">
        <f>IF(OR(O761=0,J761=""),0,INDEX(MAPA!$C$5:$C$14,MATCH(J761,MAPA!$A$5:$A$14,0)))</f>
        <v/>
      </c>
      <c r="L761" s="25">
        <f>H761+K761</f>
        <v/>
      </c>
      <c r="M761" s="20" t="n"/>
      <c r="N761" s="20" t="n"/>
      <c r="O761" s="14">
        <f>IF(A761="",0,IF(COUNTIF($A$5:A761,A761)=1,1,0))</f>
        <v/>
      </c>
    </row>
    <row r="762">
      <c r="A762" s="20" t="n"/>
      <c r="B762" s="21" t="n"/>
      <c r="C762" s="20" t="n"/>
      <c r="D762" s="22">
        <f>IF(C762="","",INDEX(MERCADORIA!$B$5:$B$22,MATCH(C762,MERCADORIA!$A$5:$A$22,0)))</f>
        <v/>
      </c>
      <c r="E762" s="22">
        <f>IF(C762="","",INDEX(MERCADORIA!$C$5:$C$22,MATCH(C762,MERCADORIA!$A$5:$A$22,0)))</f>
        <v/>
      </c>
      <c r="F762" s="23" t="n"/>
      <c r="G762" s="24">
        <f>IF(D762="","",INDEX(VALOR!$B$5:$B$8,MATCH(D762,VALOR!$A$5:$A$8,0)))</f>
        <v/>
      </c>
      <c r="H762" s="15">
        <f>IF(OR(G762="",F762=""),0,F762*G762)</f>
        <v/>
      </c>
      <c r="I762" s="20" t="n"/>
      <c r="J762" s="20" t="n"/>
      <c r="K762" s="24">
        <f>IF(OR(O762=0,J762=""),0,INDEX(MAPA!$C$5:$C$14,MATCH(J762,MAPA!$A$5:$A$14,0)))</f>
        <v/>
      </c>
      <c r="L762" s="25">
        <f>H762+K762</f>
        <v/>
      </c>
      <c r="M762" s="20" t="n"/>
      <c r="N762" s="20" t="n"/>
      <c r="O762" s="14">
        <f>IF(A762="",0,IF(COUNTIF($A$5:A762,A762)=1,1,0))</f>
        <v/>
      </c>
    </row>
    <row r="763">
      <c r="A763" s="20" t="n"/>
      <c r="B763" s="21" t="n"/>
      <c r="C763" s="20" t="n"/>
      <c r="D763" s="22">
        <f>IF(C763="","",INDEX(MERCADORIA!$B$5:$B$22,MATCH(C763,MERCADORIA!$A$5:$A$22,0)))</f>
        <v/>
      </c>
      <c r="E763" s="22">
        <f>IF(C763="","",INDEX(MERCADORIA!$C$5:$C$22,MATCH(C763,MERCADORIA!$A$5:$A$22,0)))</f>
        <v/>
      </c>
      <c r="F763" s="23" t="n"/>
      <c r="G763" s="24">
        <f>IF(D763="","",INDEX(VALOR!$B$5:$B$8,MATCH(D763,VALOR!$A$5:$A$8,0)))</f>
        <v/>
      </c>
      <c r="H763" s="15">
        <f>IF(OR(G763="",F763=""),0,F763*G763)</f>
        <v/>
      </c>
      <c r="I763" s="20" t="n"/>
      <c r="J763" s="20" t="n"/>
      <c r="K763" s="24">
        <f>IF(OR(O763=0,J763=""),0,INDEX(MAPA!$C$5:$C$14,MATCH(J763,MAPA!$A$5:$A$14,0)))</f>
        <v/>
      </c>
      <c r="L763" s="25">
        <f>H763+K763</f>
        <v/>
      </c>
      <c r="M763" s="20" t="n"/>
      <c r="N763" s="20" t="n"/>
      <c r="O763" s="14">
        <f>IF(A763="",0,IF(COUNTIF($A$5:A763,A763)=1,1,0))</f>
        <v/>
      </c>
    </row>
    <row r="764">
      <c r="A764" s="20" t="n"/>
      <c r="B764" s="21" t="n"/>
      <c r="C764" s="20" t="n"/>
      <c r="D764" s="22">
        <f>IF(C764="","",INDEX(MERCADORIA!$B$5:$B$22,MATCH(C764,MERCADORIA!$A$5:$A$22,0)))</f>
        <v/>
      </c>
      <c r="E764" s="22">
        <f>IF(C764="","",INDEX(MERCADORIA!$C$5:$C$22,MATCH(C764,MERCADORIA!$A$5:$A$22,0)))</f>
        <v/>
      </c>
      <c r="F764" s="23" t="n"/>
      <c r="G764" s="24">
        <f>IF(D764="","",INDEX(VALOR!$B$5:$B$8,MATCH(D764,VALOR!$A$5:$A$8,0)))</f>
        <v/>
      </c>
      <c r="H764" s="15">
        <f>IF(OR(G764="",F764=""),0,F764*G764)</f>
        <v/>
      </c>
      <c r="I764" s="20" t="n"/>
      <c r="J764" s="20" t="n"/>
      <c r="K764" s="24">
        <f>IF(OR(O764=0,J764=""),0,INDEX(MAPA!$C$5:$C$14,MATCH(J764,MAPA!$A$5:$A$14,0)))</f>
        <v/>
      </c>
      <c r="L764" s="25">
        <f>H764+K764</f>
        <v/>
      </c>
      <c r="M764" s="20" t="n"/>
      <c r="N764" s="20" t="n"/>
      <c r="O764" s="14">
        <f>IF(A764="",0,IF(COUNTIF($A$5:A764,A764)=1,1,0))</f>
        <v/>
      </c>
    </row>
    <row r="765">
      <c r="A765" s="20" t="n"/>
      <c r="B765" s="21" t="n"/>
      <c r="C765" s="20" t="n"/>
      <c r="D765" s="22">
        <f>IF(C765="","",INDEX(MERCADORIA!$B$5:$B$22,MATCH(C765,MERCADORIA!$A$5:$A$22,0)))</f>
        <v/>
      </c>
      <c r="E765" s="22">
        <f>IF(C765="","",INDEX(MERCADORIA!$C$5:$C$22,MATCH(C765,MERCADORIA!$A$5:$A$22,0)))</f>
        <v/>
      </c>
      <c r="F765" s="23" t="n"/>
      <c r="G765" s="24">
        <f>IF(D765="","",INDEX(VALOR!$B$5:$B$8,MATCH(D765,VALOR!$A$5:$A$8,0)))</f>
        <v/>
      </c>
      <c r="H765" s="15">
        <f>IF(OR(G765="",F765=""),0,F765*G765)</f>
        <v/>
      </c>
      <c r="I765" s="20" t="n"/>
      <c r="J765" s="20" t="n"/>
      <c r="K765" s="24">
        <f>IF(OR(O765=0,J765=""),0,INDEX(MAPA!$C$5:$C$14,MATCH(J765,MAPA!$A$5:$A$14,0)))</f>
        <v/>
      </c>
      <c r="L765" s="25">
        <f>H765+K765</f>
        <v/>
      </c>
      <c r="M765" s="20" t="n"/>
      <c r="N765" s="20" t="n"/>
      <c r="O765" s="14">
        <f>IF(A765="",0,IF(COUNTIF($A$5:A765,A765)=1,1,0))</f>
        <v/>
      </c>
    </row>
    <row r="766">
      <c r="A766" s="20" t="n"/>
      <c r="B766" s="21" t="n"/>
      <c r="C766" s="20" t="n"/>
      <c r="D766" s="22">
        <f>IF(C766="","",INDEX(MERCADORIA!$B$5:$B$22,MATCH(C766,MERCADORIA!$A$5:$A$22,0)))</f>
        <v/>
      </c>
      <c r="E766" s="22">
        <f>IF(C766="","",INDEX(MERCADORIA!$C$5:$C$22,MATCH(C766,MERCADORIA!$A$5:$A$22,0)))</f>
        <v/>
      </c>
      <c r="F766" s="23" t="n"/>
      <c r="G766" s="24">
        <f>IF(D766="","",INDEX(VALOR!$B$5:$B$8,MATCH(D766,VALOR!$A$5:$A$8,0)))</f>
        <v/>
      </c>
      <c r="H766" s="15">
        <f>IF(OR(G766="",F766=""),0,F766*G766)</f>
        <v/>
      </c>
      <c r="I766" s="20" t="n"/>
      <c r="J766" s="20" t="n"/>
      <c r="K766" s="24">
        <f>IF(OR(O766=0,J766=""),0,INDEX(MAPA!$C$5:$C$14,MATCH(J766,MAPA!$A$5:$A$14,0)))</f>
        <v/>
      </c>
      <c r="L766" s="25">
        <f>H766+K766</f>
        <v/>
      </c>
      <c r="M766" s="20" t="n"/>
      <c r="N766" s="20" t="n"/>
      <c r="O766" s="14">
        <f>IF(A766="",0,IF(COUNTIF($A$5:A766,A766)=1,1,0))</f>
        <v/>
      </c>
    </row>
    <row r="767">
      <c r="A767" s="20" t="n"/>
      <c r="B767" s="21" t="n"/>
      <c r="C767" s="20" t="n"/>
      <c r="D767" s="22">
        <f>IF(C767="","",INDEX(MERCADORIA!$B$5:$B$22,MATCH(C767,MERCADORIA!$A$5:$A$22,0)))</f>
        <v/>
      </c>
      <c r="E767" s="22">
        <f>IF(C767="","",INDEX(MERCADORIA!$C$5:$C$22,MATCH(C767,MERCADORIA!$A$5:$A$22,0)))</f>
        <v/>
      </c>
      <c r="F767" s="23" t="n"/>
      <c r="G767" s="24">
        <f>IF(D767="","",INDEX(VALOR!$B$5:$B$8,MATCH(D767,VALOR!$A$5:$A$8,0)))</f>
        <v/>
      </c>
      <c r="H767" s="15">
        <f>IF(OR(G767="",F767=""),0,F767*G767)</f>
        <v/>
      </c>
      <c r="I767" s="20" t="n"/>
      <c r="J767" s="20" t="n"/>
      <c r="K767" s="24">
        <f>IF(OR(O767=0,J767=""),0,INDEX(MAPA!$C$5:$C$14,MATCH(J767,MAPA!$A$5:$A$14,0)))</f>
        <v/>
      </c>
      <c r="L767" s="25">
        <f>H767+K767</f>
        <v/>
      </c>
      <c r="M767" s="20" t="n"/>
      <c r="N767" s="20" t="n"/>
      <c r="O767" s="14">
        <f>IF(A767="",0,IF(COUNTIF($A$5:A767,A767)=1,1,0))</f>
        <v/>
      </c>
    </row>
    <row r="768">
      <c r="A768" s="20" t="n"/>
      <c r="B768" s="21" t="n"/>
      <c r="C768" s="20" t="n"/>
      <c r="D768" s="22">
        <f>IF(C768="","",INDEX(MERCADORIA!$B$5:$B$22,MATCH(C768,MERCADORIA!$A$5:$A$22,0)))</f>
        <v/>
      </c>
      <c r="E768" s="22">
        <f>IF(C768="","",INDEX(MERCADORIA!$C$5:$C$22,MATCH(C768,MERCADORIA!$A$5:$A$22,0)))</f>
        <v/>
      </c>
      <c r="F768" s="23" t="n"/>
      <c r="G768" s="24">
        <f>IF(D768="","",INDEX(VALOR!$B$5:$B$8,MATCH(D768,VALOR!$A$5:$A$8,0)))</f>
        <v/>
      </c>
      <c r="H768" s="15">
        <f>IF(OR(G768="",F768=""),0,F768*G768)</f>
        <v/>
      </c>
      <c r="I768" s="20" t="n"/>
      <c r="J768" s="20" t="n"/>
      <c r="K768" s="24">
        <f>IF(OR(O768=0,J768=""),0,INDEX(MAPA!$C$5:$C$14,MATCH(J768,MAPA!$A$5:$A$14,0)))</f>
        <v/>
      </c>
      <c r="L768" s="25">
        <f>H768+K768</f>
        <v/>
      </c>
      <c r="M768" s="20" t="n"/>
      <c r="N768" s="20" t="n"/>
      <c r="O768" s="14">
        <f>IF(A768="",0,IF(COUNTIF($A$5:A768,A768)=1,1,0))</f>
        <v/>
      </c>
    </row>
    <row r="769">
      <c r="A769" s="20" t="n"/>
      <c r="B769" s="21" t="n"/>
      <c r="C769" s="20" t="n"/>
      <c r="D769" s="22">
        <f>IF(C769="","",INDEX(MERCADORIA!$B$5:$B$22,MATCH(C769,MERCADORIA!$A$5:$A$22,0)))</f>
        <v/>
      </c>
      <c r="E769" s="22">
        <f>IF(C769="","",INDEX(MERCADORIA!$C$5:$C$22,MATCH(C769,MERCADORIA!$A$5:$A$22,0)))</f>
        <v/>
      </c>
      <c r="F769" s="23" t="n"/>
      <c r="G769" s="24">
        <f>IF(D769="","",INDEX(VALOR!$B$5:$B$8,MATCH(D769,VALOR!$A$5:$A$8,0)))</f>
        <v/>
      </c>
      <c r="H769" s="15">
        <f>IF(OR(G769="",F769=""),0,F769*G769)</f>
        <v/>
      </c>
      <c r="I769" s="20" t="n"/>
      <c r="J769" s="20" t="n"/>
      <c r="K769" s="24">
        <f>IF(OR(O769=0,J769=""),0,INDEX(MAPA!$C$5:$C$14,MATCH(J769,MAPA!$A$5:$A$14,0)))</f>
        <v/>
      </c>
      <c r="L769" s="25">
        <f>H769+K769</f>
        <v/>
      </c>
      <c r="M769" s="20" t="n"/>
      <c r="N769" s="20" t="n"/>
      <c r="O769" s="14">
        <f>IF(A769="",0,IF(COUNTIF($A$5:A769,A769)=1,1,0))</f>
        <v/>
      </c>
    </row>
    <row r="770">
      <c r="A770" s="20" t="n"/>
      <c r="B770" s="21" t="n"/>
      <c r="C770" s="20" t="n"/>
      <c r="D770" s="22">
        <f>IF(C770="","",INDEX(MERCADORIA!$B$5:$B$22,MATCH(C770,MERCADORIA!$A$5:$A$22,0)))</f>
        <v/>
      </c>
      <c r="E770" s="22">
        <f>IF(C770="","",INDEX(MERCADORIA!$C$5:$C$22,MATCH(C770,MERCADORIA!$A$5:$A$22,0)))</f>
        <v/>
      </c>
      <c r="F770" s="23" t="n"/>
      <c r="G770" s="24">
        <f>IF(D770="","",INDEX(VALOR!$B$5:$B$8,MATCH(D770,VALOR!$A$5:$A$8,0)))</f>
        <v/>
      </c>
      <c r="H770" s="15">
        <f>IF(OR(G770="",F770=""),0,F770*G770)</f>
        <v/>
      </c>
      <c r="I770" s="20" t="n"/>
      <c r="J770" s="20" t="n"/>
      <c r="K770" s="24">
        <f>IF(OR(O770=0,J770=""),0,INDEX(MAPA!$C$5:$C$14,MATCH(J770,MAPA!$A$5:$A$14,0)))</f>
        <v/>
      </c>
      <c r="L770" s="25">
        <f>H770+K770</f>
        <v/>
      </c>
      <c r="M770" s="20" t="n"/>
      <c r="N770" s="20" t="n"/>
      <c r="O770" s="14">
        <f>IF(A770="",0,IF(COUNTIF($A$5:A770,A770)=1,1,0))</f>
        <v/>
      </c>
    </row>
    <row r="771">
      <c r="A771" s="20" t="n"/>
      <c r="B771" s="21" t="n"/>
      <c r="C771" s="20" t="n"/>
      <c r="D771" s="22">
        <f>IF(C771="","",INDEX(MERCADORIA!$B$5:$B$22,MATCH(C771,MERCADORIA!$A$5:$A$22,0)))</f>
        <v/>
      </c>
      <c r="E771" s="22">
        <f>IF(C771="","",INDEX(MERCADORIA!$C$5:$C$22,MATCH(C771,MERCADORIA!$A$5:$A$22,0)))</f>
        <v/>
      </c>
      <c r="F771" s="23" t="n"/>
      <c r="G771" s="24">
        <f>IF(D771="","",INDEX(VALOR!$B$5:$B$8,MATCH(D771,VALOR!$A$5:$A$8,0)))</f>
        <v/>
      </c>
      <c r="H771" s="15">
        <f>IF(OR(G771="",F771=""),0,F771*G771)</f>
        <v/>
      </c>
      <c r="I771" s="20" t="n"/>
      <c r="J771" s="20" t="n"/>
      <c r="K771" s="24">
        <f>IF(OR(O771=0,J771=""),0,INDEX(MAPA!$C$5:$C$14,MATCH(J771,MAPA!$A$5:$A$14,0)))</f>
        <v/>
      </c>
      <c r="L771" s="25">
        <f>H771+K771</f>
        <v/>
      </c>
      <c r="M771" s="20" t="n"/>
      <c r="N771" s="20" t="n"/>
      <c r="O771" s="14">
        <f>IF(A771="",0,IF(COUNTIF($A$5:A771,A771)=1,1,0))</f>
        <v/>
      </c>
    </row>
    <row r="772">
      <c r="A772" s="20" t="n"/>
      <c r="B772" s="21" t="n"/>
      <c r="C772" s="20" t="n"/>
      <c r="D772" s="22">
        <f>IF(C772="","",INDEX(MERCADORIA!$B$5:$B$22,MATCH(C772,MERCADORIA!$A$5:$A$22,0)))</f>
        <v/>
      </c>
      <c r="E772" s="22">
        <f>IF(C772="","",INDEX(MERCADORIA!$C$5:$C$22,MATCH(C772,MERCADORIA!$A$5:$A$22,0)))</f>
        <v/>
      </c>
      <c r="F772" s="23" t="n"/>
      <c r="G772" s="24">
        <f>IF(D772="","",INDEX(VALOR!$B$5:$B$8,MATCH(D772,VALOR!$A$5:$A$8,0)))</f>
        <v/>
      </c>
      <c r="H772" s="15">
        <f>IF(OR(G772="",F772=""),0,F772*G772)</f>
        <v/>
      </c>
      <c r="I772" s="20" t="n"/>
      <c r="J772" s="20" t="n"/>
      <c r="K772" s="24">
        <f>IF(OR(O772=0,J772=""),0,INDEX(MAPA!$C$5:$C$14,MATCH(J772,MAPA!$A$5:$A$14,0)))</f>
        <v/>
      </c>
      <c r="L772" s="25">
        <f>H772+K772</f>
        <v/>
      </c>
      <c r="M772" s="20" t="n"/>
      <c r="N772" s="20" t="n"/>
      <c r="O772" s="14">
        <f>IF(A772="",0,IF(COUNTIF($A$5:A772,A772)=1,1,0))</f>
        <v/>
      </c>
    </row>
    <row r="773">
      <c r="A773" s="20" t="n"/>
      <c r="B773" s="21" t="n"/>
      <c r="C773" s="20" t="n"/>
      <c r="D773" s="22">
        <f>IF(C773="","",INDEX(MERCADORIA!$B$5:$B$22,MATCH(C773,MERCADORIA!$A$5:$A$22,0)))</f>
        <v/>
      </c>
      <c r="E773" s="22">
        <f>IF(C773="","",INDEX(MERCADORIA!$C$5:$C$22,MATCH(C773,MERCADORIA!$A$5:$A$22,0)))</f>
        <v/>
      </c>
      <c r="F773" s="23" t="n"/>
      <c r="G773" s="24">
        <f>IF(D773="","",INDEX(VALOR!$B$5:$B$8,MATCH(D773,VALOR!$A$5:$A$8,0)))</f>
        <v/>
      </c>
      <c r="H773" s="15">
        <f>IF(OR(G773="",F773=""),0,F773*G773)</f>
        <v/>
      </c>
      <c r="I773" s="20" t="n"/>
      <c r="J773" s="20" t="n"/>
      <c r="K773" s="24">
        <f>IF(OR(O773=0,J773=""),0,INDEX(MAPA!$C$5:$C$14,MATCH(J773,MAPA!$A$5:$A$14,0)))</f>
        <v/>
      </c>
      <c r="L773" s="25">
        <f>H773+K773</f>
        <v/>
      </c>
      <c r="M773" s="20" t="n"/>
      <c r="N773" s="20" t="n"/>
      <c r="O773" s="14">
        <f>IF(A773="",0,IF(COUNTIF($A$5:A773,A773)=1,1,0))</f>
        <v/>
      </c>
    </row>
    <row r="774">
      <c r="A774" s="20" t="n"/>
      <c r="B774" s="21" t="n"/>
      <c r="C774" s="20" t="n"/>
      <c r="D774" s="22">
        <f>IF(C774="","",INDEX(MERCADORIA!$B$5:$B$22,MATCH(C774,MERCADORIA!$A$5:$A$22,0)))</f>
        <v/>
      </c>
      <c r="E774" s="22">
        <f>IF(C774="","",INDEX(MERCADORIA!$C$5:$C$22,MATCH(C774,MERCADORIA!$A$5:$A$22,0)))</f>
        <v/>
      </c>
      <c r="F774" s="23" t="n"/>
      <c r="G774" s="24">
        <f>IF(D774="","",INDEX(VALOR!$B$5:$B$8,MATCH(D774,VALOR!$A$5:$A$8,0)))</f>
        <v/>
      </c>
      <c r="H774" s="15">
        <f>IF(OR(G774="",F774=""),0,F774*G774)</f>
        <v/>
      </c>
      <c r="I774" s="20" t="n"/>
      <c r="J774" s="20" t="n"/>
      <c r="K774" s="24">
        <f>IF(OR(O774=0,J774=""),0,INDEX(MAPA!$C$5:$C$14,MATCH(J774,MAPA!$A$5:$A$14,0)))</f>
        <v/>
      </c>
      <c r="L774" s="25">
        <f>H774+K774</f>
        <v/>
      </c>
      <c r="M774" s="20" t="n"/>
      <c r="N774" s="20" t="n"/>
      <c r="O774" s="14">
        <f>IF(A774="",0,IF(COUNTIF($A$5:A774,A774)=1,1,0))</f>
        <v/>
      </c>
    </row>
    <row r="775">
      <c r="A775" s="20" t="n"/>
      <c r="B775" s="21" t="n"/>
      <c r="C775" s="20" t="n"/>
      <c r="D775" s="22">
        <f>IF(C775="","",INDEX(MERCADORIA!$B$5:$B$22,MATCH(C775,MERCADORIA!$A$5:$A$22,0)))</f>
        <v/>
      </c>
      <c r="E775" s="22">
        <f>IF(C775="","",INDEX(MERCADORIA!$C$5:$C$22,MATCH(C775,MERCADORIA!$A$5:$A$22,0)))</f>
        <v/>
      </c>
      <c r="F775" s="23" t="n"/>
      <c r="G775" s="24">
        <f>IF(D775="","",INDEX(VALOR!$B$5:$B$8,MATCH(D775,VALOR!$A$5:$A$8,0)))</f>
        <v/>
      </c>
      <c r="H775" s="15">
        <f>IF(OR(G775="",F775=""),0,F775*G775)</f>
        <v/>
      </c>
      <c r="I775" s="20" t="n"/>
      <c r="J775" s="20" t="n"/>
      <c r="K775" s="24">
        <f>IF(OR(O775=0,J775=""),0,INDEX(MAPA!$C$5:$C$14,MATCH(J775,MAPA!$A$5:$A$14,0)))</f>
        <v/>
      </c>
      <c r="L775" s="25">
        <f>H775+K775</f>
        <v/>
      </c>
      <c r="M775" s="20" t="n"/>
      <c r="N775" s="20" t="n"/>
      <c r="O775" s="14">
        <f>IF(A775="",0,IF(COUNTIF($A$5:A775,A775)=1,1,0))</f>
        <v/>
      </c>
    </row>
    <row r="776">
      <c r="A776" s="20" t="n"/>
      <c r="B776" s="21" t="n"/>
      <c r="C776" s="20" t="n"/>
      <c r="D776" s="22">
        <f>IF(C776="","",INDEX(MERCADORIA!$B$5:$B$22,MATCH(C776,MERCADORIA!$A$5:$A$22,0)))</f>
        <v/>
      </c>
      <c r="E776" s="22">
        <f>IF(C776="","",INDEX(MERCADORIA!$C$5:$C$22,MATCH(C776,MERCADORIA!$A$5:$A$22,0)))</f>
        <v/>
      </c>
      <c r="F776" s="23" t="n"/>
      <c r="G776" s="24">
        <f>IF(D776="","",INDEX(VALOR!$B$5:$B$8,MATCH(D776,VALOR!$A$5:$A$8,0)))</f>
        <v/>
      </c>
      <c r="H776" s="15">
        <f>IF(OR(G776="",F776=""),0,F776*G776)</f>
        <v/>
      </c>
      <c r="I776" s="20" t="n"/>
      <c r="J776" s="20" t="n"/>
      <c r="K776" s="24">
        <f>IF(OR(O776=0,J776=""),0,INDEX(MAPA!$C$5:$C$14,MATCH(J776,MAPA!$A$5:$A$14,0)))</f>
        <v/>
      </c>
      <c r="L776" s="25">
        <f>H776+K776</f>
        <v/>
      </c>
      <c r="M776" s="20" t="n"/>
      <c r="N776" s="20" t="n"/>
      <c r="O776" s="14">
        <f>IF(A776="",0,IF(COUNTIF($A$5:A776,A776)=1,1,0))</f>
        <v/>
      </c>
    </row>
    <row r="777">
      <c r="A777" s="20" t="n"/>
      <c r="B777" s="21" t="n"/>
      <c r="C777" s="20" t="n"/>
      <c r="D777" s="22">
        <f>IF(C777="","",INDEX(MERCADORIA!$B$5:$B$22,MATCH(C777,MERCADORIA!$A$5:$A$22,0)))</f>
        <v/>
      </c>
      <c r="E777" s="22">
        <f>IF(C777="","",INDEX(MERCADORIA!$C$5:$C$22,MATCH(C777,MERCADORIA!$A$5:$A$22,0)))</f>
        <v/>
      </c>
      <c r="F777" s="23" t="n"/>
      <c r="G777" s="24">
        <f>IF(D777="","",INDEX(VALOR!$B$5:$B$8,MATCH(D777,VALOR!$A$5:$A$8,0)))</f>
        <v/>
      </c>
      <c r="H777" s="15">
        <f>IF(OR(G777="",F777=""),0,F777*G777)</f>
        <v/>
      </c>
      <c r="I777" s="20" t="n"/>
      <c r="J777" s="20" t="n"/>
      <c r="K777" s="24">
        <f>IF(OR(O777=0,J777=""),0,INDEX(MAPA!$C$5:$C$14,MATCH(J777,MAPA!$A$5:$A$14,0)))</f>
        <v/>
      </c>
      <c r="L777" s="25">
        <f>H777+K777</f>
        <v/>
      </c>
      <c r="M777" s="20" t="n"/>
      <c r="N777" s="20" t="n"/>
      <c r="O777" s="14">
        <f>IF(A777="",0,IF(COUNTIF($A$5:A777,A777)=1,1,0))</f>
        <v/>
      </c>
    </row>
    <row r="778">
      <c r="A778" s="20" t="n"/>
      <c r="B778" s="21" t="n"/>
      <c r="C778" s="20" t="n"/>
      <c r="D778" s="22">
        <f>IF(C778="","",INDEX(MERCADORIA!$B$5:$B$22,MATCH(C778,MERCADORIA!$A$5:$A$22,0)))</f>
        <v/>
      </c>
      <c r="E778" s="22">
        <f>IF(C778="","",INDEX(MERCADORIA!$C$5:$C$22,MATCH(C778,MERCADORIA!$A$5:$A$22,0)))</f>
        <v/>
      </c>
      <c r="F778" s="23" t="n"/>
      <c r="G778" s="24">
        <f>IF(D778="","",INDEX(VALOR!$B$5:$B$8,MATCH(D778,VALOR!$A$5:$A$8,0)))</f>
        <v/>
      </c>
      <c r="H778" s="15">
        <f>IF(OR(G778="",F778=""),0,F778*G778)</f>
        <v/>
      </c>
      <c r="I778" s="20" t="n"/>
      <c r="J778" s="20" t="n"/>
      <c r="K778" s="24">
        <f>IF(OR(O778=0,J778=""),0,INDEX(MAPA!$C$5:$C$14,MATCH(J778,MAPA!$A$5:$A$14,0)))</f>
        <v/>
      </c>
      <c r="L778" s="25">
        <f>H778+K778</f>
        <v/>
      </c>
      <c r="M778" s="20" t="n"/>
      <c r="N778" s="20" t="n"/>
      <c r="O778" s="14">
        <f>IF(A778="",0,IF(COUNTIF($A$5:A778,A778)=1,1,0))</f>
        <v/>
      </c>
    </row>
    <row r="779">
      <c r="A779" s="20" t="n"/>
      <c r="B779" s="21" t="n"/>
      <c r="C779" s="20" t="n"/>
      <c r="D779" s="22">
        <f>IF(C779="","",INDEX(MERCADORIA!$B$5:$B$22,MATCH(C779,MERCADORIA!$A$5:$A$22,0)))</f>
        <v/>
      </c>
      <c r="E779" s="22">
        <f>IF(C779="","",INDEX(MERCADORIA!$C$5:$C$22,MATCH(C779,MERCADORIA!$A$5:$A$22,0)))</f>
        <v/>
      </c>
      <c r="F779" s="23" t="n"/>
      <c r="G779" s="24">
        <f>IF(D779="","",INDEX(VALOR!$B$5:$B$8,MATCH(D779,VALOR!$A$5:$A$8,0)))</f>
        <v/>
      </c>
      <c r="H779" s="15">
        <f>IF(OR(G779="",F779=""),0,F779*G779)</f>
        <v/>
      </c>
      <c r="I779" s="20" t="n"/>
      <c r="J779" s="20" t="n"/>
      <c r="K779" s="24">
        <f>IF(OR(O779=0,J779=""),0,INDEX(MAPA!$C$5:$C$14,MATCH(J779,MAPA!$A$5:$A$14,0)))</f>
        <v/>
      </c>
      <c r="L779" s="25">
        <f>H779+K779</f>
        <v/>
      </c>
      <c r="M779" s="20" t="n"/>
      <c r="N779" s="20" t="n"/>
      <c r="O779" s="14">
        <f>IF(A779="",0,IF(COUNTIF($A$5:A779,A779)=1,1,0))</f>
        <v/>
      </c>
    </row>
    <row r="780">
      <c r="A780" s="20" t="n"/>
      <c r="B780" s="21" t="n"/>
      <c r="C780" s="20" t="n"/>
      <c r="D780" s="22">
        <f>IF(C780="","",INDEX(MERCADORIA!$B$5:$B$22,MATCH(C780,MERCADORIA!$A$5:$A$22,0)))</f>
        <v/>
      </c>
      <c r="E780" s="22">
        <f>IF(C780="","",INDEX(MERCADORIA!$C$5:$C$22,MATCH(C780,MERCADORIA!$A$5:$A$22,0)))</f>
        <v/>
      </c>
      <c r="F780" s="23" t="n"/>
      <c r="G780" s="24">
        <f>IF(D780="","",INDEX(VALOR!$B$5:$B$8,MATCH(D780,VALOR!$A$5:$A$8,0)))</f>
        <v/>
      </c>
      <c r="H780" s="15">
        <f>IF(OR(G780="",F780=""),0,F780*G780)</f>
        <v/>
      </c>
      <c r="I780" s="20" t="n"/>
      <c r="J780" s="20" t="n"/>
      <c r="K780" s="24">
        <f>IF(OR(O780=0,J780=""),0,INDEX(MAPA!$C$5:$C$14,MATCH(J780,MAPA!$A$5:$A$14,0)))</f>
        <v/>
      </c>
      <c r="L780" s="25">
        <f>H780+K780</f>
        <v/>
      </c>
      <c r="M780" s="20" t="n"/>
      <c r="N780" s="20" t="n"/>
      <c r="O780" s="14">
        <f>IF(A780="",0,IF(COUNTIF($A$5:A780,A780)=1,1,0))</f>
        <v/>
      </c>
    </row>
    <row r="781">
      <c r="A781" s="20" t="n"/>
      <c r="B781" s="21" t="n"/>
      <c r="C781" s="20" t="n"/>
      <c r="D781" s="22">
        <f>IF(C781="","",INDEX(MERCADORIA!$B$5:$B$22,MATCH(C781,MERCADORIA!$A$5:$A$22,0)))</f>
        <v/>
      </c>
      <c r="E781" s="22">
        <f>IF(C781="","",INDEX(MERCADORIA!$C$5:$C$22,MATCH(C781,MERCADORIA!$A$5:$A$22,0)))</f>
        <v/>
      </c>
      <c r="F781" s="23" t="n"/>
      <c r="G781" s="24">
        <f>IF(D781="","",INDEX(VALOR!$B$5:$B$8,MATCH(D781,VALOR!$A$5:$A$8,0)))</f>
        <v/>
      </c>
      <c r="H781" s="15">
        <f>IF(OR(G781="",F781=""),0,F781*G781)</f>
        <v/>
      </c>
      <c r="I781" s="20" t="n"/>
      <c r="J781" s="20" t="n"/>
      <c r="K781" s="24">
        <f>IF(OR(O781=0,J781=""),0,INDEX(MAPA!$C$5:$C$14,MATCH(J781,MAPA!$A$5:$A$14,0)))</f>
        <v/>
      </c>
      <c r="L781" s="25">
        <f>H781+K781</f>
        <v/>
      </c>
      <c r="M781" s="20" t="n"/>
      <c r="N781" s="20" t="n"/>
      <c r="O781" s="14">
        <f>IF(A781="",0,IF(COUNTIF($A$5:A781,A781)=1,1,0))</f>
        <v/>
      </c>
    </row>
    <row r="782">
      <c r="A782" s="20" t="n"/>
      <c r="B782" s="21" t="n"/>
      <c r="C782" s="20" t="n"/>
      <c r="D782" s="22">
        <f>IF(C782="","",INDEX(MERCADORIA!$B$5:$B$22,MATCH(C782,MERCADORIA!$A$5:$A$22,0)))</f>
        <v/>
      </c>
      <c r="E782" s="22">
        <f>IF(C782="","",INDEX(MERCADORIA!$C$5:$C$22,MATCH(C782,MERCADORIA!$A$5:$A$22,0)))</f>
        <v/>
      </c>
      <c r="F782" s="23" t="n"/>
      <c r="G782" s="24">
        <f>IF(D782="","",INDEX(VALOR!$B$5:$B$8,MATCH(D782,VALOR!$A$5:$A$8,0)))</f>
        <v/>
      </c>
      <c r="H782" s="15">
        <f>IF(OR(G782="",F782=""),0,F782*G782)</f>
        <v/>
      </c>
      <c r="I782" s="20" t="n"/>
      <c r="J782" s="20" t="n"/>
      <c r="K782" s="24">
        <f>IF(OR(O782=0,J782=""),0,INDEX(MAPA!$C$5:$C$14,MATCH(J782,MAPA!$A$5:$A$14,0)))</f>
        <v/>
      </c>
      <c r="L782" s="25">
        <f>H782+K782</f>
        <v/>
      </c>
      <c r="M782" s="20" t="n"/>
      <c r="N782" s="20" t="n"/>
      <c r="O782" s="14">
        <f>IF(A782="",0,IF(COUNTIF($A$5:A782,A782)=1,1,0))</f>
        <v/>
      </c>
    </row>
    <row r="783">
      <c r="A783" s="20" t="n"/>
      <c r="B783" s="21" t="n"/>
      <c r="C783" s="20" t="n"/>
      <c r="D783" s="22">
        <f>IF(C783="","",INDEX(MERCADORIA!$B$5:$B$22,MATCH(C783,MERCADORIA!$A$5:$A$22,0)))</f>
        <v/>
      </c>
      <c r="E783" s="22">
        <f>IF(C783="","",INDEX(MERCADORIA!$C$5:$C$22,MATCH(C783,MERCADORIA!$A$5:$A$22,0)))</f>
        <v/>
      </c>
      <c r="F783" s="23" t="n"/>
      <c r="G783" s="24">
        <f>IF(D783="","",INDEX(VALOR!$B$5:$B$8,MATCH(D783,VALOR!$A$5:$A$8,0)))</f>
        <v/>
      </c>
      <c r="H783" s="15">
        <f>IF(OR(G783="",F783=""),0,F783*G783)</f>
        <v/>
      </c>
      <c r="I783" s="20" t="n"/>
      <c r="J783" s="20" t="n"/>
      <c r="K783" s="24">
        <f>IF(OR(O783=0,J783=""),0,INDEX(MAPA!$C$5:$C$14,MATCH(J783,MAPA!$A$5:$A$14,0)))</f>
        <v/>
      </c>
      <c r="L783" s="25">
        <f>H783+K783</f>
        <v/>
      </c>
      <c r="M783" s="20" t="n"/>
      <c r="N783" s="20" t="n"/>
      <c r="O783" s="14">
        <f>IF(A783="",0,IF(COUNTIF($A$5:A783,A783)=1,1,0))</f>
        <v/>
      </c>
    </row>
    <row r="784">
      <c r="A784" s="20" t="n"/>
      <c r="B784" s="21" t="n"/>
      <c r="C784" s="20" t="n"/>
      <c r="D784" s="22">
        <f>IF(C784="","",INDEX(MERCADORIA!$B$5:$B$22,MATCH(C784,MERCADORIA!$A$5:$A$22,0)))</f>
        <v/>
      </c>
      <c r="E784" s="22">
        <f>IF(C784="","",INDEX(MERCADORIA!$C$5:$C$22,MATCH(C784,MERCADORIA!$A$5:$A$22,0)))</f>
        <v/>
      </c>
      <c r="F784" s="23" t="n"/>
      <c r="G784" s="24">
        <f>IF(D784="","",INDEX(VALOR!$B$5:$B$8,MATCH(D784,VALOR!$A$5:$A$8,0)))</f>
        <v/>
      </c>
      <c r="H784" s="15">
        <f>IF(OR(G784="",F784=""),0,F784*G784)</f>
        <v/>
      </c>
      <c r="I784" s="20" t="n"/>
      <c r="J784" s="20" t="n"/>
      <c r="K784" s="24">
        <f>IF(OR(O784=0,J784=""),0,INDEX(MAPA!$C$5:$C$14,MATCH(J784,MAPA!$A$5:$A$14,0)))</f>
        <v/>
      </c>
      <c r="L784" s="25">
        <f>H784+K784</f>
        <v/>
      </c>
      <c r="M784" s="20" t="n"/>
      <c r="N784" s="20" t="n"/>
      <c r="O784" s="14">
        <f>IF(A784="",0,IF(COUNTIF($A$5:A784,A784)=1,1,0))</f>
        <v/>
      </c>
    </row>
    <row r="785">
      <c r="A785" s="20" t="n"/>
      <c r="B785" s="21" t="n"/>
      <c r="C785" s="20" t="n"/>
      <c r="D785" s="22">
        <f>IF(C785="","",INDEX(MERCADORIA!$B$5:$B$22,MATCH(C785,MERCADORIA!$A$5:$A$22,0)))</f>
        <v/>
      </c>
      <c r="E785" s="22">
        <f>IF(C785="","",INDEX(MERCADORIA!$C$5:$C$22,MATCH(C785,MERCADORIA!$A$5:$A$22,0)))</f>
        <v/>
      </c>
      <c r="F785" s="23" t="n"/>
      <c r="G785" s="24">
        <f>IF(D785="","",INDEX(VALOR!$B$5:$B$8,MATCH(D785,VALOR!$A$5:$A$8,0)))</f>
        <v/>
      </c>
      <c r="H785" s="15">
        <f>IF(OR(G785="",F785=""),0,F785*G785)</f>
        <v/>
      </c>
      <c r="I785" s="20" t="n"/>
      <c r="J785" s="20" t="n"/>
      <c r="K785" s="24">
        <f>IF(OR(O785=0,J785=""),0,INDEX(MAPA!$C$5:$C$14,MATCH(J785,MAPA!$A$5:$A$14,0)))</f>
        <v/>
      </c>
      <c r="L785" s="25">
        <f>H785+K785</f>
        <v/>
      </c>
      <c r="M785" s="20" t="n"/>
      <c r="N785" s="20" t="n"/>
      <c r="O785" s="14">
        <f>IF(A785="",0,IF(COUNTIF($A$5:A785,A785)=1,1,0))</f>
        <v/>
      </c>
    </row>
    <row r="786">
      <c r="A786" s="20" t="n"/>
      <c r="B786" s="21" t="n"/>
      <c r="C786" s="20" t="n"/>
      <c r="D786" s="22">
        <f>IF(C786="","",INDEX(MERCADORIA!$B$5:$B$22,MATCH(C786,MERCADORIA!$A$5:$A$22,0)))</f>
        <v/>
      </c>
      <c r="E786" s="22">
        <f>IF(C786="","",INDEX(MERCADORIA!$C$5:$C$22,MATCH(C786,MERCADORIA!$A$5:$A$22,0)))</f>
        <v/>
      </c>
      <c r="F786" s="23" t="n"/>
      <c r="G786" s="24">
        <f>IF(D786="","",INDEX(VALOR!$B$5:$B$8,MATCH(D786,VALOR!$A$5:$A$8,0)))</f>
        <v/>
      </c>
      <c r="H786" s="15">
        <f>IF(OR(G786="",F786=""),0,F786*G786)</f>
        <v/>
      </c>
      <c r="I786" s="20" t="n"/>
      <c r="J786" s="20" t="n"/>
      <c r="K786" s="24">
        <f>IF(OR(O786=0,J786=""),0,INDEX(MAPA!$C$5:$C$14,MATCH(J786,MAPA!$A$5:$A$14,0)))</f>
        <v/>
      </c>
      <c r="L786" s="25">
        <f>H786+K786</f>
        <v/>
      </c>
      <c r="M786" s="20" t="n"/>
      <c r="N786" s="20" t="n"/>
      <c r="O786" s="14">
        <f>IF(A786="",0,IF(COUNTIF($A$5:A786,A786)=1,1,0))</f>
        <v/>
      </c>
    </row>
    <row r="787">
      <c r="A787" s="20" t="n"/>
      <c r="B787" s="21" t="n"/>
      <c r="C787" s="20" t="n"/>
      <c r="D787" s="22">
        <f>IF(C787="","",INDEX(MERCADORIA!$B$5:$B$22,MATCH(C787,MERCADORIA!$A$5:$A$22,0)))</f>
        <v/>
      </c>
      <c r="E787" s="22">
        <f>IF(C787="","",INDEX(MERCADORIA!$C$5:$C$22,MATCH(C787,MERCADORIA!$A$5:$A$22,0)))</f>
        <v/>
      </c>
      <c r="F787" s="23" t="n"/>
      <c r="G787" s="24">
        <f>IF(D787="","",INDEX(VALOR!$B$5:$B$8,MATCH(D787,VALOR!$A$5:$A$8,0)))</f>
        <v/>
      </c>
      <c r="H787" s="15">
        <f>IF(OR(G787="",F787=""),0,F787*G787)</f>
        <v/>
      </c>
      <c r="I787" s="20" t="n"/>
      <c r="J787" s="20" t="n"/>
      <c r="K787" s="24">
        <f>IF(OR(O787=0,J787=""),0,INDEX(MAPA!$C$5:$C$14,MATCH(J787,MAPA!$A$5:$A$14,0)))</f>
        <v/>
      </c>
      <c r="L787" s="25">
        <f>H787+K787</f>
        <v/>
      </c>
      <c r="M787" s="20" t="n"/>
      <c r="N787" s="20" t="n"/>
      <c r="O787" s="14">
        <f>IF(A787="",0,IF(COUNTIF($A$5:A787,A787)=1,1,0))</f>
        <v/>
      </c>
    </row>
    <row r="788">
      <c r="A788" s="20" t="n"/>
      <c r="B788" s="21" t="n"/>
      <c r="C788" s="20" t="n"/>
      <c r="D788" s="22">
        <f>IF(C788="","",INDEX(MERCADORIA!$B$5:$B$22,MATCH(C788,MERCADORIA!$A$5:$A$22,0)))</f>
        <v/>
      </c>
      <c r="E788" s="22">
        <f>IF(C788="","",INDEX(MERCADORIA!$C$5:$C$22,MATCH(C788,MERCADORIA!$A$5:$A$22,0)))</f>
        <v/>
      </c>
      <c r="F788" s="23" t="n"/>
      <c r="G788" s="24">
        <f>IF(D788="","",INDEX(VALOR!$B$5:$B$8,MATCH(D788,VALOR!$A$5:$A$8,0)))</f>
        <v/>
      </c>
      <c r="H788" s="15">
        <f>IF(OR(G788="",F788=""),0,F788*G788)</f>
        <v/>
      </c>
      <c r="I788" s="20" t="n"/>
      <c r="J788" s="20" t="n"/>
      <c r="K788" s="24">
        <f>IF(OR(O788=0,J788=""),0,INDEX(MAPA!$C$5:$C$14,MATCH(J788,MAPA!$A$5:$A$14,0)))</f>
        <v/>
      </c>
      <c r="L788" s="25">
        <f>H788+K788</f>
        <v/>
      </c>
      <c r="M788" s="20" t="n"/>
      <c r="N788" s="20" t="n"/>
      <c r="O788" s="14">
        <f>IF(A788="",0,IF(COUNTIF($A$5:A788,A788)=1,1,0))</f>
        <v/>
      </c>
    </row>
    <row r="789">
      <c r="A789" s="20" t="n"/>
      <c r="B789" s="21" t="n"/>
      <c r="C789" s="20" t="n"/>
      <c r="D789" s="22">
        <f>IF(C789="","",INDEX(MERCADORIA!$B$5:$B$22,MATCH(C789,MERCADORIA!$A$5:$A$22,0)))</f>
        <v/>
      </c>
      <c r="E789" s="22">
        <f>IF(C789="","",INDEX(MERCADORIA!$C$5:$C$22,MATCH(C789,MERCADORIA!$A$5:$A$22,0)))</f>
        <v/>
      </c>
      <c r="F789" s="23" t="n"/>
      <c r="G789" s="24">
        <f>IF(D789="","",INDEX(VALOR!$B$5:$B$8,MATCH(D789,VALOR!$A$5:$A$8,0)))</f>
        <v/>
      </c>
      <c r="H789" s="15">
        <f>IF(OR(G789="",F789=""),0,F789*G789)</f>
        <v/>
      </c>
      <c r="I789" s="20" t="n"/>
      <c r="J789" s="20" t="n"/>
      <c r="K789" s="24">
        <f>IF(OR(O789=0,J789=""),0,INDEX(MAPA!$C$5:$C$14,MATCH(J789,MAPA!$A$5:$A$14,0)))</f>
        <v/>
      </c>
      <c r="L789" s="25">
        <f>H789+K789</f>
        <v/>
      </c>
      <c r="M789" s="20" t="n"/>
      <c r="N789" s="20" t="n"/>
      <c r="O789" s="14">
        <f>IF(A789="",0,IF(COUNTIF($A$5:A789,A789)=1,1,0))</f>
        <v/>
      </c>
    </row>
    <row r="790">
      <c r="A790" s="20" t="n"/>
      <c r="B790" s="21" t="n"/>
      <c r="C790" s="20" t="n"/>
      <c r="D790" s="22">
        <f>IF(C790="","",INDEX(MERCADORIA!$B$5:$B$22,MATCH(C790,MERCADORIA!$A$5:$A$22,0)))</f>
        <v/>
      </c>
      <c r="E790" s="22">
        <f>IF(C790="","",INDEX(MERCADORIA!$C$5:$C$22,MATCH(C790,MERCADORIA!$A$5:$A$22,0)))</f>
        <v/>
      </c>
      <c r="F790" s="23" t="n"/>
      <c r="G790" s="24">
        <f>IF(D790="","",INDEX(VALOR!$B$5:$B$8,MATCH(D790,VALOR!$A$5:$A$8,0)))</f>
        <v/>
      </c>
      <c r="H790" s="15">
        <f>IF(OR(G790="",F790=""),0,F790*G790)</f>
        <v/>
      </c>
      <c r="I790" s="20" t="n"/>
      <c r="J790" s="20" t="n"/>
      <c r="K790" s="24">
        <f>IF(OR(O790=0,J790=""),0,INDEX(MAPA!$C$5:$C$14,MATCH(J790,MAPA!$A$5:$A$14,0)))</f>
        <v/>
      </c>
      <c r="L790" s="25">
        <f>H790+K790</f>
        <v/>
      </c>
      <c r="M790" s="20" t="n"/>
      <c r="N790" s="20" t="n"/>
      <c r="O790" s="14">
        <f>IF(A790="",0,IF(COUNTIF($A$5:A790,A790)=1,1,0))</f>
        <v/>
      </c>
    </row>
    <row r="791">
      <c r="A791" s="20" t="n"/>
      <c r="B791" s="21" t="n"/>
      <c r="C791" s="20" t="n"/>
      <c r="D791" s="22">
        <f>IF(C791="","",INDEX(MERCADORIA!$B$5:$B$22,MATCH(C791,MERCADORIA!$A$5:$A$22,0)))</f>
        <v/>
      </c>
      <c r="E791" s="22">
        <f>IF(C791="","",INDEX(MERCADORIA!$C$5:$C$22,MATCH(C791,MERCADORIA!$A$5:$A$22,0)))</f>
        <v/>
      </c>
      <c r="F791" s="23" t="n"/>
      <c r="G791" s="24">
        <f>IF(D791="","",INDEX(VALOR!$B$5:$B$8,MATCH(D791,VALOR!$A$5:$A$8,0)))</f>
        <v/>
      </c>
      <c r="H791" s="15">
        <f>IF(OR(G791="",F791=""),0,F791*G791)</f>
        <v/>
      </c>
      <c r="I791" s="20" t="n"/>
      <c r="J791" s="20" t="n"/>
      <c r="K791" s="24">
        <f>IF(OR(O791=0,J791=""),0,INDEX(MAPA!$C$5:$C$14,MATCH(J791,MAPA!$A$5:$A$14,0)))</f>
        <v/>
      </c>
      <c r="L791" s="25">
        <f>H791+K791</f>
        <v/>
      </c>
      <c r="M791" s="20" t="n"/>
      <c r="N791" s="20" t="n"/>
      <c r="O791" s="14">
        <f>IF(A791="",0,IF(COUNTIF($A$5:A791,A791)=1,1,0))</f>
        <v/>
      </c>
    </row>
    <row r="792">
      <c r="A792" s="20" t="n"/>
      <c r="B792" s="21" t="n"/>
      <c r="C792" s="20" t="n"/>
      <c r="D792" s="22">
        <f>IF(C792="","",INDEX(MERCADORIA!$B$5:$B$22,MATCH(C792,MERCADORIA!$A$5:$A$22,0)))</f>
        <v/>
      </c>
      <c r="E792" s="22">
        <f>IF(C792="","",INDEX(MERCADORIA!$C$5:$C$22,MATCH(C792,MERCADORIA!$A$5:$A$22,0)))</f>
        <v/>
      </c>
      <c r="F792" s="23" t="n"/>
      <c r="G792" s="24">
        <f>IF(D792="","",INDEX(VALOR!$B$5:$B$8,MATCH(D792,VALOR!$A$5:$A$8,0)))</f>
        <v/>
      </c>
      <c r="H792" s="15">
        <f>IF(OR(G792="",F792=""),0,F792*G792)</f>
        <v/>
      </c>
      <c r="I792" s="20" t="n"/>
      <c r="J792" s="20" t="n"/>
      <c r="K792" s="24">
        <f>IF(OR(O792=0,J792=""),0,INDEX(MAPA!$C$5:$C$14,MATCH(J792,MAPA!$A$5:$A$14,0)))</f>
        <v/>
      </c>
      <c r="L792" s="25">
        <f>H792+K792</f>
        <v/>
      </c>
      <c r="M792" s="20" t="n"/>
      <c r="N792" s="20" t="n"/>
      <c r="O792" s="14">
        <f>IF(A792="",0,IF(COUNTIF($A$5:A792,A792)=1,1,0))</f>
        <v/>
      </c>
    </row>
    <row r="793">
      <c r="A793" s="20" t="n"/>
      <c r="B793" s="21" t="n"/>
      <c r="C793" s="20" t="n"/>
      <c r="D793" s="22">
        <f>IF(C793="","",INDEX(MERCADORIA!$B$5:$B$22,MATCH(C793,MERCADORIA!$A$5:$A$22,0)))</f>
        <v/>
      </c>
      <c r="E793" s="22">
        <f>IF(C793="","",INDEX(MERCADORIA!$C$5:$C$22,MATCH(C793,MERCADORIA!$A$5:$A$22,0)))</f>
        <v/>
      </c>
      <c r="F793" s="23" t="n"/>
      <c r="G793" s="24">
        <f>IF(D793="","",INDEX(VALOR!$B$5:$B$8,MATCH(D793,VALOR!$A$5:$A$8,0)))</f>
        <v/>
      </c>
      <c r="H793" s="15">
        <f>IF(OR(G793="",F793=""),0,F793*G793)</f>
        <v/>
      </c>
      <c r="I793" s="20" t="n"/>
      <c r="J793" s="20" t="n"/>
      <c r="K793" s="24">
        <f>IF(OR(O793=0,J793=""),0,INDEX(MAPA!$C$5:$C$14,MATCH(J793,MAPA!$A$5:$A$14,0)))</f>
        <v/>
      </c>
      <c r="L793" s="25">
        <f>H793+K793</f>
        <v/>
      </c>
      <c r="M793" s="20" t="n"/>
      <c r="N793" s="20" t="n"/>
      <c r="O793" s="14">
        <f>IF(A793="",0,IF(COUNTIF($A$5:A793,A793)=1,1,0))</f>
        <v/>
      </c>
    </row>
    <row r="794">
      <c r="A794" s="20" t="n"/>
      <c r="B794" s="21" t="n"/>
      <c r="C794" s="20" t="n"/>
      <c r="D794" s="22">
        <f>IF(C794="","",INDEX(MERCADORIA!$B$5:$B$22,MATCH(C794,MERCADORIA!$A$5:$A$22,0)))</f>
        <v/>
      </c>
      <c r="E794" s="22">
        <f>IF(C794="","",INDEX(MERCADORIA!$C$5:$C$22,MATCH(C794,MERCADORIA!$A$5:$A$22,0)))</f>
        <v/>
      </c>
      <c r="F794" s="23" t="n"/>
      <c r="G794" s="24">
        <f>IF(D794="","",INDEX(VALOR!$B$5:$B$8,MATCH(D794,VALOR!$A$5:$A$8,0)))</f>
        <v/>
      </c>
      <c r="H794" s="15">
        <f>IF(OR(G794="",F794=""),0,F794*G794)</f>
        <v/>
      </c>
      <c r="I794" s="20" t="n"/>
      <c r="J794" s="20" t="n"/>
      <c r="K794" s="24">
        <f>IF(OR(O794=0,J794=""),0,INDEX(MAPA!$C$5:$C$14,MATCH(J794,MAPA!$A$5:$A$14,0)))</f>
        <v/>
      </c>
      <c r="L794" s="25">
        <f>H794+K794</f>
        <v/>
      </c>
      <c r="M794" s="20" t="n"/>
      <c r="N794" s="20" t="n"/>
      <c r="O794" s="14">
        <f>IF(A794="",0,IF(COUNTIF($A$5:A794,A794)=1,1,0))</f>
        <v/>
      </c>
    </row>
    <row r="795">
      <c r="A795" s="20" t="n"/>
      <c r="B795" s="21" t="n"/>
      <c r="C795" s="20" t="n"/>
      <c r="D795" s="22">
        <f>IF(C795="","",INDEX(MERCADORIA!$B$5:$B$22,MATCH(C795,MERCADORIA!$A$5:$A$22,0)))</f>
        <v/>
      </c>
      <c r="E795" s="22">
        <f>IF(C795="","",INDEX(MERCADORIA!$C$5:$C$22,MATCH(C795,MERCADORIA!$A$5:$A$22,0)))</f>
        <v/>
      </c>
      <c r="F795" s="23" t="n"/>
      <c r="G795" s="24">
        <f>IF(D795="","",INDEX(VALOR!$B$5:$B$8,MATCH(D795,VALOR!$A$5:$A$8,0)))</f>
        <v/>
      </c>
      <c r="H795" s="15">
        <f>IF(OR(G795="",F795=""),0,F795*G795)</f>
        <v/>
      </c>
      <c r="I795" s="20" t="n"/>
      <c r="J795" s="20" t="n"/>
      <c r="K795" s="24">
        <f>IF(OR(O795=0,J795=""),0,INDEX(MAPA!$C$5:$C$14,MATCH(J795,MAPA!$A$5:$A$14,0)))</f>
        <v/>
      </c>
      <c r="L795" s="25">
        <f>H795+K795</f>
        <v/>
      </c>
      <c r="M795" s="20" t="n"/>
      <c r="N795" s="20" t="n"/>
      <c r="O795" s="14">
        <f>IF(A795="",0,IF(COUNTIF($A$5:A795,A795)=1,1,0))</f>
        <v/>
      </c>
    </row>
    <row r="796">
      <c r="A796" s="20" t="n"/>
      <c r="B796" s="21" t="n"/>
      <c r="C796" s="20" t="n"/>
      <c r="D796" s="22">
        <f>IF(C796="","",INDEX(MERCADORIA!$B$5:$B$22,MATCH(C796,MERCADORIA!$A$5:$A$22,0)))</f>
        <v/>
      </c>
      <c r="E796" s="22">
        <f>IF(C796="","",INDEX(MERCADORIA!$C$5:$C$22,MATCH(C796,MERCADORIA!$A$5:$A$22,0)))</f>
        <v/>
      </c>
      <c r="F796" s="23" t="n"/>
      <c r="G796" s="24">
        <f>IF(D796="","",INDEX(VALOR!$B$5:$B$8,MATCH(D796,VALOR!$A$5:$A$8,0)))</f>
        <v/>
      </c>
      <c r="H796" s="15">
        <f>IF(OR(G796="",F796=""),0,F796*G796)</f>
        <v/>
      </c>
      <c r="I796" s="20" t="n"/>
      <c r="J796" s="20" t="n"/>
      <c r="K796" s="24">
        <f>IF(OR(O796=0,J796=""),0,INDEX(MAPA!$C$5:$C$14,MATCH(J796,MAPA!$A$5:$A$14,0)))</f>
        <v/>
      </c>
      <c r="L796" s="25">
        <f>H796+K796</f>
        <v/>
      </c>
      <c r="M796" s="20" t="n"/>
      <c r="N796" s="20" t="n"/>
      <c r="O796" s="14">
        <f>IF(A796="",0,IF(COUNTIF($A$5:A796,A796)=1,1,0))</f>
        <v/>
      </c>
    </row>
    <row r="797">
      <c r="A797" s="20" t="n"/>
      <c r="B797" s="21" t="n"/>
      <c r="C797" s="20" t="n"/>
      <c r="D797" s="22">
        <f>IF(C797="","",INDEX(MERCADORIA!$B$5:$B$22,MATCH(C797,MERCADORIA!$A$5:$A$22,0)))</f>
        <v/>
      </c>
      <c r="E797" s="22">
        <f>IF(C797="","",INDEX(MERCADORIA!$C$5:$C$22,MATCH(C797,MERCADORIA!$A$5:$A$22,0)))</f>
        <v/>
      </c>
      <c r="F797" s="23" t="n"/>
      <c r="G797" s="24">
        <f>IF(D797="","",INDEX(VALOR!$B$5:$B$8,MATCH(D797,VALOR!$A$5:$A$8,0)))</f>
        <v/>
      </c>
      <c r="H797" s="15">
        <f>IF(OR(G797="",F797=""),0,F797*G797)</f>
        <v/>
      </c>
      <c r="I797" s="20" t="n"/>
      <c r="J797" s="20" t="n"/>
      <c r="K797" s="24">
        <f>IF(OR(O797=0,J797=""),0,INDEX(MAPA!$C$5:$C$14,MATCH(J797,MAPA!$A$5:$A$14,0)))</f>
        <v/>
      </c>
      <c r="L797" s="25">
        <f>H797+K797</f>
        <v/>
      </c>
      <c r="M797" s="20" t="n"/>
      <c r="N797" s="20" t="n"/>
      <c r="O797" s="14">
        <f>IF(A797="",0,IF(COUNTIF($A$5:A797,A797)=1,1,0))</f>
        <v/>
      </c>
    </row>
    <row r="798">
      <c r="A798" s="20" t="n"/>
      <c r="B798" s="21" t="n"/>
      <c r="C798" s="20" t="n"/>
      <c r="D798" s="22">
        <f>IF(C798="","",INDEX(MERCADORIA!$B$5:$B$22,MATCH(C798,MERCADORIA!$A$5:$A$22,0)))</f>
        <v/>
      </c>
      <c r="E798" s="22">
        <f>IF(C798="","",INDEX(MERCADORIA!$C$5:$C$22,MATCH(C798,MERCADORIA!$A$5:$A$22,0)))</f>
        <v/>
      </c>
      <c r="F798" s="23" t="n"/>
      <c r="G798" s="24">
        <f>IF(D798="","",INDEX(VALOR!$B$5:$B$8,MATCH(D798,VALOR!$A$5:$A$8,0)))</f>
        <v/>
      </c>
      <c r="H798" s="15">
        <f>IF(OR(G798="",F798=""),0,F798*G798)</f>
        <v/>
      </c>
      <c r="I798" s="20" t="n"/>
      <c r="J798" s="20" t="n"/>
      <c r="K798" s="24">
        <f>IF(OR(O798=0,J798=""),0,INDEX(MAPA!$C$5:$C$14,MATCH(J798,MAPA!$A$5:$A$14,0)))</f>
        <v/>
      </c>
      <c r="L798" s="25">
        <f>H798+K798</f>
        <v/>
      </c>
      <c r="M798" s="20" t="n"/>
      <c r="N798" s="20" t="n"/>
      <c r="O798" s="14">
        <f>IF(A798="",0,IF(COUNTIF($A$5:A798,A798)=1,1,0))</f>
        <v/>
      </c>
    </row>
    <row r="799">
      <c r="A799" s="20" t="n"/>
      <c r="B799" s="21" t="n"/>
      <c r="C799" s="20" t="n"/>
      <c r="D799" s="22">
        <f>IF(C799="","",INDEX(MERCADORIA!$B$5:$B$22,MATCH(C799,MERCADORIA!$A$5:$A$22,0)))</f>
        <v/>
      </c>
      <c r="E799" s="22">
        <f>IF(C799="","",INDEX(MERCADORIA!$C$5:$C$22,MATCH(C799,MERCADORIA!$A$5:$A$22,0)))</f>
        <v/>
      </c>
      <c r="F799" s="23" t="n"/>
      <c r="G799" s="24">
        <f>IF(D799="","",INDEX(VALOR!$B$5:$B$8,MATCH(D799,VALOR!$A$5:$A$8,0)))</f>
        <v/>
      </c>
      <c r="H799" s="15">
        <f>IF(OR(G799="",F799=""),0,F799*G799)</f>
        <v/>
      </c>
      <c r="I799" s="20" t="n"/>
      <c r="J799" s="20" t="n"/>
      <c r="K799" s="24">
        <f>IF(OR(O799=0,J799=""),0,INDEX(MAPA!$C$5:$C$14,MATCH(J799,MAPA!$A$5:$A$14,0)))</f>
        <v/>
      </c>
      <c r="L799" s="25">
        <f>H799+K799</f>
        <v/>
      </c>
      <c r="M799" s="20" t="n"/>
      <c r="N799" s="20" t="n"/>
      <c r="O799" s="14">
        <f>IF(A799="",0,IF(COUNTIF($A$5:A799,A799)=1,1,0))</f>
        <v/>
      </c>
    </row>
    <row r="800">
      <c r="A800" s="20" t="n"/>
      <c r="B800" s="21" t="n"/>
      <c r="C800" s="20" t="n"/>
      <c r="D800" s="22">
        <f>IF(C800="","",INDEX(MERCADORIA!$B$5:$B$22,MATCH(C800,MERCADORIA!$A$5:$A$22,0)))</f>
        <v/>
      </c>
      <c r="E800" s="22">
        <f>IF(C800="","",INDEX(MERCADORIA!$C$5:$C$22,MATCH(C800,MERCADORIA!$A$5:$A$22,0)))</f>
        <v/>
      </c>
      <c r="F800" s="23" t="n"/>
      <c r="G800" s="24">
        <f>IF(D800="","",INDEX(VALOR!$B$5:$B$8,MATCH(D800,VALOR!$A$5:$A$8,0)))</f>
        <v/>
      </c>
      <c r="H800" s="15">
        <f>IF(OR(G800="",F800=""),0,F800*G800)</f>
        <v/>
      </c>
      <c r="I800" s="20" t="n"/>
      <c r="J800" s="20" t="n"/>
      <c r="K800" s="24">
        <f>IF(OR(O800=0,J800=""),0,INDEX(MAPA!$C$5:$C$14,MATCH(J800,MAPA!$A$5:$A$14,0)))</f>
        <v/>
      </c>
      <c r="L800" s="25">
        <f>H800+K800</f>
        <v/>
      </c>
      <c r="M800" s="20" t="n"/>
      <c r="N800" s="20" t="n"/>
      <c r="O800" s="14">
        <f>IF(A800="",0,IF(COUNTIF($A$5:A800,A800)=1,1,0))</f>
        <v/>
      </c>
    </row>
    <row r="801">
      <c r="A801" s="20" t="n"/>
      <c r="B801" s="21" t="n"/>
      <c r="C801" s="20" t="n"/>
      <c r="D801" s="22">
        <f>IF(C801="","",INDEX(MERCADORIA!$B$5:$B$22,MATCH(C801,MERCADORIA!$A$5:$A$22,0)))</f>
        <v/>
      </c>
      <c r="E801" s="22">
        <f>IF(C801="","",INDEX(MERCADORIA!$C$5:$C$22,MATCH(C801,MERCADORIA!$A$5:$A$22,0)))</f>
        <v/>
      </c>
      <c r="F801" s="23" t="n"/>
      <c r="G801" s="24">
        <f>IF(D801="","",INDEX(VALOR!$B$5:$B$8,MATCH(D801,VALOR!$A$5:$A$8,0)))</f>
        <v/>
      </c>
      <c r="H801" s="15">
        <f>IF(OR(G801="",F801=""),0,F801*G801)</f>
        <v/>
      </c>
      <c r="I801" s="20" t="n"/>
      <c r="J801" s="20" t="n"/>
      <c r="K801" s="24">
        <f>IF(OR(O801=0,J801=""),0,INDEX(MAPA!$C$5:$C$14,MATCH(J801,MAPA!$A$5:$A$14,0)))</f>
        <v/>
      </c>
      <c r="L801" s="25">
        <f>H801+K801</f>
        <v/>
      </c>
      <c r="M801" s="20" t="n"/>
      <c r="N801" s="20" t="n"/>
      <c r="O801" s="14">
        <f>IF(A801="",0,IF(COUNTIF($A$5:A801,A801)=1,1,0))</f>
        <v/>
      </c>
    </row>
    <row r="802">
      <c r="A802" s="20" t="n"/>
      <c r="B802" s="21" t="n"/>
      <c r="C802" s="20" t="n"/>
      <c r="D802" s="22">
        <f>IF(C802="","",INDEX(MERCADORIA!$B$5:$B$22,MATCH(C802,MERCADORIA!$A$5:$A$22,0)))</f>
        <v/>
      </c>
      <c r="E802" s="22">
        <f>IF(C802="","",INDEX(MERCADORIA!$C$5:$C$22,MATCH(C802,MERCADORIA!$A$5:$A$22,0)))</f>
        <v/>
      </c>
      <c r="F802" s="23" t="n"/>
      <c r="G802" s="24">
        <f>IF(D802="","",INDEX(VALOR!$B$5:$B$8,MATCH(D802,VALOR!$A$5:$A$8,0)))</f>
        <v/>
      </c>
      <c r="H802" s="15">
        <f>IF(OR(G802="",F802=""),0,F802*G802)</f>
        <v/>
      </c>
      <c r="I802" s="20" t="n"/>
      <c r="J802" s="20" t="n"/>
      <c r="K802" s="24">
        <f>IF(OR(O802=0,J802=""),0,INDEX(MAPA!$C$5:$C$14,MATCH(J802,MAPA!$A$5:$A$14,0)))</f>
        <v/>
      </c>
      <c r="L802" s="25">
        <f>H802+K802</f>
        <v/>
      </c>
      <c r="M802" s="20" t="n"/>
      <c r="N802" s="20" t="n"/>
      <c r="O802" s="14">
        <f>IF(A802="",0,IF(COUNTIF($A$5:A802,A802)=1,1,0))</f>
        <v/>
      </c>
    </row>
    <row r="803">
      <c r="A803" s="20" t="n"/>
      <c r="B803" s="21" t="n"/>
      <c r="C803" s="20" t="n"/>
      <c r="D803" s="22">
        <f>IF(C803="","",INDEX(MERCADORIA!$B$5:$B$22,MATCH(C803,MERCADORIA!$A$5:$A$22,0)))</f>
        <v/>
      </c>
      <c r="E803" s="22">
        <f>IF(C803="","",INDEX(MERCADORIA!$C$5:$C$22,MATCH(C803,MERCADORIA!$A$5:$A$22,0)))</f>
        <v/>
      </c>
      <c r="F803" s="23" t="n"/>
      <c r="G803" s="24">
        <f>IF(D803="","",INDEX(VALOR!$B$5:$B$8,MATCH(D803,VALOR!$A$5:$A$8,0)))</f>
        <v/>
      </c>
      <c r="H803" s="15">
        <f>IF(OR(G803="",F803=""),0,F803*G803)</f>
        <v/>
      </c>
      <c r="I803" s="20" t="n"/>
      <c r="J803" s="20" t="n"/>
      <c r="K803" s="24">
        <f>IF(OR(O803=0,J803=""),0,INDEX(MAPA!$C$5:$C$14,MATCH(J803,MAPA!$A$5:$A$14,0)))</f>
        <v/>
      </c>
      <c r="L803" s="25">
        <f>H803+K803</f>
        <v/>
      </c>
      <c r="M803" s="20" t="n"/>
      <c r="N803" s="20" t="n"/>
      <c r="O803" s="14">
        <f>IF(A803="",0,IF(COUNTIF($A$5:A803,A803)=1,1,0))</f>
        <v/>
      </c>
    </row>
    <row r="804">
      <c r="A804" s="20" t="n"/>
      <c r="B804" s="21" t="n"/>
      <c r="C804" s="20" t="n"/>
      <c r="D804" s="22">
        <f>IF(C804="","",INDEX(MERCADORIA!$B$5:$B$22,MATCH(C804,MERCADORIA!$A$5:$A$22,0)))</f>
        <v/>
      </c>
      <c r="E804" s="22">
        <f>IF(C804="","",INDEX(MERCADORIA!$C$5:$C$22,MATCH(C804,MERCADORIA!$A$5:$A$22,0)))</f>
        <v/>
      </c>
      <c r="F804" s="23" t="n"/>
      <c r="G804" s="24">
        <f>IF(D804="","",INDEX(VALOR!$B$5:$B$8,MATCH(D804,VALOR!$A$5:$A$8,0)))</f>
        <v/>
      </c>
      <c r="H804" s="15">
        <f>IF(OR(G804="",F804=""),0,F804*G804)</f>
        <v/>
      </c>
      <c r="I804" s="20" t="n"/>
      <c r="J804" s="20" t="n"/>
      <c r="K804" s="24">
        <f>IF(OR(O804=0,J804=""),0,INDEX(MAPA!$C$5:$C$14,MATCH(J804,MAPA!$A$5:$A$14,0)))</f>
        <v/>
      </c>
      <c r="L804" s="25">
        <f>H804+K804</f>
        <v/>
      </c>
      <c r="M804" s="20" t="n"/>
      <c r="N804" s="20" t="n"/>
      <c r="O804" s="14">
        <f>IF(A804="",0,IF(COUNTIF($A$5:A804,A804)=1,1,0))</f>
        <v/>
      </c>
    </row>
    <row r="805">
      <c r="A805" s="20" t="n"/>
      <c r="B805" s="21" t="n"/>
      <c r="C805" s="20" t="n"/>
      <c r="D805" s="22">
        <f>IF(C805="","",INDEX(MERCADORIA!$B$5:$B$22,MATCH(C805,MERCADORIA!$A$5:$A$22,0)))</f>
        <v/>
      </c>
      <c r="E805" s="22">
        <f>IF(C805="","",INDEX(MERCADORIA!$C$5:$C$22,MATCH(C805,MERCADORIA!$A$5:$A$22,0)))</f>
        <v/>
      </c>
      <c r="F805" s="23" t="n"/>
      <c r="G805" s="24">
        <f>IF(D805="","",INDEX(VALOR!$B$5:$B$8,MATCH(D805,VALOR!$A$5:$A$8,0)))</f>
        <v/>
      </c>
      <c r="H805" s="15">
        <f>IF(OR(G805="",F805=""),0,F805*G805)</f>
        <v/>
      </c>
      <c r="I805" s="20" t="n"/>
      <c r="J805" s="20" t="n"/>
      <c r="K805" s="24">
        <f>IF(OR(O805=0,J805=""),0,INDEX(MAPA!$C$5:$C$14,MATCH(J805,MAPA!$A$5:$A$14,0)))</f>
        <v/>
      </c>
      <c r="L805" s="25">
        <f>H805+K805</f>
        <v/>
      </c>
      <c r="M805" s="20" t="n"/>
      <c r="N805" s="20" t="n"/>
      <c r="O805" s="14">
        <f>IF(A805="",0,IF(COUNTIF($A$5:A805,A805)=1,1,0))</f>
        <v/>
      </c>
    </row>
    <row r="806">
      <c r="A806" s="20" t="n"/>
      <c r="B806" s="21" t="n"/>
      <c r="C806" s="20" t="n"/>
      <c r="D806" s="22">
        <f>IF(C806="","",INDEX(MERCADORIA!$B$5:$B$22,MATCH(C806,MERCADORIA!$A$5:$A$22,0)))</f>
        <v/>
      </c>
      <c r="E806" s="22">
        <f>IF(C806="","",INDEX(MERCADORIA!$C$5:$C$22,MATCH(C806,MERCADORIA!$A$5:$A$22,0)))</f>
        <v/>
      </c>
      <c r="F806" s="23" t="n"/>
      <c r="G806" s="24">
        <f>IF(D806="","",INDEX(VALOR!$B$5:$B$8,MATCH(D806,VALOR!$A$5:$A$8,0)))</f>
        <v/>
      </c>
      <c r="H806" s="15">
        <f>IF(OR(G806="",F806=""),0,F806*G806)</f>
        <v/>
      </c>
      <c r="I806" s="20" t="n"/>
      <c r="J806" s="20" t="n"/>
      <c r="K806" s="24">
        <f>IF(OR(O806=0,J806=""),0,INDEX(MAPA!$C$5:$C$14,MATCH(J806,MAPA!$A$5:$A$14,0)))</f>
        <v/>
      </c>
      <c r="L806" s="25">
        <f>H806+K806</f>
        <v/>
      </c>
      <c r="M806" s="20" t="n"/>
      <c r="N806" s="20" t="n"/>
      <c r="O806" s="14">
        <f>IF(A806="",0,IF(COUNTIF($A$5:A806,A806)=1,1,0))</f>
        <v/>
      </c>
    </row>
    <row r="807">
      <c r="A807" s="20" t="n"/>
      <c r="B807" s="21" t="n"/>
      <c r="C807" s="20" t="n"/>
      <c r="D807" s="22">
        <f>IF(C807="","",INDEX(MERCADORIA!$B$5:$B$22,MATCH(C807,MERCADORIA!$A$5:$A$22,0)))</f>
        <v/>
      </c>
      <c r="E807" s="22">
        <f>IF(C807="","",INDEX(MERCADORIA!$C$5:$C$22,MATCH(C807,MERCADORIA!$A$5:$A$22,0)))</f>
        <v/>
      </c>
      <c r="F807" s="23" t="n"/>
      <c r="G807" s="24">
        <f>IF(D807="","",INDEX(VALOR!$B$5:$B$8,MATCH(D807,VALOR!$A$5:$A$8,0)))</f>
        <v/>
      </c>
      <c r="H807" s="15">
        <f>IF(OR(G807="",F807=""),0,F807*G807)</f>
        <v/>
      </c>
      <c r="I807" s="20" t="n"/>
      <c r="J807" s="20" t="n"/>
      <c r="K807" s="24">
        <f>IF(OR(O807=0,J807=""),0,INDEX(MAPA!$C$5:$C$14,MATCH(J807,MAPA!$A$5:$A$14,0)))</f>
        <v/>
      </c>
      <c r="L807" s="25">
        <f>H807+K807</f>
        <v/>
      </c>
      <c r="M807" s="20" t="n"/>
      <c r="N807" s="20" t="n"/>
      <c r="O807" s="14">
        <f>IF(A807="",0,IF(COUNTIF($A$5:A807,A807)=1,1,0))</f>
        <v/>
      </c>
    </row>
    <row r="808">
      <c r="A808" s="20" t="n"/>
      <c r="B808" s="21" t="n"/>
      <c r="C808" s="20" t="n"/>
      <c r="D808" s="22">
        <f>IF(C808="","",INDEX(MERCADORIA!$B$5:$B$22,MATCH(C808,MERCADORIA!$A$5:$A$22,0)))</f>
        <v/>
      </c>
      <c r="E808" s="22">
        <f>IF(C808="","",INDEX(MERCADORIA!$C$5:$C$22,MATCH(C808,MERCADORIA!$A$5:$A$22,0)))</f>
        <v/>
      </c>
      <c r="F808" s="23" t="n"/>
      <c r="G808" s="24">
        <f>IF(D808="","",INDEX(VALOR!$B$5:$B$8,MATCH(D808,VALOR!$A$5:$A$8,0)))</f>
        <v/>
      </c>
      <c r="H808" s="15">
        <f>IF(OR(G808="",F808=""),0,F808*G808)</f>
        <v/>
      </c>
      <c r="I808" s="20" t="n"/>
      <c r="J808" s="20" t="n"/>
      <c r="K808" s="24">
        <f>IF(OR(O808=0,J808=""),0,INDEX(MAPA!$C$5:$C$14,MATCH(J808,MAPA!$A$5:$A$14,0)))</f>
        <v/>
      </c>
      <c r="L808" s="25">
        <f>H808+K808</f>
        <v/>
      </c>
      <c r="M808" s="20" t="n"/>
      <c r="N808" s="20" t="n"/>
      <c r="O808" s="14">
        <f>IF(A808="",0,IF(COUNTIF($A$5:A808,A808)=1,1,0))</f>
        <v/>
      </c>
    </row>
    <row r="809">
      <c r="A809" s="20" t="n"/>
      <c r="B809" s="21" t="n"/>
      <c r="C809" s="20" t="n"/>
      <c r="D809" s="22">
        <f>IF(C809="","",INDEX(MERCADORIA!$B$5:$B$22,MATCH(C809,MERCADORIA!$A$5:$A$22,0)))</f>
        <v/>
      </c>
      <c r="E809" s="22">
        <f>IF(C809="","",INDEX(MERCADORIA!$C$5:$C$22,MATCH(C809,MERCADORIA!$A$5:$A$22,0)))</f>
        <v/>
      </c>
      <c r="F809" s="23" t="n"/>
      <c r="G809" s="24">
        <f>IF(D809="","",INDEX(VALOR!$B$5:$B$8,MATCH(D809,VALOR!$A$5:$A$8,0)))</f>
        <v/>
      </c>
      <c r="H809" s="15">
        <f>IF(OR(G809="",F809=""),0,F809*G809)</f>
        <v/>
      </c>
      <c r="I809" s="20" t="n"/>
      <c r="J809" s="20" t="n"/>
      <c r="K809" s="24">
        <f>IF(OR(O809=0,J809=""),0,INDEX(MAPA!$C$5:$C$14,MATCH(J809,MAPA!$A$5:$A$14,0)))</f>
        <v/>
      </c>
      <c r="L809" s="25">
        <f>H809+K809</f>
        <v/>
      </c>
      <c r="M809" s="20" t="n"/>
      <c r="N809" s="20" t="n"/>
      <c r="O809" s="14">
        <f>IF(A809="",0,IF(COUNTIF($A$5:A809,A809)=1,1,0))</f>
        <v/>
      </c>
    </row>
    <row r="810">
      <c r="A810" s="20" t="n"/>
      <c r="B810" s="21" t="n"/>
      <c r="C810" s="20" t="n"/>
      <c r="D810" s="22">
        <f>IF(C810="","",INDEX(MERCADORIA!$B$5:$B$22,MATCH(C810,MERCADORIA!$A$5:$A$22,0)))</f>
        <v/>
      </c>
      <c r="E810" s="22">
        <f>IF(C810="","",INDEX(MERCADORIA!$C$5:$C$22,MATCH(C810,MERCADORIA!$A$5:$A$22,0)))</f>
        <v/>
      </c>
      <c r="F810" s="23" t="n"/>
      <c r="G810" s="24">
        <f>IF(D810="","",INDEX(VALOR!$B$5:$B$8,MATCH(D810,VALOR!$A$5:$A$8,0)))</f>
        <v/>
      </c>
      <c r="H810" s="15">
        <f>IF(OR(G810="",F810=""),0,F810*G810)</f>
        <v/>
      </c>
      <c r="I810" s="20" t="n"/>
      <c r="J810" s="20" t="n"/>
      <c r="K810" s="24">
        <f>IF(OR(O810=0,J810=""),0,INDEX(MAPA!$C$5:$C$14,MATCH(J810,MAPA!$A$5:$A$14,0)))</f>
        <v/>
      </c>
      <c r="L810" s="25">
        <f>H810+K810</f>
        <v/>
      </c>
      <c r="M810" s="20" t="n"/>
      <c r="N810" s="20" t="n"/>
      <c r="O810" s="14">
        <f>IF(A810="",0,IF(COUNTIF($A$5:A810,A810)=1,1,0))</f>
        <v/>
      </c>
    </row>
    <row r="811">
      <c r="A811" s="20" t="n"/>
      <c r="B811" s="21" t="n"/>
      <c r="C811" s="20" t="n"/>
      <c r="D811" s="22">
        <f>IF(C811="","",INDEX(MERCADORIA!$B$5:$B$22,MATCH(C811,MERCADORIA!$A$5:$A$22,0)))</f>
        <v/>
      </c>
      <c r="E811" s="22">
        <f>IF(C811="","",INDEX(MERCADORIA!$C$5:$C$22,MATCH(C811,MERCADORIA!$A$5:$A$22,0)))</f>
        <v/>
      </c>
      <c r="F811" s="23" t="n"/>
      <c r="G811" s="24">
        <f>IF(D811="","",INDEX(VALOR!$B$5:$B$8,MATCH(D811,VALOR!$A$5:$A$8,0)))</f>
        <v/>
      </c>
      <c r="H811" s="15">
        <f>IF(OR(G811="",F811=""),0,F811*G811)</f>
        <v/>
      </c>
      <c r="I811" s="20" t="n"/>
      <c r="J811" s="20" t="n"/>
      <c r="K811" s="24">
        <f>IF(OR(O811=0,J811=""),0,INDEX(MAPA!$C$5:$C$14,MATCH(J811,MAPA!$A$5:$A$14,0)))</f>
        <v/>
      </c>
      <c r="L811" s="25">
        <f>H811+K811</f>
        <v/>
      </c>
      <c r="M811" s="20" t="n"/>
      <c r="N811" s="20" t="n"/>
      <c r="O811" s="14">
        <f>IF(A811="",0,IF(COUNTIF($A$5:A811,A811)=1,1,0))</f>
        <v/>
      </c>
    </row>
    <row r="812">
      <c r="A812" s="20" t="n"/>
      <c r="B812" s="21" t="n"/>
      <c r="C812" s="20" t="n"/>
      <c r="D812" s="22">
        <f>IF(C812="","",INDEX(MERCADORIA!$B$5:$B$22,MATCH(C812,MERCADORIA!$A$5:$A$22,0)))</f>
        <v/>
      </c>
      <c r="E812" s="22">
        <f>IF(C812="","",INDEX(MERCADORIA!$C$5:$C$22,MATCH(C812,MERCADORIA!$A$5:$A$22,0)))</f>
        <v/>
      </c>
      <c r="F812" s="23" t="n"/>
      <c r="G812" s="24">
        <f>IF(D812="","",INDEX(VALOR!$B$5:$B$8,MATCH(D812,VALOR!$A$5:$A$8,0)))</f>
        <v/>
      </c>
      <c r="H812" s="15">
        <f>IF(OR(G812="",F812=""),0,F812*G812)</f>
        <v/>
      </c>
      <c r="I812" s="20" t="n"/>
      <c r="J812" s="20" t="n"/>
      <c r="K812" s="24">
        <f>IF(OR(O812=0,J812=""),0,INDEX(MAPA!$C$5:$C$14,MATCH(J812,MAPA!$A$5:$A$14,0)))</f>
        <v/>
      </c>
      <c r="L812" s="25">
        <f>H812+K812</f>
        <v/>
      </c>
      <c r="M812" s="20" t="n"/>
      <c r="N812" s="20" t="n"/>
      <c r="O812" s="14">
        <f>IF(A812="",0,IF(COUNTIF($A$5:A812,A812)=1,1,0))</f>
        <v/>
      </c>
    </row>
    <row r="813">
      <c r="A813" s="20" t="n"/>
      <c r="B813" s="21" t="n"/>
      <c r="C813" s="20" t="n"/>
      <c r="D813" s="22">
        <f>IF(C813="","",INDEX(MERCADORIA!$B$5:$B$22,MATCH(C813,MERCADORIA!$A$5:$A$22,0)))</f>
        <v/>
      </c>
      <c r="E813" s="22">
        <f>IF(C813="","",INDEX(MERCADORIA!$C$5:$C$22,MATCH(C813,MERCADORIA!$A$5:$A$22,0)))</f>
        <v/>
      </c>
      <c r="F813" s="23" t="n"/>
      <c r="G813" s="24">
        <f>IF(D813="","",INDEX(VALOR!$B$5:$B$8,MATCH(D813,VALOR!$A$5:$A$8,0)))</f>
        <v/>
      </c>
      <c r="H813" s="15">
        <f>IF(OR(G813="",F813=""),0,F813*G813)</f>
        <v/>
      </c>
      <c r="I813" s="20" t="n"/>
      <c r="J813" s="20" t="n"/>
      <c r="K813" s="24">
        <f>IF(OR(O813=0,J813=""),0,INDEX(MAPA!$C$5:$C$14,MATCH(J813,MAPA!$A$5:$A$14,0)))</f>
        <v/>
      </c>
      <c r="L813" s="25">
        <f>H813+K813</f>
        <v/>
      </c>
      <c r="M813" s="20" t="n"/>
      <c r="N813" s="20" t="n"/>
      <c r="O813" s="14">
        <f>IF(A813="",0,IF(COUNTIF($A$5:A813,A813)=1,1,0))</f>
        <v/>
      </c>
    </row>
    <row r="814">
      <c r="A814" s="20" t="n"/>
      <c r="B814" s="21" t="n"/>
      <c r="C814" s="20" t="n"/>
      <c r="D814" s="22">
        <f>IF(C814="","",INDEX(MERCADORIA!$B$5:$B$22,MATCH(C814,MERCADORIA!$A$5:$A$22,0)))</f>
        <v/>
      </c>
      <c r="E814" s="22">
        <f>IF(C814="","",INDEX(MERCADORIA!$C$5:$C$22,MATCH(C814,MERCADORIA!$A$5:$A$22,0)))</f>
        <v/>
      </c>
      <c r="F814" s="23" t="n"/>
      <c r="G814" s="24">
        <f>IF(D814="","",INDEX(VALOR!$B$5:$B$8,MATCH(D814,VALOR!$A$5:$A$8,0)))</f>
        <v/>
      </c>
      <c r="H814" s="15">
        <f>IF(OR(G814="",F814=""),0,F814*G814)</f>
        <v/>
      </c>
      <c r="I814" s="20" t="n"/>
      <c r="J814" s="20" t="n"/>
      <c r="K814" s="24">
        <f>IF(OR(O814=0,J814=""),0,INDEX(MAPA!$C$5:$C$14,MATCH(J814,MAPA!$A$5:$A$14,0)))</f>
        <v/>
      </c>
      <c r="L814" s="25">
        <f>H814+K814</f>
        <v/>
      </c>
      <c r="M814" s="20" t="n"/>
      <c r="N814" s="20" t="n"/>
      <c r="O814" s="14">
        <f>IF(A814="",0,IF(COUNTIF($A$5:A814,A814)=1,1,0))</f>
        <v/>
      </c>
    </row>
    <row r="815">
      <c r="A815" s="20" t="n"/>
      <c r="B815" s="21" t="n"/>
      <c r="C815" s="20" t="n"/>
      <c r="D815" s="22">
        <f>IF(C815="","",INDEX(MERCADORIA!$B$5:$B$22,MATCH(C815,MERCADORIA!$A$5:$A$22,0)))</f>
        <v/>
      </c>
      <c r="E815" s="22">
        <f>IF(C815="","",INDEX(MERCADORIA!$C$5:$C$22,MATCH(C815,MERCADORIA!$A$5:$A$22,0)))</f>
        <v/>
      </c>
      <c r="F815" s="23" t="n"/>
      <c r="G815" s="24">
        <f>IF(D815="","",INDEX(VALOR!$B$5:$B$8,MATCH(D815,VALOR!$A$5:$A$8,0)))</f>
        <v/>
      </c>
      <c r="H815" s="15">
        <f>IF(OR(G815="",F815=""),0,F815*G815)</f>
        <v/>
      </c>
      <c r="I815" s="20" t="n"/>
      <c r="J815" s="20" t="n"/>
      <c r="K815" s="24">
        <f>IF(OR(O815=0,J815=""),0,INDEX(MAPA!$C$5:$C$14,MATCH(J815,MAPA!$A$5:$A$14,0)))</f>
        <v/>
      </c>
      <c r="L815" s="25">
        <f>H815+K815</f>
        <v/>
      </c>
      <c r="M815" s="20" t="n"/>
      <c r="N815" s="20" t="n"/>
      <c r="O815" s="14">
        <f>IF(A815="",0,IF(COUNTIF($A$5:A815,A815)=1,1,0))</f>
        <v/>
      </c>
    </row>
    <row r="816">
      <c r="A816" s="20" t="n"/>
      <c r="B816" s="21" t="n"/>
      <c r="C816" s="20" t="n"/>
      <c r="D816" s="22">
        <f>IF(C816="","",INDEX(MERCADORIA!$B$5:$B$22,MATCH(C816,MERCADORIA!$A$5:$A$22,0)))</f>
        <v/>
      </c>
      <c r="E816" s="22">
        <f>IF(C816="","",INDEX(MERCADORIA!$C$5:$C$22,MATCH(C816,MERCADORIA!$A$5:$A$22,0)))</f>
        <v/>
      </c>
      <c r="F816" s="23" t="n"/>
      <c r="G816" s="24">
        <f>IF(D816="","",INDEX(VALOR!$B$5:$B$8,MATCH(D816,VALOR!$A$5:$A$8,0)))</f>
        <v/>
      </c>
      <c r="H816" s="15">
        <f>IF(OR(G816="",F816=""),0,F816*G816)</f>
        <v/>
      </c>
      <c r="I816" s="20" t="n"/>
      <c r="J816" s="20" t="n"/>
      <c r="K816" s="24">
        <f>IF(OR(O816=0,J816=""),0,INDEX(MAPA!$C$5:$C$14,MATCH(J816,MAPA!$A$5:$A$14,0)))</f>
        <v/>
      </c>
      <c r="L816" s="25">
        <f>H816+K816</f>
        <v/>
      </c>
      <c r="M816" s="20" t="n"/>
      <c r="N816" s="20" t="n"/>
      <c r="O816" s="14">
        <f>IF(A816="",0,IF(COUNTIF($A$5:A816,A816)=1,1,0))</f>
        <v/>
      </c>
    </row>
    <row r="817">
      <c r="A817" s="20" t="n"/>
      <c r="B817" s="21" t="n"/>
      <c r="C817" s="20" t="n"/>
      <c r="D817" s="22">
        <f>IF(C817="","",INDEX(MERCADORIA!$B$5:$B$22,MATCH(C817,MERCADORIA!$A$5:$A$22,0)))</f>
        <v/>
      </c>
      <c r="E817" s="22">
        <f>IF(C817="","",INDEX(MERCADORIA!$C$5:$C$22,MATCH(C817,MERCADORIA!$A$5:$A$22,0)))</f>
        <v/>
      </c>
      <c r="F817" s="23" t="n"/>
      <c r="G817" s="24">
        <f>IF(D817="","",INDEX(VALOR!$B$5:$B$8,MATCH(D817,VALOR!$A$5:$A$8,0)))</f>
        <v/>
      </c>
      <c r="H817" s="15">
        <f>IF(OR(G817="",F817=""),0,F817*G817)</f>
        <v/>
      </c>
      <c r="I817" s="20" t="n"/>
      <c r="J817" s="20" t="n"/>
      <c r="K817" s="24">
        <f>IF(OR(O817=0,J817=""),0,INDEX(MAPA!$C$5:$C$14,MATCH(J817,MAPA!$A$5:$A$14,0)))</f>
        <v/>
      </c>
      <c r="L817" s="25">
        <f>H817+K817</f>
        <v/>
      </c>
      <c r="M817" s="20" t="n"/>
      <c r="N817" s="20" t="n"/>
      <c r="O817" s="14">
        <f>IF(A817="",0,IF(COUNTIF($A$5:A817,A817)=1,1,0))</f>
        <v/>
      </c>
    </row>
    <row r="818">
      <c r="A818" s="20" t="n"/>
      <c r="B818" s="21" t="n"/>
      <c r="C818" s="20" t="n"/>
      <c r="D818" s="22">
        <f>IF(C818="","",INDEX(MERCADORIA!$B$5:$B$22,MATCH(C818,MERCADORIA!$A$5:$A$22,0)))</f>
        <v/>
      </c>
      <c r="E818" s="22">
        <f>IF(C818="","",INDEX(MERCADORIA!$C$5:$C$22,MATCH(C818,MERCADORIA!$A$5:$A$22,0)))</f>
        <v/>
      </c>
      <c r="F818" s="23" t="n"/>
      <c r="G818" s="24">
        <f>IF(D818="","",INDEX(VALOR!$B$5:$B$8,MATCH(D818,VALOR!$A$5:$A$8,0)))</f>
        <v/>
      </c>
      <c r="H818" s="15">
        <f>IF(OR(G818="",F818=""),0,F818*G818)</f>
        <v/>
      </c>
      <c r="I818" s="20" t="n"/>
      <c r="J818" s="20" t="n"/>
      <c r="K818" s="24">
        <f>IF(OR(O818=0,J818=""),0,INDEX(MAPA!$C$5:$C$14,MATCH(J818,MAPA!$A$5:$A$14,0)))</f>
        <v/>
      </c>
      <c r="L818" s="25">
        <f>H818+K818</f>
        <v/>
      </c>
      <c r="M818" s="20" t="n"/>
      <c r="N818" s="20" t="n"/>
      <c r="O818" s="14">
        <f>IF(A818="",0,IF(COUNTIF($A$5:A818,A818)=1,1,0))</f>
        <v/>
      </c>
    </row>
    <row r="819">
      <c r="A819" s="20" t="n"/>
      <c r="B819" s="21" t="n"/>
      <c r="C819" s="20" t="n"/>
      <c r="D819" s="22">
        <f>IF(C819="","",INDEX(MERCADORIA!$B$5:$B$22,MATCH(C819,MERCADORIA!$A$5:$A$22,0)))</f>
        <v/>
      </c>
      <c r="E819" s="22">
        <f>IF(C819="","",INDEX(MERCADORIA!$C$5:$C$22,MATCH(C819,MERCADORIA!$A$5:$A$22,0)))</f>
        <v/>
      </c>
      <c r="F819" s="23" t="n"/>
      <c r="G819" s="24">
        <f>IF(D819="","",INDEX(VALOR!$B$5:$B$8,MATCH(D819,VALOR!$A$5:$A$8,0)))</f>
        <v/>
      </c>
      <c r="H819" s="15">
        <f>IF(OR(G819="",F819=""),0,F819*G819)</f>
        <v/>
      </c>
      <c r="I819" s="20" t="n"/>
      <c r="J819" s="20" t="n"/>
      <c r="K819" s="24">
        <f>IF(OR(O819=0,J819=""),0,INDEX(MAPA!$C$5:$C$14,MATCH(J819,MAPA!$A$5:$A$14,0)))</f>
        <v/>
      </c>
      <c r="L819" s="25">
        <f>H819+K819</f>
        <v/>
      </c>
      <c r="M819" s="20" t="n"/>
      <c r="N819" s="20" t="n"/>
      <c r="O819" s="14">
        <f>IF(A819="",0,IF(COUNTIF($A$5:A819,A819)=1,1,0))</f>
        <v/>
      </c>
    </row>
    <row r="820">
      <c r="A820" s="20" t="n"/>
      <c r="B820" s="21" t="n"/>
      <c r="C820" s="20" t="n"/>
      <c r="D820" s="22">
        <f>IF(C820="","",INDEX(MERCADORIA!$B$5:$B$22,MATCH(C820,MERCADORIA!$A$5:$A$22,0)))</f>
        <v/>
      </c>
      <c r="E820" s="22">
        <f>IF(C820="","",INDEX(MERCADORIA!$C$5:$C$22,MATCH(C820,MERCADORIA!$A$5:$A$22,0)))</f>
        <v/>
      </c>
      <c r="F820" s="23" t="n"/>
      <c r="G820" s="24">
        <f>IF(D820="","",INDEX(VALOR!$B$5:$B$8,MATCH(D820,VALOR!$A$5:$A$8,0)))</f>
        <v/>
      </c>
      <c r="H820" s="15">
        <f>IF(OR(G820="",F820=""),0,F820*G820)</f>
        <v/>
      </c>
      <c r="I820" s="20" t="n"/>
      <c r="J820" s="20" t="n"/>
      <c r="K820" s="24">
        <f>IF(OR(O820=0,J820=""),0,INDEX(MAPA!$C$5:$C$14,MATCH(J820,MAPA!$A$5:$A$14,0)))</f>
        <v/>
      </c>
      <c r="L820" s="25">
        <f>H820+K820</f>
        <v/>
      </c>
      <c r="M820" s="20" t="n"/>
      <c r="N820" s="20" t="n"/>
      <c r="O820" s="14">
        <f>IF(A820="",0,IF(COUNTIF($A$5:A820,A820)=1,1,0))</f>
        <v/>
      </c>
    </row>
    <row r="821">
      <c r="A821" s="20" t="n"/>
      <c r="B821" s="21" t="n"/>
      <c r="C821" s="20" t="n"/>
      <c r="D821" s="22">
        <f>IF(C821="","",INDEX(MERCADORIA!$B$5:$B$22,MATCH(C821,MERCADORIA!$A$5:$A$22,0)))</f>
        <v/>
      </c>
      <c r="E821" s="22">
        <f>IF(C821="","",INDEX(MERCADORIA!$C$5:$C$22,MATCH(C821,MERCADORIA!$A$5:$A$22,0)))</f>
        <v/>
      </c>
      <c r="F821" s="23" t="n"/>
      <c r="G821" s="24">
        <f>IF(D821="","",INDEX(VALOR!$B$5:$B$8,MATCH(D821,VALOR!$A$5:$A$8,0)))</f>
        <v/>
      </c>
      <c r="H821" s="15">
        <f>IF(OR(G821="",F821=""),0,F821*G821)</f>
        <v/>
      </c>
      <c r="I821" s="20" t="n"/>
      <c r="J821" s="20" t="n"/>
      <c r="K821" s="24">
        <f>IF(OR(O821=0,J821=""),0,INDEX(MAPA!$C$5:$C$14,MATCH(J821,MAPA!$A$5:$A$14,0)))</f>
        <v/>
      </c>
      <c r="L821" s="25">
        <f>H821+K821</f>
        <v/>
      </c>
      <c r="M821" s="20" t="n"/>
      <c r="N821" s="20" t="n"/>
      <c r="O821" s="14">
        <f>IF(A821="",0,IF(COUNTIF($A$5:A821,A821)=1,1,0))</f>
        <v/>
      </c>
    </row>
    <row r="822">
      <c r="A822" s="20" t="n"/>
      <c r="B822" s="21" t="n"/>
      <c r="C822" s="20" t="n"/>
      <c r="D822" s="22">
        <f>IF(C822="","",INDEX(MERCADORIA!$B$5:$B$22,MATCH(C822,MERCADORIA!$A$5:$A$22,0)))</f>
        <v/>
      </c>
      <c r="E822" s="22">
        <f>IF(C822="","",INDEX(MERCADORIA!$C$5:$C$22,MATCH(C822,MERCADORIA!$A$5:$A$22,0)))</f>
        <v/>
      </c>
      <c r="F822" s="23" t="n"/>
      <c r="G822" s="24">
        <f>IF(D822="","",INDEX(VALOR!$B$5:$B$8,MATCH(D822,VALOR!$A$5:$A$8,0)))</f>
        <v/>
      </c>
      <c r="H822" s="15">
        <f>IF(OR(G822="",F822=""),0,F822*G822)</f>
        <v/>
      </c>
      <c r="I822" s="20" t="n"/>
      <c r="J822" s="20" t="n"/>
      <c r="K822" s="24">
        <f>IF(OR(O822=0,J822=""),0,INDEX(MAPA!$C$5:$C$14,MATCH(J822,MAPA!$A$5:$A$14,0)))</f>
        <v/>
      </c>
      <c r="L822" s="25">
        <f>H822+K822</f>
        <v/>
      </c>
      <c r="M822" s="20" t="n"/>
      <c r="N822" s="20" t="n"/>
      <c r="O822" s="14">
        <f>IF(A822="",0,IF(COUNTIF($A$5:A822,A822)=1,1,0))</f>
        <v/>
      </c>
    </row>
    <row r="823">
      <c r="A823" s="20" t="n"/>
      <c r="B823" s="21" t="n"/>
      <c r="C823" s="20" t="n"/>
      <c r="D823" s="22">
        <f>IF(C823="","",INDEX(MERCADORIA!$B$5:$B$22,MATCH(C823,MERCADORIA!$A$5:$A$22,0)))</f>
        <v/>
      </c>
      <c r="E823" s="22">
        <f>IF(C823="","",INDEX(MERCADORIA!$C$5:$C$22,MATCH(C823,MERCADORIA!$A$5:$A$22,0)))</f>
        <v/>
      </c>
      <c r="F823" s="23" t="n"/>
      <c r="G823" s="24">
        <f>IF(D823="","",INDEX(VALOR!$B$5:$B$8,MATCH(D823,VALOR!$A$5:$A$8,0)))</f>
        <v/>
      </c>
      <c r="H823" s="15">
        <f>IF(OR(G823="",F823=""),0,F823*G823)</f>
        <v/>
      </c>
      <c r="I823" s="20" t="n"/>
      <c r="J823" s="20" t="n"/>
      <c r="K823" s="24">
        <f>IF(OR(O823=0,J823=""),0,INDEX(MAPA!$C$5:$C$14,MATCH(J823,MAPA!$A$5:$A$14,0)))</f>
        <v/>
      </c>
      <c r="L823" s="25">
        <f>H823+K823</f>
        <v/>
      </c>
      <c r="M823" s="20" t="n"/>
      <c r="N823" s="20" t="n"/>
      <c r="O823" s="14">
        <f>IF(A823="",0,IF(COUNTIF($A$5:A823,A823)=1,1,0))</f>
        <v/>
      </c>
    </row>
    <row r="824">
      <c r="A824" s="20" t="n"/>
      <c r="B824" s="21" t="n"/>
      <c r="C824" s="20" t="n"/>
      <c r="D824" s="22">
        <f>IF(C824="","",INDEX(MERCADORIA!$B$5:$B$22,MATCH(C824,MERCADORIA!$A$5:$A$22,0)))</f>
        <v/>
      </c>
      <c r="E824" s="22">
        <f>IF(C824="","",INDEX(MERCADORIA!$C$5:$C$22,MATCH(C824,MERCADORIA!$A$5:$A$22,0)))</f>
        <v/>
      </c>
      <c r="F824" s="23" t="n"/>
      <c r="G824" s="24">
        <f>IF(D824="","",INDEX(VALOR!$B$5:$B$8,MATCH(D824,VALOR!$A$5:$A$8,0)))</f>
        <v/>
      </c>
      <c r="H824" s="15">
        <f>IF(OR(G824="",F824=""),0,F824*G824)</f>
        <v/>
      </c>
      <c r="I824" s="20" t="n"/>
      <c r="J824" s="20" t="n"/>
      <c r="K824" s="24">
        <f>IF(OR(O824=0,J824=""),0,INDEX(MAPA!$C$5:$C$14,MATCH(J824,MAPA!$A$5:$A$14,0)))</f>
        <v/>
      </c>
      <c r="L824" s="25">
        <f>H824+K824</f>
        <v/>
      </c>
      <c r="M824" s="20" t="n"/>
      <c r="N824" s="20" t="n"/>
      <c r="O824" s="14">
        <f>IF(A824="",0,IF(COUNTIF($A$5:A824,A824)=1,1,0))</f>
        <v/>
      </c>
    </row>
    <row r="825">
      <c r="A825" s="20" t="n"/>
      <c r="B825" s="21" t="n"/>
      <c r="C825" s="20" t="n"/>
      <c r="D825" s="22">
        <f>IF(C825="","",INDEX(MERCADORIA!$B$5:$B$22,MATCH(C825,MERCADORIA!$A$5:$A$22,0)))</f>
        <v/>
      </c>
      <c r="E825" s="22">
        <f>IF(C825="","",INDEX(MERCADORIA!$C$5:$C$22,MATCH(C825,MERCADORIA!$A$5:$A$22,0)))</f>
        <v/>
      </c>
      <c r="F825" s="23" t="n"/>
      <c r="G825" s="24">
        <f>IF(D825="","",INDEX(VALOR!$B$5:$B$8,MATCH(D825,VALOR!$A$5:$A$8,0)))</f>
        <v/>
      </c>
      <c r="H825" s="15">
        <f>IF(OR(G825="",F825=""),0,F825*G825)</f>
        <v/>
      </c>
      <c r="I825" s="20" t="n"/>
      <c r="J825" s="20" t="n"/>
      <c r="K825" s="24">
        <f>IF(OR(O825=0,J825=""),0,INDEX(MAPA!$C$5:$C$14,MATCH(J825,MAPA!$A$5:$A$14,0)))</f>
        <v/>
      </c>
      <c r="L825" s="25">
        <f>H825+K825</f>
        <v/>
      </c>
      <c r="M825" s="20" t="n"/>
      <c r="N825" s="20" t="n"/>
      <c r="O825" s="14">
        <f>IF(A825="",0,IF(COUNTIF($A$5:A825,A825)=1,1,0))</f>
        <v/>
      </c>
    </row>
    <row r="826">
      <c r="A826" s="20" t="n"/>
      <c r="B826" s="21" t="n"/>
      <c r="C826" s="20" t="n"/>
      <c r="D826" s="22">
        <f>IF(C826="","",INDEX(MERCADORIA!$B$5:$B$22,MATCH(C826,MERCADORIA!$A$5:$A$22,0)))</f>
        <v/>
      </c>
      <c r="E826" s="22">
        <f>IF(C826="","",INDEX(MERCADORIA!$C$5:$C$22,MATCH(C826,MERCADORIA!$A$5:$A$22,0)))</f>
        <v/>
      </c>
      <c r="F826" s="23" t="n"/>
      <c r="G826" s="24">
        <f>IF(D826="","",INDEX(VALOR!$B$5:$B$8,MATCH(D826,VALOR!$A$5:$A$8,0)))</f>
        <v/>
      </c>
      <c r="H826" s="15">
        <f>IF(OR(G826="",F826=""),0,F826*G826)</f>
        <v/>
      </c>
      <c r="I826" s="20" t="n"/>
      <c r="J826" s="20" t="n"/>
      <c r="K826" s="24">
        <f>IF(OR(O826=0,J826=""),0,INDEX(MAPA!$C$5:$C$14,MATCH(J826,MAPA!$A$5:$A$14,0)))</f>
        <v/>
      </c>
      <c r="L826" s="25">
        <f>H826+K826</f>
        <v/>
      </c>
      <c r="M826" s="20" t="n"/>
      <c r="N826" s="20" t="n"/>
      <c r="O826" s="14">
        <f>IF(A826="",0,IF(COUNTIF($A$5:A826,A826)=1,1,0))</f>
        <v/>
      </c>
    </row>
    <row r="827">
      <c r="A827" s="20" t="n"/>
      <c r="B827" s="21" t="n"/>
      <c r="C827" s="20" t="n"/>
      <c r="D827" s="22">
        <f>IF(C827="","",INDEX(MERCADORIA!$B$5:$B$22,MATCH(C827,MERCADORIA!$A$5:$A$22,0)))</f>
        <v/>
      </c>
      <c r="E827" s="22">
        <f>IF(C827="","",INDEX(MERCADORIA!$C$5:$C$22,MATCH(C827,MERCADORIA!$A$5:$A$22,0)))</f>
        <v/>
      </c>
      <c r="F827" s="23" t="n"/>
      <c r="G827" s="24">
        <f>IF(D827="","",INDEX(VALOR!$B$5:$B$8,MATCH(D827,VALOR!$A$5:$A$8,0)))</f>
        <v/>
      </c>
      <c r="H827" s="15">
        <f>IF(OR(G827="",F827=""),0,F827*G827)</f>
        <v/>
      </c>
      <c r="I827" s="20" t="n"/>
      <c r="J827" s="20" t="n"/>
      <c r="K827" s="24">
        <f>IF(OR(O827=0,J827=""),0,INDEX(MAPA!$C$5:$C$14,MATCH(J827,MAPA!$A$5:$A$14,0)))</f>
        <v/>
      </c>
      <c r="L827" s="25">
        <f>H827+K827</f>
        <v/>
      </c>
      <c r="M827" s="20" t="n"/>
      <c r="N827" s="20" t="n"/>
      <c r="O827" s="14">
        <f>IF(A827="",0,IF(COUNTIF($A$5:A827,A827)=1,1,0))</f>
        <v/>
      </c>
    </row>
    <row r="828">
      <c r="A828" s="20" t="n"/>
      <c r="B828" s="21" t="n"/>
      <c r="C828" s="20" t="n"/>
      <c r="D828" s="22">
        <f>IF(C828="","",INDEX(MERCADORIA!$B$5:$B$22,MATCH(C828,MERCADORIA!$A$5:$A$22,0)))</f>
        <v/>
      </c>
      <c r="E828" s="22">
        <f>IF(C828="","",INDEX(MERCADORIA!$C$5:$C$22,MATCH(C828,MERCADORIA!$A$5:$A$22,0)))</f>
        <v/>
      </c>
      <c r="F828" s="23" t="n"/>
      <c r="G828" s="24">
        <f>IF(D828="","",INDEX(VALOR!$B$5:$B$8,MATCH(D828,VALOR!$A$5:$A$8,0)))</f>
        <v/>
      </c>
      <c r="H828" s="15">
        <f>IF(OR(G828="",F828=""),0,F828*G828)</f>
        <v/>
      </c>
      <c r="I828" s="20" t="n"/>
      <c r="J828" s="20" t="n"/>
      <c r="K828" s="24">
        <f>IF(OR(O828=0,J828=""),0,INDEX(MAPA!$C$5:$C$14,MATCH(J828,MAPA!$A$5:$A$14,0)))</f>
        <v/>
      </c>
      <c r="L828" s="25">
        <f>H828+K828</f>
        <v/>
      </c>
      <c r="M828" s="20" t="n"/>
      <c r="N828" s="20" t="n"/>
      <c r="O828" s="14">
        <f>IF(A828="",0,IF(COUNTIF($A$5:A828,A828)=1,1,0))</f>
        <v/>
      </c>
    </row>
    <row r="829">
      <c r="A829" s="20" t="n"/>
      <c r="B829" s="21" t="n"/>
      <c r="C829" s="20" t="n"/>
      <c r="D829" s="22">
        <f>IF(C829="","",INDEX(MERCADORIA!$B$5:$B$22,MATCH(C829,MERCADORIA!$A$5:$A$22,0)))</f>
        <v/>
      </c>
      <c r="E829" s="22">
        <f>IF(C829="","",INDEX(MERCADORIA!$C$5:$C$22,MATCH(C829,MERCADORIA!$A$5:$A$22,0)))</f>
        <v/>
      </c>
      <c r="F829" s="23" t="n"/>
      <c r="G829" s="24">
        <f>IF(D829="","",INDEX(VALOR!$B$5:$B$8,MATCH(D829,VALOR!$A$5:$A$8,0)))</f>
        <v/>
      </c>
      <c r="H829" s="15">
        <f>IF(OR(G829="",F829=""),0,F829*G829)</f>
        <v/>
      </c>
      <c r="I829" s="20" t="n"/>
      <c r="J829" s="20" t="n"/>
      <c r="K829" s="24">
        <f>IF(OR(O829=0,J829=""),0,INDEX(MAPA!$C$5:$C$14,MATCH(J829,MAPA!$A$5:$A$14,0)))</f>
        <v/>
      </c>
      <c r="L829" s="25">
        <f>H829+K829</f>
        <v/>
      </c>
      <c r="M829" s="20" t="n"/>
      <c r="N829" s="20" t="n"/>
      <c r="O829" s="14">
        <f>IF(A829="",0,IF(COUNTIF($A$5:A829,A829)=1,1,0))</f>
        <v/>
      </c>
    </row>
    <row r="830">
      <c r="A830" s="20" t="n"/>
      <c r="B830" s="21" t="n"/>
      <c r="C830" s="20" t="n"/>
      <c r="D830" s="22">
        <f>IF(C830="","",INDEX(MERCADORIA!$B$5:$B$22,MATCH(C830,MERCADORIA!$A$5:$A$22,0)))</f>
        <v/>
      </c>
      <c r="E830" s="22">
        <f>IF(C830="","",INDEX(MERCADORIA!$C$5:$C$22,MATCH(C830,MERCADORIA!$A$5:$A$22,0)))</f>
        <v/>
      </c>
      <c r="F830" s="23" t="n"/>
      <c r="G830" s="24">
        <f>IF(D830="","",INDEX(VALOR!$B$5:$B$8,MATCH(D830,VALOR!$A$5:$A$8,0)))</f>
        <v/>
      </c>
      <c r="H830" s="15">
        <f>IF(OR(G830="",F830=""),0,F830*G830)</f>
        <v/>
      </c>
      <c r="I830" s="20" t="n"/>
      <c r="J830" s="20" t="n"/>
      <c r="K830" s="24">
        <f>IF(OR(O830=0,J830=""),0,INDEX(MAPA!$C$5:$C$14,MATCH(J830,MAPA!$A$5:$A$14,0)))</f>
        <v/>
      </c>
      <c r="L830" s="25">
        <f>H830+K830</f>
        <v/>
      </c>
      <c r="M830" s="20" t="n"/>
      <c r="N830" s="20" t="n"/>
      <c r="O830" s="14">
        <f>IF(A830="",0,IF(COUNTIF($A$5:A830,A830)=1,1,0))</f>
        <v/>
      </c>
    </row>
    <row r="831">
      <c r="A831" s="20" t="n"/>
      <c r="B831" s="21" t="n"/>
      <c r="C831" s="20" t="n"/>
      <c r="D831" s="22">
        <f>IF(C831="","",INDEX(MERCADORIA!$B$5:$B$22,MATCH(C831,MERCADORIA!$A$5:$A$22,0)))</f>
        <v/>
      </c>
      <c r="E831" s="22">
        <f>IF(C831="","",INDEX(MERCADORIA!$C$5:$C$22,MATCH(C831,MERCADORIA!$A$5:$A$22,0)))</f>
        <v/>
      </c>
      <c r="F831" s="23" t="n"/>
      <c r="G831" s="24">
        <f>IF(D831="","",INDEX(VALOR!$B$5:$B$8,MATCH(D831,VALOR!$A$5:$A$8,0)))</f>
        <v/>
      </c>
      <c r="H831" s="15">
        <f>IF(OR(G831="",F831=""),0,F831*G831)</f>
        <v/>
      </c>
      <c r="I831" s="20" t="n"/>
      <c r="J831" s="20" t="n"/>
      <c r="K831" s="24">
        <f>IF(OR(O831=0,J831=""),0,INDEX(MAPA!$C$5:$C$14,MATCH(J831,MAPA!$A$5:$A$14,0)))</f>
        <v/>
      </c>
      <c r="L831" s="25">
        <f>H831+K831</f>
        <v/>
      </c>
      <c r="M831" s="20" t="n"/>
      <c r="N831" s="20" t="n"/>
      <c r="O831" s="14">
        <f>IF(A831="",0,IF(COUNTIF($A$5:A831,A831)=1,1,0))</f>
        <v/>
      </c>
    </row>
    <row r="832">
      <c r="A832" s="20" t="n"/>
      <c r="B832" s="21" t="n"/>
      <c r="C832" s="20" t="n"/>
      <c r="D832" s="22">
        <f>IF(C832="","",INDEX(MERCADORIA!$B$5:$B$22,MATCH(C832,MERCADORIA!$A$5:$A$22,0)))</f>
        <v/>
      </c>
      <c r="E832" s="22">
        <f>IF(C832="","",INDEX(MERCADORIA!$C$5:$C$22,MATCH(C832,MERCADORIA!$A$5:$A$22,0)))</f>
        <v/>
      </c>
      <c r="F832" s="23" t="n"/>
      <c r="G832" s="24">
        <f>IF(D832="","",INDEX(VALOR!$B$5:$B$8,MATCH(D832,VALOR!$A$5:$A$8,0)))</f>
        <v/>
      </c>
      <c r="H832" s="15">
        <f>IF(OR(G832="",F832=""),0,F832*G832)</f>
        <v/>
      </c>
      <c r="I832" s="20" t="n"/>
      <c r="J832" s="20" t="n"/>
      <c r="K832" s="24">
        <f>IF(OR(O832=0,J832=""),0,INDEX(MAPA!$C$5:$C$14,MATCH(J832,MAPA!$A$5:$A$14,0)))</f>
        <v/>
      </c>
      <c r="L832" s="25">
        <f>H832+K832</f>
        <v/>
      </c>
      <c r="M832" s="20" t="n"/>
      <c r="N832" s="20" t="n"/>
      <c r="O832" s="14">
        <f>IF(A832="",0,IF(COUNTIF($A$5:A832,A832)=1,1,0))</f>
        <v/>
      </c>
    </row>
    <row r="833">
      <c r="A833" s="20" t="n"/>
      <c r="B833" s="21" t="n"/>
      <c r="C833" s="20" t="n"/>
      <c r="D833" s="22">
        <f>IF(C833="","",INDEX(MERCADORIA!$B$5:$B$22,MATCH(C833,MERCADORIA!$A$5:$A$22,0)))</f>
        <v/>
      </c>
      <c r="E833" s="22">
        <f>IF(C833="","",INDEX(MERCADORIA!$C$5:$C$22,MATCH(C833,MERCADORIA!$A$5:$A$22,0)))</f>
        <v/>
      </c>
      <c r="F833" s="23" t="n"/>
      <c r="G833" s="24">
        <f>IF(D833="","",INDEX(VALOR!$B$5:$B$8,MATCH(D833,VALOR!$A$5:$A$8,0)))</f>
        <v/>
      </c>
      <c r="H833" s="15">
        <f>IF(OR(G833="",F833=""),0,F833*G833)</f>
        <v/>
      </c>
      <c r="I833" s="20" t="n"/>
      <c r="J833" s="20" t="n"/>
      <c r="K833" s="24">
        <f>IF(OR(O833=0,J833=""),0,INDEX(MAPA!$C$5:$C$14,MATCH(J833,MAPA!$A$5:$A$14,0)))</f>
        <v/>
      </c>
      <c r="L833" s="25">
        <f>H833+K833</f>
        <v/>
      </c>
      <c r="M833" s="20" t="n"/>
      <c r="N833" s="20" t="n"/>
      <c r="O833" s="14">
        <f>IF(A833="",0,IF(COUNTIF($A$5:A833,A833)=1,1,0))</f>
        <v/>
      </c>
    </row>
    <row r="834">
      <c r="A834" s="20" t="n"/>
      <c r="B834" s="21" t="n"/>
      <c r="C834" s="20" t="n"/>
      <c r="D834" s="22">
        <f>IF(C834="","",INDEX(MERCADORIA!$B$5:$B$22,MATCH(C834,MERCADORIA!$A$5:$A$22,0)))</f>
        <v/>
      </c>
      <c r="E834" s="22">
        <f>IF(C834="","",INDEX(MERCADORIA!$C$5:$C$22,MATCH(C834,MERCADORIA!$A$5:$A$22,0)))</f>
        <v/>
      </c>
      <c r="F834" s="23" t="n"/>
      <c r="G834" s="24">
        <f>IF(D834="","",INDEX(VALOR!$B$5:$B$8,MATCH(D834,VALOR!$A$5:$A$8,0)))</f>
        <v/>
      </c>
      <c r="H834" s="15">
        <f>IF(OR(G834="",F834=""),0,F834*G834)</f>
        <v/>
      </c>
      <c r="I834" s="20" t="n"/>
      <c r="J834" s="20" t="n"/>
      <c r="K834" s="24">
        <f>IF(OR(O834=0,J834=""),0,INDEX(MAPA!$C$5:$C$14,MATCH(J834,MAPA!$A$5:$A$14,0)))</f>
        <v/>
      </c>
      <c r="L834" s="25">
        <f>H834+K834</f>
        <v/>
      </c>
      <c r="M834" s="20" t="n"/>
      <c r="N834" s="20" t="n"/>
      <c r="O834" s="14">
        <f>IF(A834="",0,IF(COUNTIF($A$5:A834,A834)=1,1,0))</f>
        <v/>
      </c>
    </row>
    <row r="835">
      <c r="A835" s="20" t="n"/>
      <c r="B835" s="21" t="n"/>
      <c r="C835" s="20" t="n"/>
      <c r="D835" s="22">
        <f>IF(C835="","",INDEX(MERCADORIA!$B$5:$B$22,MATCH(C835,MERCADORIA!$A$5:$A$22,0)))</f>
        <v/>
      </c>
      <c r="E835" s="22">
        <f>IF(C835="","",INDEX(MERCADORIA!$C$5:$C$22,MATCH(C835,MERCADORIA!$A$5:$A$22,0)))</f>
        <v/>
      </c>
      <c r="F835" s="23" t="n"/>
      <c r="G835" s="24">
        <f>IF(D835="","",INDEX(VALOR!$B$5:$B$8,MATCH(D835,VALOR!$A$5:$A$8,0)))</f>
        <v/>
      </c>
      <c r="H835" s="15">
        <f>IF(OR(G835="",F835=""),0,F835*G835)</f>
        <v/>
      </c>
      <c r="I835" s="20" t="n"/>
      <c r="J835" s="20" t="n"/>
      <c r="K835" s="24">
        <f>IF(OR(O835=0,J835=""),0,INDEX(MAPA!$C$5:$C$14,MATCH(J835,MAPA!$A$5:$A$14,0)))</f>
        <v/>
      </c>
      <c r="L835" s="25">
        <f>H835+K835</f>
        <v/>
      </c>
      <c r="M835" s="20" t="n"/>
      <c r="N835" s="20" t="n"/>
      <c r="O835" s="14">
        <f>IF(A835="",0,IF(COUNTIF($A$5:A835,A835)=1,1,0))</f>
        <v/>
      </c>
    </row>
    <row r="836">
      <c r="A836" s="20" t="n"/>
      <c r="B836" s="21" t="n"/>
      <c r="C836" s="20" t="n"/>
      <c r="D836" s="22">
        <f>IF(C836="","",INDEX(MERCADORIA!$B$5:$B$22,MATCH(C836,MERCADORIA!$A$5:$A$22,0)))</f>
        <v/>
      </c>
      <c r="E836" s="22">
        <f>IF(C836="","",INDEX(MERCADORIA!$C$5:$C$22,MATCH(C836,MERCADORIA!$A$5:$A$22,0)))</f>
        <v/>
      </c>
      <c r="F836" s="23" t="n"/>
      <c r="G836" s="24">
        <f>IF(D836="","",INDEX(VALOR!$B$5:$B$8,MATCH(D836,VALOR!$A$5:$A$8,0)))</f>
        <v/>
      </c>
      <c r="H836" s="15">
        <f>IF(OR(G836="",F836=""),0,F836*G836)</f>
        <v/>
      </c>
      <c r="I836" s="20" t="n"/>
      <c r="J836" s="20" t="n"/>
      <c r="K836" s="24">
        <f>IF(OR(O836=0,J836=""),0,INDEX(MAPA!$C$5:$C$14,MATCH(J836,MAPA!$A$5:$A$14,0)))</f>
        <v/>
      </c>
      <c r="L836" s="25">
        <f>H836+K836</f>
        <v/>
      </c>
      <c r="M836" s="20" t="n"/>
      <c r="N836" s="20" t="n"/>
      <c r="O836" s="14">
        <f>IF(A836="",0,IF(COUNTIF($A$5:A836,A836)=1,1,0))</f>
        <v/>
      </c>
    </row>
    <row r="837">
      <c r="A837" s="20" t="n"/>
      <c r="B837" s="21" t="n"/>
      <c r="C837" s="20" t="n"/>
      <c r="D837" s="22">
        <f>IF(C837="","",INDEX(MERCADORIA!$B$5:$B$22,MATCH(C837,MERCADORIA!$A$5:$A$22,0)))</f>
        <v/>
      </c>
      <c r="E837" s="22">
        <f>IF(C837="","",INDEX(MERCADORIA!$C$5:$C$22,MATCH(C837,MERCADORIA!$A$5:$A$22,0)))</f>
        <v/>
      </c>
      <c r="F837" s="23" t="n"/>
      <c r="G837" s="24">
        <f>IF(D837="","",INDEX(VALOR!$B$5:$B$8,MATCH(D837,VALOR!$A$5:$A$8,0)))</f>
        <v/>
      </c>
      <c r="H837" s="15">
        <f>IF(OR(G837="",F837=""),0,F837*G837)</f>
        <v/>
      </c>
      <c r="I837" s="20" t="n"/>
      <c r="J837" s="20" t="n"/>
      <c r="K837" s="24">
        <f>IF(OR(O837=0,J837=""),0,INDEX(MAPA!$C$5:$C$14,MATCH(J837,MAPA!$A$5:$A$14,0)))</f>
        <v/>
      </c>
      <c r="L837" s="25">
        <f>H837+K837</f>
        <v/>
      </c>
      <c r="M837" s="20" t="n"/>
      <c r="N837" s="20" t="n"/>
      <c r="O837" s="14">
        <f>IF(A837="",0,IF(COUNTIF($A$5:A837,A837)=1,1,0))</f>
        <v/>
      </c>
    </row>
    <row r="838">
      <c r="A838" s="20" t="n"/>
      <c r="B838" s="21" t="n"/>
      <c r="C838" s="20" t="n"/>
      <c r="D838" s="22">
        <f>IF(C838="","",INDEX(MERCADORIA!$B$5:$B$22,MATCH(C838,MERCADORIA!$A$5:$A$22,0)))</f>
        <v/>
      </c>
      <c r="E838" s="22">
        <f>IF(C838="","",INDEX(MERCADORIA!$C$5:$C$22,MATCH(C838,MERCADORIA!$A$5:$A$22,0)))</f>
        <v/>
      </c>
      <c r="F838" s="23" t="n"/>
      <c r="G838" s="24">
        <f>IF(D838="","",INDEX(VALOR!$B$5:$B$8,MATCH(D838,VALOR!$A$5:$A$8,0)))</f>
        <v/>
      </c>
      <c r="H838" s="15">
        <f>IF(OR(G838="",F838=""),0,F838*G838)</f>
        <v/>
      </c>
      <c r="I838" s="20" t="n"/>
      <c r="J838" s="20" t="n"/>
      <c r="K838" s="24">
        <f>IF(OR(O838=0,J838=""),0,INDEX(MAPA!$C$5:$C$14,MATCH(J838,MAPA!$A$5:$A$14,0)))</f>
        <v/>
      </c>
      <c r="L838" s="25">
        <f>H838+K838</f>
        <v/>
      </c>
      <c r="M838" s="20" t="n"/>
      <c r="N838" s="20" t="n"/>
      <c r="O838" s="14">
        <f>IF(A838="",0,IF(COUNTIF($A$5:A838,A838)=1,1,0))</f>
        <v/>
      </c>
    </row>
    <row r="839">
      <c r="A839" s="20" t="n"/>
      <c r="B839" s="21" t="n"/>
      <c r="C839" s="20" t="n"/>
      <c r="D839" s="22">
        <f>IF(C839="","",INDEX(MERCADORIA!$B$5:$B$22,MATCH(C839,MERCADORIA!$A$5:$A$22,0)))</f>
        <v/>
      </c>
      <c r="E839" s="22">
        <f>IF(C839="","",INDEX(MERCADORIA!$C$5:$C$22,MATCH(C839,MERCADORIA!$A$5:$A$22,0)))</f>
        <v/>
      </c>
      <c r="F839" s="23" t="n"/>
      <c r="G839" s="24">
        <f>IF(D839="","",INDEX(VALOR!$B$5:$B$8,MATCH(D839,VALOR!$A$5:$A$8,0)))</f>
        <v/>
      </c>
      <c r="H839" s="15">
        <f>IF(OR(G839="",F839=""),0,F839*G839)</f>
        <v/>
      </c>
      <c r="I839" s="20" t="n"/>
      <c r="J839" s="20" t="n"/>
      <c r="K839" s="24">
        <f>IF(OR(O839=0,J839=""),0,INDEX(MAPA!$C$5:$C$14,MATCH(J839,MAPA!$A$5:$A$14,0)))</f>
        <v/>
      </c>
      <c r="L839" s="25">
        <f>H839+K839</f>
        <v/>
      </c>
      <c r="M839" s="20" t="n"/>
      <c r="N839" s="20" t="n"/>
      <c r="O839" s="14">
        <f>IF(A839="",0,IF(COUNTIF($A$5:A839,A839)=1,1,0))</f>
        <v/>
      </c>
    </row>
    <row r="840">
      <c r="A840" s="20" t="n"/>
      <c r="B840" s="21" t="n"/>
      <c r="C840" s="20" t="n"/>
      <c r="D840" s="22">
        <f>IF(C840="","",INDEX(MERCADORIA!$B$5:$B$22,MATCH(C840,MERCADORIA!$A$5:$A$22,0)))</f>
        <v/>
      </c>
      <c r="E840" s="22">
        <f>IF(C840="","",INDEX(MERCADORIA!$C$5:$C$22,MATCH(C840,MERCADORIA!$A$5:$A$22,0)))</f>
        <v/>
      </c>
      <c r="F840" s="23" t="n"/>
      <c r="G840" s="24">
        <f>IF(D840="","",INDEX(VALOR!$B$5:$B$8,MATCH(D840,VALOR!$A$5:$A$8,0)))</f>
        <v/>
      </c>
      <c r="H840" s="15">
        <f>IF(OR(G840="",F840=""),0,F840*G840)</f>
        <v/>
      </c>
      <c r="I840" s="20" t="n"/>
      <c r="J840" s="20" t="n"/>
      <c r="K840" s="24">
        <f>IF(OR(O840=0,J840=""),0,INDEX(MAPA!$C$5:$C$14,MATCH(J840,MAPA!$A$5:$A$14,0)))</f>
        <v/>
      </c>
      <c r="L840" s="25">
        <f>H840+K840</f>
        <v/>
      </c>
      <c r="M840" s="20" t="n"/>
      <c r="N840" s="20" t="n"/>
      <c r="O840" s="14">
        <f>IF(A840="",0,IF(COUNTIF($A$5:A840,A840)=1,1,0))</f>
        <v/>
      </c>
    </row>
    <row r="841">
      <c r="A841" s="20" t="n"/>
      <c r="B841" s="21" t="n"/>
      <c r="C841" s="20" t="n"/>
      <c r="D841" s="22">
        <f>IF(C841="","",INDEX(MERCADORIA!$B$5:$B$22,MATCH(C841,MERCADORIA!$A$5:$A$22,0)))</f>
        <v/>
      </c>
      <c r="E841" s="22">
        <f>IF(C841="","",INDEX(MERCADORIA!$C$5:$C$22,MATCH(C841,MERCADORIA!$A$5:$A$22,0)))</f>
        <v/>
      </c>
      <c r="F841" s="23" t="n"/>
      <c r="G841" s="24">
        <f>IF(D841="","",INDEX(VALOR!$B$5:$B$8,MATCH(D841,VALOR!$A$5:$A$8,0)))</f>
        <v/>
      </c>
      <c r="H841" s="15">
        <f>IF(OR(G841="",F841=""),0,F841*G841)</f>
        <v/>
      </c>
      <c r="I841" s="20" t="n"/>
      <c r="J841" s="20" t="n"/>
      <c r="K841" s="24">
        <f>IF(OR(O841=0,J841=""),0,INDEX(MAPA!$C$5:$C$14,MATCH(J841,MAPA!$A$5:$A$14,0)))</f>
        <v/>
      </c>
      <c r="L841" s="25">
        <f>H841+K841</f>
        <v/>
      </c>
      <c r="M841" s="20" t="n"/>
      <c r="N841" s="20" t="n"/>
      <c r="O841" s="14">
        <f>IF(A841="",0,IF(COUNTIF($A$5:A841,A841)=1,1,0))</f>
        <v/>
      </c>
    </row>
    <row r="842">
      <c r="A842" s="20" t="n"/>
      <c r="B842" s="21" t="n"/>
      <c r="C842" s="20" t="n"/>
      <c r="D842" s="22">
        <f>IF(C842="","",INDEX(MERCADORIA!$B$5:$B$22,MATCH(C842,MERCADORIA!$A$5:$A$22,0)))</f>
        <v/>
      </c>
      <c r="E842" s="22">
        <f>IF(C842="","",INDEX(MERCADORIA!$C$5:$C$22,MATCH(C842,MERCADORIA!$A$5:$A$22,0)))</f>
        <v/>
      </c>
      <c r="F842" s="23" t="n"/>
      <c r="G842" s="24">
        <f>IF(D842="","",INDEX(VALOR!$B$5:$B$8,MATCH(D842,VALOR!$A$5:$A$8,0)))</f>
        <v/>
      </c>
      <c r="H842" s="15">
        <f>IF(OR(G842="",F842=""),0,F842*G842)</f>
        <v/>
      </c>
      <c r="I842" s="20" t="n"/>
      <c r="J842" s="20" t="n"/>
      <c r="K842" s="24">
        <f>IF(OR(O842=0,J842=""),0,INDEX(MAPA!$C$5:$C$14,MATCH(J842,MAPA!$A$5:$A$14,0)))</f>
        <v/>
      </c>
      <c r="L842" s="25">
        <f>H842+K842</f>
        <v/>
      </c>
      <c r="M842" s="20" t="n"/>
      <c r="N842" s="20" t="n"/>
      <c r="O842" s="14">
        <f>IF(A842="",0,IF(COUNTIF($A$5:A842,A842)=1,1,0))</f>
        <v/>
      </c>
    </row>
    <row r="843">
      <c r="A843" s="20" t="n"/>
      <c r="B843" s="21" t="n"/>
      <c r="C843" s="20" t="n"/>
      <c r="D843" s="22">
        <f>IF(C843="","",INDEX(MERCADORIA!$B$5:$B$22,MATCH(C843,MERCADORIA!$A$5:$A$22,0)))</f>
        <v/>
      </c>
      <c r="E843" s="22">
        <f>IF(C843="","",INDEX(MERCADORIA!$C$5:$C$22,MATCH(C843,MERCADORIA!$A$5:$A$22,0)))</f>
        <v/>
      </c>
      <c r="F843" s="23" t="n"/>
      <c r="G843" s="24">
        <f>IF(D843="","",INDEX(VALOR!$B$5:$B$8,MATCH(D843,VALOR!$A$5:$A$8,0)))</f>
        <v/>
      </c>
      <c r="H843" s="15">
        <f>IF(OR(G843="",F843=""),0,F843*G843)</f>
        <v/>
      </c>
      <c r="I843" s="20" t="n"/>
      <c r="J843" s="20" t="n"/>
      <c r="K843" s="24">
        <f>IF(OR(O843=0,J843=""),0,INDEX(MAPA!$C$5:$C$14,MATCH(J843,MAPA!$A$5:$A$14,0)))</f>
        <v/>
      </c>
      <c r="L843" s="25">
        <f>H843+K843</f>
        <v/>
      </c>
      <c r="M843" s="20" t="n"/>
      <c r="N843" s="20" t="n"/>
      <c r="O843" s="14">
        <f>IF(A843="",0,IF(COUNTIF($A$5:A843,A843)=1,1,0))</f>
        <v/>
      </c>
    </row>
    <row r="844">
      <c r="A844" s="20" t="n"/>
      <c r="B844" s="21" t="n"/>
      <c r="C844" s="20" t="n"/>
      <c r="D844" s="22">
        <f>IF(C844="","",INDEX(MERCADORIA!$B$5:$B$22,MATCH(C844,MERCADORIA!$A$5:$A$22,0)))</f>
        <v/>
      </c>
      <c r="E844" s="22">
        <f>IF(C844="","",INDEX(MERCADORIA!$C$5:$C$22,MATCH(C844,MERCADORIA!$A$5:$A$22,0)))</f>
        <v/>
      </c>
      <c r="F844" s="23" t="n"/>
      <c r="G844" s="24">
        <f>IF(D844="","",INDEX(VALOR!$B$5:$B$8,MATCH(D844,VALOR!$A$5:$A$8,0)))</f>
        <v/>
      </c>
      <c r="H844" s="15">
        <f>IF(OR(G844="",F844=""),0,F844*G844)</f>
        <v/>
      </c>
      <c r="I844" s="20" t="n"/>
      <c r="J844" s="20" t="n"/>
      <c r="K844" s="24">
        <f>IF(OR(O844=0,J844=""),0,INDEX(MAPA!$C$5:$C$14,MATCH(J844,MAPA!$A$5:$A$14,0)))</f>
        <v/>
      </c>
      <c r="L844" s="25">
        <f>H844+K844</f>
        <v/>
      </c>
      <c r="M844" s="20" t="n"/>
      <c r="N844" s="20" t="n"/>
      <c r="O844" s="14">
        <f>IF(A844="",0,IF(COUNTIF($A$5:A844,A844)=1,1,0))</f>
        <v/>
      </c>
    </row>
    <row r="845">
      <c r="A845" s="20" t="n"/>
      <c r="B845" s="21" t="n"/>
      <c r="C845" s="20" t="n"/>
      <c r="D845" s="22">
        <f>IF(C845="","",INDEX(MERCADORIA!$B$5:$B$22,MATCH(C845,MERCADORIA!$A$5:$A$22,0)))</f>
        <v/>
      </c>
      <c r="E845" s="22">
        <f>IF(C845="","",INDEX(MERCADORIA!$C$5:$C$22,MATCH(C845,MERCADORIA!$A$5:$A$22,0)))</f>
        <v/>
      </c>
      <c r="F845" s="23" t="n"/>
      <c r="G845" s="24">
        <f>IF(D845="","",INDEX(VALOR!$B$5:$B$8,MATCH(D845,VALOR!$A$5:$A$8,0)))</f>
        <v/>
      </c>
      <c r="H845" s="15">
        <f>IF(OR(G845="",F845=""),0,F845*G845)</f>
        <v/>
      </c>
      <c r="I845" s="20" t="n"/>
      <c r="J845" s="20" t="n"/>
      <c r="K845" s="24">
        <f>IF(OR(O845=0,J845=""),0,INDEX(MAPA!$C$5:$C$14,MATCH(J845,MAPA!$A$5:$A$14,0)))</f>
        <v/>
      </c>
      <c r="L845" s="25">
        <f>H845+K845</f>
        <v/>
      </c>
      <c r="M845" s="20" t="n"/>
      <c r="N845" s="20" t="n"/>
      <c r="O845" s="14">
        <f>IF(A845="",0,IF(COUNTIF($A$5:A845,A845)=1,1,0))</f>
        <v/>
      </c>
    </row>
    <row r="846">
      <c r="A846" s="20" t="n"/>
      <c r="B846" s="21" t="n"/>
      <c r="C846" s="20" t="n"/>
      <c r="D846" s="22">
        <f>IF(C846="","",INDEX(MERCADORIA!$B$5:$B$22,MATCH(C846,MERCADORIA!$A$5:$A$22,0)))</f>
        <v/>
      </c>
      <c r="E846" s="22">
        <f>IF(C846="","",INDEX(MERCADORIA!$C$5:$C$22,MATCH(C846,MERCADORIA!$A$5:$A$22,0)))</f>
        <v/>
      </c>
      <c r="F846" s="23" t="n"/>
      <c r="G846" s="24">
        <f>IF(D846="","",INDEX(VALOR!$B$5:$B$8,MATCH(D846,VALOR!$A$5:$A$8,0)))</f>
        <v/>
      </c>
      <c r="H846" s="15">
        <f>IF(OR(G846="",F846=""),0,F846*G846)</f>
        <v/>
      </c>
      <c r="I846" s="20" t="n"/>
      <c r="J846" s="20" t="n"/>
      <c r="K846" s="24">
        <f>IF(OR(O846=0,J846=""),0,INDEX(MAPA!$C$5:$C$14,MATCH(J846,MAPA!$A$5:$A$14,0)))</f>
        <v/>
      </c>
      <c r="L846" s="25">
        <f>H846+K846</f>
        <v/>
      </c>
      <c r="M846" s="20" t="n"/>
      <c r="N846" s="20" t="n"/>
      <c r="O846" s="14">
        <f>IF(A846="",0,IF(COUNTIF($A$5:A846,A846)=1,1,0))</f>
        <v/>
      </c>
    </row>
    <row r="847">
      <c r="A847" s="20" t="n"/>
      <c r="B847" s="21" t="n"/>
      <c r="C847" s="20" t="n"/>
      <c r="D847" s="22">
        <f>IF(C847="","",INDEX(MERCADORIA!$B$5:$B$22,MATCH(C847,MERCADORIA!$A$5:$A$22,0)))</f>
        <v/>
      </c>
      <c r="E847" s="22">
        <f>IF(C847="","",INDEX(MERCADORIA!$C$5:$C$22,MATCH(C847,MERCADORIA!$A$5:$A$22,0)))</f>
        <v/>
      </c>
      <c r="F847" s="23" t="n"/>
      <c r="G847" s="24">
        <f>IF(D847="","",INDEX(VALOR!$B$5:$B$8,MATCH(D847,VALOR!$A$5:$A$8,0)))</f>
        <v/>
      </c>
      <c r="H847" s="15">
        <f>IF(OR(G847="",F847=""),0,F847*G847)</f>
        <v/>
      </c>
      <c r="I847" s="20" t="n"/>
      <c r="J847" s="20" t="n"/>
      <c r="K847" s="24">
        <f>IF(OR(O847=0,J847=""),0,INDEX(MAPA!$C$5:$C$14,MATCH(J847,MAPA!$A$5:$A$14,0)))</f>
        <v/>
      </c>
      <c r="L847" s="25">
        <f>H847+K847</f>
        <v/>
      </c>
      <c r="M847" s="20" t="n"/>
      <c r="N847" s="20" t="n"/>
      <c r="O847" s="14">
        <f>IF(A847="",0,IF(COUNTIF($A$5:A847,A847)=1,1,0))</f>
        <v/>
      </c>
    </row>
    <row r="848">
      <c r="A848" s="20" t="n"/>
      <c r="B848" s="21" t="n"/>
      <c r="C848" s="20" t="n"/>
      <c r="D848" s="22">
        <f>IF(C848="","",INDEX(MERCADORIA!$B$5:$B$22,MATCH(C848,MERCADORIA!$A$5:$A$22,0)))</f>
        <v/>
      </c>
      <c r="E848" s="22">
        <f>IF(C848="","",INDEX(MERCADORIA!$C$5:$C$22,MATCH(C848,MERCADORIA!$A$5:$A$22,0)))</f>
        <v/>
      </c>
      <c r="F848" s="23" t="n"/>
      <c r="G848" s="24">
        <f>IF(D848="","",INDEX(VALOR!$B$5:$B$8,MATCH(D848,VALOR!$A$5:$A$8,0)))</f>
        <v/>
      </c>
      <c r="H848" s="15">
        <f>IF(OR(G848="",F848=""),0,F848*G848)</f>
        <v/>
      </c>
      <c r="I848" s="20" t="n"/>
      <c r="J848" s="20" t="n"/>
      <c r="K848" s="24">
        <f>IF(OR(O848=0,J848=""),0,INDEX(MAPA!$C$5:$C$14,MATCH(J848,MAPA!$A$5:$A$14,0)))</f>
        <v/>
      </c>
      <c r="L848" s="25">
        <f>H848+K848</f>
        <v/>
      </c>
      <c r="M848" s="20" t="n"/>
      <c r="N848" s="20" t="n"/>
      <c r="O848" s="14">
        <f>IF(A848="",0,IF(COUNTIF($A$5:A848,A848)=1,1,0))</f>
        <v/>
      </c>
    </row>
    <row r="849">
      <c r="A849" s="20" t="n"/>
      <c r="B849" s="21" t="n"/>
      <c r="C849" s="20" t="n"/>
      <c r="D849" s="22">
        <f>IF(C849="","",INDEX(MERCADORIA!$B$5:$B$22,MATCH(C849,MERCADORIA!$A$5:$A$22,0)))</f>
        <v/>
      </c>
      <c r="E849" s="22">
        <f>IF(C849="","",INDEX(MERCADORIA!$C$5:$C$22,MATCH(C849,MERCADORIA!$A$5:$A$22,0)))</f>
        <v/>
      </c>
      <c r="F849" s="23" t="n"/>
      <c r="G849" s="24">
        <f>IF(D849="","",INDEX(VALOR!$B$5:$B$8,MATCH(D849,VALOR!$A$5:$A$8,0)))</f>
        <v/>
      </c>
      <c r="H849" s="15">
        <f>IF(OR(G849="",F849=""),0,F849*G849)</f>
        <v/>
      </c>
      <c r="I849" s="20" t="n"/>
      <c r="J849" s="20" t="n"/>
      <c r="K849" s="24">
        <f>IF(OR(O849=0,J849=""),0,INDEX(MAPA!$C$5:$C$14,MATCH(J849,MAPA!$A$5:$A$14,0)))</f>
        <v/>
      </c>
      <c r="L849" s="25">
        <f>H849+K849</f>
        <v/>
      </c>
      <c r="M849" s="20" t="n"/>
      <c r="N849" s="20" t="n"/>
      <c r="O849" s="14">
        <f>IF(A849="",0,IF(COUNTIF($A$5:A849,A849)=1,1,0))</f>
        <v/>
      </c>
    </row>
    <row r="850">
      <c r="A850" s="20" t="n"/>
      <c r="B850" s="21" t="n"/>
      <c r="C850" s="20" t="n"/>
      <c r="D850" s="22">
        <f>IF(C850="","",INDEX(MERCADORIA!$B$5:$B$22,MATCH(C850,MERCADORIA!$A$5:$A$22,0)))</f>
        <v/>
      </c>
      <c r="E850" s="22">
        <f>IF(C850="","",INDEX(MERCADORIA!$C$5:$C$22,MATCH(C850,MERCADORIA!$A$5:$A$22,0)))</f>
        <v/>
      </c>
      <c r="F850" s="23" t="n"/>
      <c r="G850" s="24">
        <f>IF(D850="","",INDEX(VALOR!$B$5:$B$8,MATCH(D850,VALOR!$A$5:$A$8,0)))</f>
        <v/>
      </c>
      <c r="H850" s="15">
        <f>IF(OR(G850="",F850=""),0,F850*G850)</f>
        <v/>
      </c>
      <c r="I850" s="20" t="n"/>
      <c r="J850" s="20" t="n"/>
      <c r="K850" s="24">
        <f>IF(OR(O850=0,J850=""),0,INDEX(MAPA!$C$5:$C$14,MATCH(J850,MAPA!$A$5:$A$14,0)))</f>
        <v/>
      </c>
      <c r="L850" s="25">
        <f>H850+K850</f>
        <v/>
      </c>
      <c r="M850" s="20" t="n"/>
      <c r="N850" s="20" t="n"/>
      <c r="O850" s="14">
        <f>IF(A850="",0,IF(COUNTIF($A$5:A850,A850)=1,1,0))</f>
        <v/>
      </c>
    </row>
    <row r="851">
      <c r="A851" s="20" t="n"/>
      <c r="B851" s="21" t="n"/>
      <c r="C851" s="20" t="n"/>
      <c r="D851" s="22">
        <f>IF(C851="","",INDEX(MERCADORIA!$B$5:$B$22,MATCH(C851,MERCADORIA!$A$5:$A$22,0)))</f>
        <v/>
      </c>
      <c r="E851" s="22">
        <f>IF(C851="","",INDEX(MERCADORIA!$C$5:$C$22,MATCH(C851,MERCADORIA!$A$5:$A$22,0)))</f>
        <v/>
      </c>
      <c r="F851" s="23" t="n"/>
      <c r="G851" s="24">
        <f>IF(D851="","",INDEX(VALOR!$B$5:$B$8,MATCH(D851,VALOR!$A$5:$A$8,0)))</f>
        <v/>
      </c>
      <c r="H851" s="15">
        <f>IF(OR(G851="",F851=""),0,F851*G851)</f>
        <v/>
      </c>
      <c r="I851" s="20" t="n"/>
      <c r="J851" s="20" t="n"/>
      <c r="K851" s="24">
        <f>IF(OR(O851=0,J851=""),0,INDEX(MAPA!$C$5:$C$14,MATCH(J851,MAPA!$A$5:$A$14,0)))</f>
        <v/>
      </c>
      <c r="L851" s="25">
        <f>H851+K851</f>
        <v/>
      </c>
      <c r="M851" s="20" t="n"/>
      <c r="N851" s="20" t="n"/>
      <c r="O851" s="14">
        <f>IF(A851="",0,IF(COUNTIF($A$5:A851,A851)=1,1,0))</f>
        <v/>
      </c>
    </row>
    <row r="852">
      <c r="A852" s="20" t="n"/>
      <c r="B852" s="21" t="n"/>
      <c r="C852" s="20" t="n"/>
      <c r="D852" s="22">
        <f>IF(C852="","",INDEX(MERCADORIA!$B$5:$B$22,MATCH(C852,MERCADORIA!$A$5:$A$22,0)))</f>
        <v/>
      </c>
      <c r="E852" s="22">
        <f>IF(C852="","",INDEX(MERCADORIA!$C$5:$C$22,MATCH(C852,MERCADORIA!$A$5:$A$22,0)))</f>
        <v/>
      </c>
      <c r="F852" s="23" t="n"/>
      <c r="G852" s="24">
        <f>IF(D852="","",INDEX(VALOR!$B$5:$B$8,MATCH(D852,VALOR!$A$5:$A$8,0)))</f>
        <v/>
      </c>
      <c r="H852" s="15">
        <f>IF(OR(G852="",F852=""),0,F852*G852)</f>
        <v/>
      </c>
      <c r="I852" s="20" t="n"/>
      <c r="J852" s="20" t="n"/>
      <c r="K852" s="24">
        <f>IF(OR(O852=0,J852=""),0,INDEX(MAPA!$C$5:$C$14,MATCH(J852,MAPA!$A$5:$A$14,0)))</f>
        <v/>
      </c>
      <c r="L852" s="25">
        <f>H852+K852</f>
        <v/>
      </c>
      <c r="M852" s="20" t="n"/>
      <c r="N852" s="20" t="n"/>
      <c r="O852" s="14">
        <f>IF(A852="",0,IF(COUNTIF($A$5:A852,A852)=1,1,0))</f>
        <v/>
      </c>
    </row>
    <row r="853">
      <c r="A853" s="20" t="n"/>
      <c r="B853" s="21" t="n"/>
      <c r="C853" s="20" t="n"/>
      <c r="D853" s="22">
        <f>IF(C853="","",INDEX(MERCADORIA!$B$5:$B$22,MATCH(C853,MERCADORIA!$A$5:$A$22,0)))</f>
        <v/>
      </c>
      <c r="E853" s="22">
        <f>IF(C853="","",INDEX(MERCADORIA!$C$5:$C$22,MATCH(C853,MERCADORIA!$A$5:$A$22,0)))</f>
        <v/>
      </c>
      <c r="F853" s="23" t="n"/>
      <c r="G853" s="24">
        <f>IF(D853="","",INDEX(VALOR!$B$5:$B$8,MATCH(D853,VALOR!$A$5:$A$8,0)))</f>
        <v/>
      </c>
      <c r="H853" s="15">
        <f>IF(OR(G853="",F853=""),0,F853*G853)</f>
        <v/>
      </c>
      <c r="I853" s="20" t="n"/>
      <c r="J853" s="20" t="n"/>
      <c r="K853" s="24">
        <f>IF(OR(O853=0,J853=""),0,INDEX(MAPA!$C$5:$C$14,MATCH(J853,MAPA!$A$5:$A$14,0)))</f>
        <v/>
      </c>
      <c r="L853" s="25">
        <f>H853+K853</f>
        <v/>
      </c>
      <c r="M853" s="20" t="n"/>
      <c r="N853" s="20" t="n"/>
      <c r="O853" s="14">
        <f>IF(A853="",0,IF(COUNTIF($A$5:A853,A853)=1,1,0))</f>
        <v/>
      </c>
    </row>
    <row r="854">
      <c r="A854" s="20" t="n"/>
      <c r="B854" s="21" t="n"/>
      <c r="C854" s="20" t="n"/>
      <c r="D854" s="22">
        <f>IF(C854="","",INDEX(MERCADORIA!$B$5:$B$22,MATCH(C854,MERCADORIA!$A$5:$A$22,0)))</f>
        <v/>
      </c>
      <c r="E854" s="22">
        <f>IF(C854="","",INDEX(MERCADORIA!$C$5:$C$22,MATCH(C854,MERCADORIA!$A$5:$A$22,0)))</f>
        <v/>
      </c>
      <c r="F854" s="23" t="n"/>
      <c r="G854" s="24">
        <f>IF(D854="","",INDEX(VALOR!$B$5:$B$8,MATCH(D854,VALOR!$A$5:$A$8,0)))</f>
        <v/>
      </c>
      <c r="H854" s="15">
        <f>IF(OR(G854="",F854=""),0,F854*G854)</f>
        <v/>
      </c>
      <c r="I854" s="20" t="n"/>
      <c r="J854" s="20" t="n"/>
      <c r="K854" s="24">
        <f>IF(OR(O854=0,J854=""),0,INDEX(MAPA!$C$5:$C$14,MATCH(J854,MAPA!$A$5:$A$14,0)))</f>
        <v/>
      </c>
      <c r="L854" s="25">
        <f>H854+K854</f>
        <v/>
      </c>
      <c r="M854" s="20" t="n"/>
      <c r="N854" s="20" t="n"/>
      <c r="O854" s="14">
        <f>IF(A854="",0,IF(COUNTIF($A$5:A854,A854)=1,1,0))</f>
        <v/>
      </c>
    </row>
    <row r="855">
      <c r="A855" s="20" t="n"/>
      <c r="B855" s="21" t="n"/>
      <c r="C855" s="20" t="n"/>
      <c r="D855" s="22">
        <f>IF(C855="","",INDEX(MERCADORIA!$B$5:$B$22,MATCH(C855,MERCADORIA!$A$5:$A$22,0)))</f>
        <v/>
      </c>
      <c r="E855" s="22">
        <f>IF(C855="","",INDEX(MERCADORIA!$C$5:$C$22,MATCH(C855,MERCADORIA!$A$5:$A$22,0)))</f>
        <v/>
      </c>
      <c r="F855" s="23" t="n"/>
      <c r="G855" s="24">
        <f>IF(D855="","",INDEX(VALOR!$B$5:$B$8,MATCH(D855,VALOR!$A$5:$A$8,0)))</f>
        <v/>
      </c>
      <c r="H855" s="15">
        <f>IF(OR(G855="",F855=""),0,F855*G855)</f>
        <v/>
      </c>
      <c r="I855" s="20" t="n"/>
      <c r="J855" s="20" t="n"/>
      <c r="K855" s="24">
        <f>IF(OR(O855=0,J855=""),0,INDEX(MAPA!$C$5:$C$14,MATCH(J855,MAPA!$A$5:$A$14,0)))</f>
        <v/>
      </c>
      <c r="L855" s="25">
        <f>H855+K855</f>
        <v/>
      </c>
      <c r="M855" s="20" t="n"/>
      <c r="N855" s="20" t="n"/>
      <c r="O855" s="14">
        <f>IF(A855="",0,IF(COUNTIF($A$5:A855,A855)=1,1,0))</f>
        <v/>
      </c>
    </row>
    <row r="856">
      <c r="A856" s="20" t="n"/>
      <c r="B856" s="21" t="n"/>
      <c r="C856" s="20" t="n"/>
      <c r="D856" s="22">
        <f>IF(C856="","",INDEX(MERCADORIA!$B$5:$B$22,MATCH(C856,MERCADORIA!$A$5:$A$22,0)))</f>
        <v/>
      </c>
      <c r="E856" s="22">
        <f>IF(C856="","",INDEX(MERCADORIA!$C$5:$C$22,MATCH(C856,MERCADORIA!$A$5:$A$22,0)))</f>
        <v/>
      </c>
      <c r="F856" s="23" t="n"/>
      <c r="G856" s="24">
        <f>IF(D856="","",INDEX(VALOR!$B$5:$B$8,MATCH(D856,VALOR!$A$5:$A$8,0)))</f>
        <v/>
      </c>
      <c r="H856" s="15">
        <f>IF(OR(G856="",F856=""),0,F856*G856)</f>
        <v/>
      </c>
      <c r="I856" s="20" t="n"/>
      <c r="J856" s="20" t="n"/>
      <c r="K856" s="24">
        <f>IF(OR(O856=0,J856=""),0,INDEX(MAPA!$C$5:$C$14,MATCH(J856,MAPA!$A$5:$A$14,0)))</f>
        <v/>
      </c>
      <c r="L856" s="25">
        <f>H856+K856</f>
        <v/>
      </c>
      <c r="M856" s="20" t="n"/>
      <c r="N856" s="20" t="n"/>
      <c r="O856" s="14">
        <f>IF(A856="",0,IF(COUNTIF($A$5:A856,A856)=1,1,0))</f>
        <v/>
      </c>
    </row>
    <row r="857">
      <c r="A857" s="20" t="n"/>
      <c r="B857" s="21" t="n"/>
      <c r="C857" s="20" t="n"/>
      <c r="D857" s="22">
        <f>IF(C857="","",INDEX(MERCADORIA!$B$5:$B$22,MATCH(C857,MERCADORIA!$A$5:$A$22,0)))</f>
        <v/>
      </c>
      <c r="E857" s="22">
        <f>IF(C857="","",INDEX(MERCADORIA!$C$5:$C$22,MATCH(C857,MERCADORIA!$A$5:$A$22,0)))</f>
        <v/>
      </c>
      <c r="F857" s="23" t="n"/>
      <c r="G857" s="24">
        <f>IF(D857="","",INDEX(VALOR!$B$5:$B$8,MATCH(D857,VALOR!$A$5:$A$8,0)))</f>
        <v/>
      </c>
      <c r="H857" s="15">
        <f>IF(OR(G857="",F857=""),0,F857*G857)</f>
        <v/>
      </c>
      <c r="I857" s="20" t="n"/>
      <c r="J857" s="20" t="n"/>
      <c r="K857" s="24">
        <f>IF(OR(O857=0,J857=""),0,INDEX(MAPA!$C$5:$C$14,MATCH(J857,MAPA!$A$5:$A$14,0)))</f>
        <v/>
      </c>
      <c r="L857" s="25">
        <f>H857+K857</f>
        <v/>
      </c>
      <c r="M857" s="20" t="n"/>
      <c r="N857" s="20" t="n"/>
      <c r="O857" s="14">
        <f>IF(A857="",0,IF(COUNTIF($A$5:A857,A857)=1,1,0))</f>
        <v/>
      </c>
    </row>
    <row r="858">
      <c r="A858" s="20" t="n"/>
      <c r="B858" s="21" t="n"/>
      <c r="C858" s="20" t="n"/>
      <c r="D858" s="22">
        <f>IF(C858="","",INDEX(MERCADORIA!$B$5:$B$22,MATCH(C858,MERCADORIA!$A$5:$A$22,0)))</f>
        <v/>
      </c>
      <c r="E858" s="22">
        <f>IF(C858="","",INDEX(MERCADORIA!$C$5:$C$22,MATCH(C858,MERCADORIA!$A$5:$A$22,0)))</f>
        <v/>
      </c>
      <c r="F858" s="23" t="n"/>
      <c r="G858" s="24">
        <f>IF(D858="","",INDEX(VALOR!$B$5:$B$8,MATCH(D858,VALOR!$A$5:$A$8,0)))</f>
        <v/>
      </c>
      <c r="H858" s="15">
        <f>IF(OR(G858="",F858=""),0,F858*G858)</f>
        <v/>
      </c>
      <c r="I858" s="20" t="n"/>
      <c r="J858" s="20" t="n"/>
      <c r="K858" s="24">
        <f>IF(OR(O858=0,J858=""),0,INDEX(MAPA!$C$5:$C$14,MATCH(J858,MAPA!$A$5:$A$14,0)))</f>
        <v/>
      </c>
      <c r="L858" s="25">
        <f>H858+K858</f>
        <v/>
      </c>
      <c r="M858" s="20" t="n"/>
      <c r="N858" s="20" t="n"/>
      <c r="O858" s="14">
        <f>IF(A858="",0,IF(COUNTIF($A$5:A858,A858)=1,1,0))</f>
        <v/>
      </c>
    </row>
    <row r="859">
      <c r="A859" s="20" t="n"/>
      <c r="B859" s="21" t="n"/>
      <c r="C859" s="20" t="n"/>
      <c r="D859" s="22">
        <f>IF(C859="","",INDEX(MERCADORIA!$B$5:$B$22,MATCH(C859,MERCADORIA!$A$5:$A$22,0)))</f>
        <v/>
      </c>
      <c r="E859" s="22">
        <f>IF(C859="","",INDEX(MERCADORIA!$C$5:$C$22,MATCH(C859,MERCADORIA!$A$5:$A$22,0)))</f>
        <v/>
      </c>
      <c r="F859" s="23" t="n"/>
      <c r="G859" s="24">
        <f>IF(D859="","",INDEX(VALOR!$B$5:$B$8,MATCH(D859,VALOR!$A$5:$A$8,0)))</f>
        <v/>
      </c>
      <c r="H859" s="15">
        <f>IF(OR(G859="",F859=""),0,F859*G859)</f>
        <v/>
      </c>
      <c r="I859" s="20" t="n"/>
      <c r="J859" s="20" t="n"/>
      <c r="K859" s="24">
        <f>IF(OR(O859=0,J859=""),0,INDEX(MAPA!$C$5:$C$14,MATCH(J859,MAPA!$A$5:$A$14,0)))</f>
        <v/>
      </c>
      <c r="L859" s="25">
        <f>H859+K859</f>
        <v/>
      </c>
      <c r="M859" s="20" t="n"/>
      <c r="N859" s="20" t="n"/>
      <c r="O859" s="14">
        <f>IF(A859="",0,IF(COUNTIF($A$5:A859,A859)=1,1,0))</f>
        <v/>
      </c>
    </row>
    <row r="860">
      <c r="A860" s="20" t="n"/>
      <c r="B860" s="21" t="n"/>
      <c r="C860" s="20" t="n"/>
      <c r="D860" s="22">
        <f>IF(C860="","",INDEX(MERCADORIA!$B$5:$B$22,MATCH(C860,MERCADORIA!$A$5:$A$22,0)))</f>
        <v/>
      </c>
      <c r="E860" s="22">
        <f>IF(C860="","",INDEX(MERCADORIA!$C$5:$C$22,MATCH(C860,MERCADORIA!$A$5:$A$22,0)))</f>
        <v/>
      </c>
      <c r="F860" s="23" t="n"/>
      <c r="G860" s="24">
        <f>IF(D860="","",INDEX(VALOR!$B$5:$B$8,MATCH(D860,VALOR!$A$5:$A$8,0)))</f>
        <v/>
      </c>
      <c r="H860" s="15">
        <f>IF(OR(G860="",F860=""),0,F860*G860)</f>
        <v/>
      </c>
      <c r="I860" s="20" t="n"/>
      <c r="J860" s="20" t="n"/>
      <c r="K860" s="24">
        <f>IF(OR(O860=0,J860=""),0,INDEX(MAPA!$C$5:$C$14,MATCH(J860,MAPA!$A$5:$A$14,0)))</f>
        <v/>
      </c>
      <c r="L860" s="25">
        <f>H860+K860</f>
        <v/>
      </c>
      <c r="M860" s="20" t="n"/>
      <c r="N860" s="20" t="n"/>
      <c r="O860" s="14">
        <f>IF(A860="",0,IF(COUNTIF($A$5:A860,A860)=1,1,0))</f>
        <v/>
      </c>
    </row>
    <row r="861">
      <c r="A861" s="20" t="n"/>
      <c r="B861" s="21" t="n"/>
      <c r="C861" s="20" t="n"/>
      <c r="D861" s="22">
        <f>IF(C861="","",INDEX(MERCADORIA!$B$5:$B$22,MATCH(C861,MERCADORIA!$A$5:$A$22,0)))</f>
        <v/>
      </c>
      <c r="E861" s="22">
        <f>IF(C861="","",INDEX(MERCADORIA!$C$5:$C$22,MATCH(C861,MERCADORIA!$A$5:$A$22,0)))</f>
        <v/>
      </c>
      <c r="F861" s="23" t="n"/>
      <c r="G861" s="24">
        <f>IF(D861="","",INDEX(VALOR!$B$5:$B$8,MATCH(D861,VALOR!$A$5:$A$8,0)))</f>
        <v/>
      </c>
      <c r="H861" s="15">
        <f>IF(OR(G861="",F861=""),0,F861*G861)</f>
        <v/>
      </c>
      <c r="I861" s="20" t="n"/>
      <c r="J861" s="20" t="n"/>
      <c r="K861" s="24">
        <f>IF(OR(O861=0,J861=""),0,INDEX(MAPA!$C$5:$C$14,MATCH(J861,MAPA!$A$5:$A$14,0)))</f>
        <v/>
      </c>
      <c r="L861" s="25">
        <f>H861+K861</f>
        <v/>
      </c>
      <c r="M861" s="20" t="n"/>
      <c r="N861" s="20" t="n"/>
      <c r="O861" s="14">
        <f>IF(A861="",0,IF(COUNTIF($A$5:A861,A861)=1,1,0))</f>
        <v/>
      </c>
    </row>
    <row r="862">
      <c r="A862" s="20" t="n"/>
      <c r="B862" s="21" t="n"/>
      <c r="C862" s="20" t="n"/>
      <c r="D862" s="22">
        <f>IF(C862="","",INDEX(MERCADORIA!$B$5:$B$22,MATCH(C862,MERCADORIA!$A$5:$A$22,0)))</f>
        <v/>
      </c>
      <c r="E862" s="22">
        <f>IF(C862="","",INDEX(MERCADORIA!$C$5:$C$22,MATCH(C862,MERCADORIA!$A$5:$A$22,0)))</f>
        <v/>
      </c>
      <c r="F862" s="23" t="n"/>
      <c r="G862" s="24">
        <f>IF(D862="","",INDEX(VALOR!$B$5:$B$8,MATCH(D862,VALOR!$A$5:$A$8,0)))</f>
        <v/>
      </c>
      <c r="H862" s="15">
        <f>IF(OR(G862="",F862=""),0,F862*G862)</f>
        <v/>
      </c>
      <c r="I862" s="20" t="n"/>
      <c r="J862" s="20" t="n"/>
      <c r="K862" s="24">
        <f>IF(OR(O862=0,J862=""),0,INDEX(MAPA!$C$5:$C$14,MATCH(J862,MAPA!$A$5:$A$14,0)))</f>
        <v/>
      </c>
      <c r="L862" s="25">
        <f>H862+K862</f>
        <v/>
      </c>
      <c r="M862" s="20" t="n"/>
      <c r="N862" s="20" t="n"/>
      <c r="O862" s="14">
        <f>IF(A862="",0,IF(COUNTIF($A$5:A862,A862)=1,1,0))</f>
        <v/>
      </c>
    </row>
    <row r="863">
      <c r="A863" s="20" t="n"/>
      <c r="B863" s="21" t="n"/>
      <c r="C863" s="20" t="n"/>
      <c r="D863" s="22">
        <f>IF(C863="","",INDEX(MERCADORIA!$B$5:$B$22,MATCH(C863,MERCADORIA!$A$5:$A$22,0)))</f>
        <v/>
      </c>
      <c r="E863" s="22">
        <f>IF(C863="","",INDEX(MERCADORIA!$C$5:$C$22,MATCH(C863,MERCADORIA!$A$5:$A$22,0)))</f>
        <v/>
      </c>
      <c r="F863" s="23" t="n"/>
      <c r="G863" s="24">
        <f>IF(D863="","",INDEX(VALOR!$B$5:$B$8,MATCH(D863,VALOR!$A$5:$A$8,0)))</f>
        <v/>
      </c>
      <c r="H863" s="15">
        <f>IF(OR(G863="",F863=""),0,F863*G863)</f>
        <v/>
      </c>
      <c r="I863" s="20" t="n"/>
      <c r="J863" s="20" t="n"/>
      <c r="K863" s="24">
        <f>IF(OR(O863=0,J863=""),0,INDEX(MAPA!$C$5:$C$14,MATCH(J863,MAPA!$A$5:$A$14,0)))</f>
        <v/>
      </c>
      <c r="L863" s="25">
        <f>H863+K863</f>
        <v/>
      </c>
      <c r="M863" s="20" t="n"/>
      <c r="N863" s="20" t="n"/>
      <c r="O863" s="14">
        <f>IF(A863="",0,IF(COUNTIF($A$5:A863,A863)=1,1,0))</f>
        <v/>
      </c>
    </row>
    <row r="864">
      <c r="A864" s="20" t="n"/>
      <c r="B864" s="21" t="n"/>
      <c r="C864" s="20" t="n"/>
      <c r="D864" s="22">
        <f>IF(C864="","",INDEX(MERCADORIA!$B$5:$B$22,MATCH(C864,MERCADORIA!$A$5:$A$22,0)))</f>
        <v/>
      </c>
      <c r="E864" s="22">
        <f>IF(C864="","",INDEX(MERCADORIA!$C$5:$C$22,MATCH(C864,MERCADORIA!$A$5:$A$22,0)))</f>
        <v/>
      </c>
      <c r="F864" s="23" t="n"/>
      <c r="G864" s="24">
        <f>IF(D864="","",INDEX(VALOR!$B$5:$B$8,MATCH(D864,VALOR!$A$5:$A$8,0)))</f>
        <v/>
      </c>
      <c r="H864" s="15">
        <f>IF(OR(G864="",F864=""),0,F864*G864)</f>
        <v/>
      </c>
      <c r="I864" s="20" t="n"/>
      <c r="J864" s="20" t="n"/>
      <c r="K864" s="24">
        <f>IF(OR(O864=0,J864=""),0,INDEX(MAPA!$C$5:$C$14,MATCH(J864,MAPA!$A$5:$A$14,0)))</f>
        <v/>
      </c>
      <c r="L864" s="25">
        <f>H864+K864</f>
        <v/>
      </c>
      <c r="M864" s="20" t="n"/>
      <c r="N864" s="20" t="n"/>
      <c r="O864" s="14">
        <f>IF(A864="",0,IF(COUNTIF($A$5:A864,A864)=1,1,0))</f>
        <v/>
      </c>
    </row>
    <row r="865">
      <c r="A865" s="20" t="n"/>
      <c r="B865" s="21" t="n"/>
      <c r="C865" s="20" t="n"/>
      <c r="D865" s="22">
        <f>IF(C865="","",INDEX(MERCADORIA!$B$5:$B$22,MATCH(C865,MERCADORIA!$A$5:$A$22,0)))</f>
        <v/>
      </c>
      <c r="E865" s="22">
        <f>IF(C865="","",INDEX(MERCADORIA!$C$5:$C$22,MATCH(C865,MERCADORIA!$A$5:$A$22,0)))</f>
        <v/>
      </c>
      <c r="F865" s="23" t="n"/>
      <c r="G865" s="24">
        <f>IF(D865="","",INDEX(VALOR!$B$5:$B$8,MATCH(D865,VALOR!$A$5:$A$8,0)))</f>
        <v/>
      </c>
      <c r="H865" s="15">
        <f>IF(OR(G865="",F865=""),0,F865*G865)</f>
        <v/>
      </c>
      <c r="I865" s="20" t="n"/>
      <c r="J865" s="20" t="n"/>
      <c r="K865" s="24">
        <f>IF(OR(O865=0,J865=""),0,INDEX(MAPA!$C$5:$C$14,MATCH(J865,MAPA!$A$5:$A$14,0)))</f>
        <v/>
      </c>
      <c r="L865" s="25">
        <f>H865+K865</f>
        <v/>
      </c>
      <c r="M865" s="20" t="n"/>
      <c r="N865" s="20" t="n"/>
      <c r="O865" s="14">
        <f>IF(A865="",0,IF(COUNTIF($A$5:A865,A865)=1,1,0))</f>
        <v/>
      </c>
    </row>
    <row r="866">
      <c r="A866" s="20" t="n"/>
      <c r="B866" s="21" t="n"/>
      <c r="C866" s="20" t="n"/>
      <c r="D866" s="22">
        <f>IF(C866="","",INDEX(MERCADORIA!$B$5:$B$22,MATCH(C866,MERCADORIA!$A$5:$A$22,0)))</f>
        <v/>
      </c>
      <c r="E866" s="22">
        <f>IF(C866="","",INDEX(MERCADORIA!$C$5:$C$22,MATCH(C866,MERCADORIA!$A$5:$A$22,0)))</f>
        <v/>
      </c>
      <c r="F866" s="23" t="n"/>
      <c r="G866" s="24">
        <f>IF(D866="","",INDEX(VALOR!$B$5:$B$8,MATCH(D866,VALOR!$A$5:$A$8,0)))</f>
        <v/>
      </c>
      <c r="H866" s="15">
        <f>IF(OR(G866="",F866=""),0,F866*G866)</f>
        <v/>
      </c>
      <c r="I866" s="20" t="n"/>
      <c r="J866" s="20" t="n"/>
      <c r="K866" s="24">
        <f>IF(OR(O866=0,J866=""),0,INDEX(MAPA!$C$5:$C$14,MATCH(J866,MAPA!$A$5:$A$14,0)))</f>
        <v/>
      </c>
      <c r="L866" s="25">
        <f>H866+K866</f>
        <v/>
      </c>
      <c r="M866" s="20" t="n"/>
      <c r="N866" s="20" t="n"/>
      <c r="O866" s="14">
        <f>IF(A866="",0,IF(COUNTIF($A$5:A866,A866)=1,1,0))</f>
        <v/>
      </c>
    </row>
    <row r="867">
      <c r="A867" s="20" t="n"/>
      <c r="B867" s="21" t="n"/>
      <c r="C867" s="20" t="n"/>
      <c r="D867" s="22">
        <f>IF(C867="","",INDEX(MERCADORIA!$B$5:$B$22,MATCH(C867,MERCADORIA!$A$5:$A$22,0)))</f>
        <v/>
      </c>
      <c r="E867" s="22">
        <f>IF(C867="","",INDEX(MERCADORIA!$C$5:$C$22,MATCH(C867,MERCADORIA!$A$5:$A$22,0)))</f>
        <v/>
      </c>
      <c r="F867" s="23" t="n"/>
      <c r="G867" s="24">
        <f>IF(D867="","",INDEX(VALOR!$B$5:$B$8,MATCH(D867,VALOR!$A$5:$A$8,0)))</f>
        <v/>
      </c>
      <c r="H867" s="15">
        <f>IF(OR(G867="",F867=""),0,F867*G867)</f>
        <v/>
      </c>
      <c r="I867" s="20" t="n"/>
      <c r="J867" s="20" t="n"/>
      <c r="K867" s="24">
        <f>IF(OR(O867=0,J867=""),0,INDEX(MAPA!$C$5:$C$14,MATCH(J867,MAPA!$A$5:$A$14,0)))</f>
        <v/>
      </c>
      <c r="L867" s="25">
        <f>H867+K867</f>
        <v/>
      </c>
      <c r="M867" s="20" t="n"/>
      <c r="N867" s="20" t="n"/>
      <c r="O867" s="14">
        <f>IF(A867="",0,IF(COUNTIF($A$5:A867,A867)=1,1,0))</f>
        <v/>
      </c>
    </row>
    <row r="868">
      <c r="A868" s="20" t="n"/>
      <c r="B868" s="21" t="n"/>
      <c r="C868" s="20" t="n"/>
      <c r="D868" s="22">
        <f>IF(C868="","",INDEX(MERCADORIA!$B$5:$B$22,MATCH(C868,MERCADORIA!$A$5:$A$22,0)))</f>
        <v/>
      </c>
      <c r="E868" s="22">
        <f>IF(C868="","",INDEX(MERCADORIA!$C$5:$C$22,MATCH(C868,MERCADORIA!$A$5:$A$22,0)))</f>
        <v/>
      </c>
      <c r="F868" s="23" t="n"/>
      <c r="G868" s="24">
        <f>IF(D868="","",INDEX(VALOR!$B$5:$B$8,MATCH(D868,VALOR!$A$5:$A$8,0)))</f>
        <v/>
      </c>
      <c r="H868" s="15">
        <f>IF(OR(G868="",F868=""),0,F868*G868)</f>
        <v/>
      </c>
      <c r="I868" s="20" t="n"/>
      <c r="J868" s="20" t="n"/>
      <c r="K868" s="24">
        <f>IF(OR(O868=0,J868=""),0,INDEX(MAPA!$C$5:$C$14,MATCH(J868,MAPA!$A$5:$A$14,0)))</f>
        <v/>
      </c>
      <c r="L868" s="25">
        <f>H868+K868</f>
        <v/>
      </c>
      <c r="M868" s="20" t="n"/>
      <c r="N868" s="20" t="n"/>
      <c r="O868" s="14">
        <f>IF(A868="",0,IF(COUNTIF($A$5:A868,A868)=1,1,0))</f>
        <v/>
      </c>
    </row>
    <row r="869">
      <c r="A869" s="20" t="n"/>
      <c r="B869" s="21" t="n"/>
      <c r="C869" s="20" t="n"/>
      <c r="D869" s="22">
        <f>IF(C869="","",INDEX(MERCADORIA!$B$5:$B$22,MATCH(C869,MERCADORIA!$A$5:$A$22,0)))</f>
        <v/>
      </c>
      <c r="E869" s="22">
        <f>IF(C869="","",INDEX(MERCADORIA!$C$5:$C$22,MATCH(C869,MERCADORIA!$A$5:$A$22,0)))</f>
        <v/>
      </c>
      <c r="F869" s="23" t="n"/>
      <c r="G869" s="24">
        <f>IF(D869="","",INDEX(VALOR!$B$5:$B$8,MATCH(D869,VALOR!$A$5:$A$8,0)))</f>
        <v/>
      </c>
      <c r="H869" s="15">
        <f>IF(OR(G869="",F869=""),0,F869*G869)</f>
        <v/>
      </c>
      <c r="I869" s="20" t="n"/>
      <c r="J869" s="20" t="n"/>
      <c r="K869" s="24">
        <f>IF(OR(O869=0,J869=""),0,INDEX(MAPA!$C$5:$C$14,MATCH(J869,MAPA!$A$5:$A$14,0)))</f>
        <v/>
      </c>
      <c r="L869" s="25">
        <f>H869+K869</f>
        <v/>
      </c>
      <c r="M869" s="20" t="n"/>
      <c r="N869" s="20" t="n"/>
      <c r="O869" s="14">
        <f>IF(A869="",0,IF(COUNTIF($A$5:A869,A869)=1,1,0))</f>
        <v/>
      </c>
    </row>
    <row r="870">
      <c r="A870" s="20" t="n"/>
      <c r="B870" s="21" t="n"/>
      <c r="C870" s="20" t="n"/>
      <c r="D870" s="22">
        <f>IF(C870="","",INDEX(MERCADORIA!$B$5:$B$22,MATCH(C870,MERCADORIA!$A$5:$A$22,0)))</f>
        <v/>
      </c>
      <c r="E870" s="22">
        <f>IF(C870="","",INDEX(MERCADORIA!$C$5:$C$22,MATCH(C870,MERCADORIA!$A$5:$A$22,0)))</f>
        <v/>
      </c>
      <c r="F870" s="23" t="n"/>
      <c r="G870" s="24">
        <f>IF(D870="","",INDEX(VALOR!$B$5:$B$8,MATCH(D870,VALOR!$A$5:$A$8,0)))</f>
        <v/>
      </c>
      <c r="H870" s="15">
        <f>IF(OR(G870="",F870=""),0,F870*G870)</f>
        <v/>
      </c>
      <c r="I870" s="20" t="n"/>
      <c r="J870" s="20" t="n"/>
      <c r="K870" s="24">
        <f>IF(OR(O870=0,J870=""),0,INDEX(MAPA!$C$5:$C$14,MATCH(J870,MAPA!$A$5:$A$14,0)))</f>
        <v/>
      </c>
      <c r="L870" s="25">
        <f>H870+K870</f>
        <v/>
      </c>
      <c r="M870" s="20" t="n"/>
      <c r="N870" s="20" t="n"/>
      <c r="O870" s="14">
        <f>IF(A870="",0,IF(COUNTIF($A$5:A870,A870)=1,1,0))</f>
        <v/>
      </c>
    </row>
    <row r="871">
      <c r="A871" s="20" t="n"/>
      <c r="B871" s="21" t="n"/>
      <c r="C871" s="20" t="n"/>
      <c r="D871" s="22">
        <f>IF(C871="","",INDEX(MERCADORIA!$B$5:$B$22,MATCH(C871,MERCADORIA!$A$5:$A$22,0)))</f>
        <v/>
      </c>
      <c r="E871" s="22">
        <f>IF(C871="","",INDEX(MERCADORIA!$C$5:$C$22,MATCH(C871,MERCADORIA!$A$5:$A$22,0)))</f>
        <v/>
      </c>
      <c r="F871" s="23" t="n"/>
      <c r="G871" s="24">
        <f>IF(D871="","",INDEX(VALOR!$B$5:$B$8,MATCH(D871,VALOR!$A$5:$A$8,0)))</f>
        <v/>
      </c>
      <c r="H871" s="15">
        <f>IF(OR(G871="",F871=""),0,F871*G871)</f>
        <v/>
      </c>
      <c r="I871" s="20" t="n"/>
      <c r="J871" s="20" t="n"/>
      <c r="K871" s="24">
        <f>IF(OR(O871=0,J871=""),0,INDEX(MAPA!$C$5:$C$14,MATCH(J871,MAPA!$A$5:$A$14,0)))</f>
        <v/>
      </c>
      <c r="L871" s="25">
        <f>H871+K871</f>
        <v/>
      </c>
      <c r="M871" s="20" t="n"/>
      <c r="N871" s="20" t="n"/>
      <c r="O871" s="14">
        <f>IF(A871="",0,IF(COUNTIF($A$5:A871,A871)=1,1,0))</f>
        <v/>
      </c>
    </row>
    <row r="872">
      <c r="A872" s="20" t="n"/>
      <c r="B872" s="21" t="n"/>
      <c r="C872" s="20" t="n"/>
      <c r="D872" s="22">
        <f>IF(C872="","",INDEX(MERCADORIA!$B$5:$B$22,MATCH(C872,MERCADORIA!$A$5:$A$22,0)))</f>
        <v/>
      </c>
      <c r="E872" s="22">
        <f>IF(C872="","",INDEX(MERCADORIA!$C$5:$C$22,MATCH(C872,MERCADORIA!$A$5:$A$22,0)))</f>
        <v/>
      </c>
      <c r="F872" s="23" t="n"/>
      <c r="G872" s="24">
        <f>IF(D872="","",INDEX(VALOR!$B$5:$B$8,MATCH(D872,VALOR!$A$5:$A$8,0)))</f>
        <v/>
      </c>
      <c r="H872" s="15">
        <f>IF(OR(G872="",F872=""),0,F872*G872)</f>
        <v/>
      </c>
      <c r="I872" s="20" t="n"/>
      <c r="J872" s="20" t="n"/>
      <c r="K872" s="24">
        <f>IF(OR(O872=0,J872=""),0,INDEX(MAPA!$C$5:$C$14,MATCH(J872,MAPA!$A$5:$A$14,0)))</f>
        <v/>
      </c>
      <c r="L872" s="25">
        <f>H872+K872</f>
        <v/>
      </c>
      <c r="M872" s="20" t="n"/>
      <c r="N872" s="20" t="n"/>
      <c r="O872" s="14">
        <f>IF(A872="",0,IF(COUNTIF($A$5:A872,A872)=1,1,0))</f>
        <v/>
      </c>
    </row>
    <row r="873">
      <c r="A873" s="20" t="n"/>
      <c r="B873" s="21" t="n"/>
      <c r="C873" s="20" t="n"/>
      <c r="D873" s="22">
        <f>IF(C873="","",INDEX(MERCADORIA!$B$5:$B$22,MATCH(C873,MERCADORIA!$A$5:$A$22,0)))</f>
        <v/>
      </c>
      <c r="E873" s="22">
        <f>IF(C873="","",INDEX(MERCADORIA!$C$5:$C$22,MATCH(C873,MERCADORIA!$A$5:$A$22,0)))</f>
        <v/>
      </c>
      <c r="F873" s="23" t="n"/>
      <c r="G873" s="24">
        <f>IF(D873="","",INDEX(VALOR!$B$5:$B$8,MATCH(D873,VALOR!$A$5:$A$8,0)))</f>
        <v/>
      </c>
      <c r="H873" s="15">
        <f>IF(OR(G873="",F873=""),0,F873*G873)</f>
        <v/>
      </c>
      <c r="I873" s="20" t="n"/>
      <c r="J873" s="20" t="n"/>
      <c r="K873" s="24">
        <f>IF(OR(O873=0,J873=""),0,INDEX(MAPA!$C$5:$C$14,MATCH(J873,MAPA!$A$5:$A$14,0)))</f>
        <v/>
      </c>
      <c r="L873" s="25">
        <f>H873+K873</f>
        <v/>
      </c>
      <c r="M873" s="20" t="n"/>
      <c r="N873" s="20" t="n"/>
      <c r="O873" s="14">
        <f>IF(A873="",0,IF(COUNTIF($A$5:A873,A873)=1,1,0))</f>
        <v/>
      </c>
    </row>
    <row r="874">
      <c r="A874" s="20" t="n"/>
      <c r="B874" s="21" t="n"/>
      <c r="C874" s="20" t="n"/>
      <c r="D874" s="22">
        <f>IF(C874="","",INDEX(MERCADORIA!$B$5:$B$22,MATCH(C874,MERCADORIA!$A$5:$A$22,0)))</f>
        <v/>
      </c>
      <c r="E874" s="22">
        <f>IF(C874="","",INDEX(MERCADORIA!$C$5:$C$22,MATCH(C874,MERCADORIA!$A$5:$A$22,0)))</f>
        <v/>
      </c>
      <c r="F874" s="23" t="n"/>
      <c r="G874" s="24">
        <f>IF(D874="","",INDEX(VALOR!$B$5:$B$8,MATCH(D874,VALOR!$A$5:$A$8,0)))</f>
        <v/>
      </c>
      <c r="H874" s="15">
        <f>IF(OR(G874="",F874=""),0,F874*G874)</f>
        <v/>
      </c>
      <c r="I874" s="20" t="n"/>
      <c r="J874" s="20" t="n"/>
      <c r="K874" s="24">
        <f>IF(OR(O874=0,J874=""),0,INDEX(MAPA!$C$5:$C$14,MATCH(J874,MAPA!$A$5:$A$14,0)))</f>
        <v/>
      </c>
      <c r="L874" s="25">
        <f>H874+K874</f>
        <v/>
      </c>
      <c r="M874" s="20" t="n"/>
      <c r="N874" s="20" t="n"/>
      <c r="O874" s="14">
        <f>IF(A874="",0,IF(COUNTIF($A$5:A874,A874)=1,1,0))</f>
        <v/>
      </c>
    </row>
    <row r="875">
      <c r="A875" s="20" t="n"/>
      <c r="B875" s="21" t="n"/>
      <c r="C875" s="20" t="n"/>
      <c r="D875" s="22">
        <f>IF(C875="","",INDEX(MERCADORIA!$B$5:$B$22,MATCH(C875,MERCADORIA!$A$5:$A$22,0)))</f>
        <v/>
      </c>
      <c r="E875" s="22">
        <f>IF(C875="","",INDEX(MERCADORIA!$C$5:$C$22,MATCH(C875,MERCADORIA!$A$5:$A$22,0)))</f>
        <v/>
      </c>
      <c r="F875" s="23" t="n"/>
      <c r="G875" s="24">
        <f>IF(D875="","",INDEX(VALOR!$B$5:$B$8,MATCH(D875,VALOR!$A$5:$A$8,0)))</f>
        <v/>
      </c>
      <c r="H875" s="15">
        <f>IF(OR(G875="",F875=""),0,F875*G875)</f>
        <v/>
      </c>
      <c r="I875" s="20" t="n"/>
      <c r="J875" s="20" t="n"/>
      <c r="K875" s="24">
        <f>IF(OR(O875=0,J875=""),0,INDEX(MAPA!$C$5:$C$14,MATCH(J875,MAPA!$A$5:$A$14,0)))</f>
        <v/>
      </c>
      <c r="L875" s="25">
        <f>H875+K875</f>
        <v/>
      </c>
      <c r="M875" s="20" t="n"/>
      <c r="N875" s="20" t="n"/>
      <c r="O875" s="14">
        <f>IF(A875="",0,IF(COUNTIF($A$5:A875,A875)=1,1,0))</f>
        <v/>
      </c>
    </row>
    <row r="876">
      <c r="A876" s="20" t="n"/>
      <c r="B876" s="21" t="n"/>
      <c r="C876" s="20" t="n"/>
      <c r="D876" s="22">
        <f>IF(C876="","",INDEX(MERCADORIA!$B$5:$B$22,MATCH(C876,MERCADORIA!$A$5:$A$22,0)))</f>
        <v/>
      </c>
      <c r="E876" s="22">
        <f>IF(C876="","",INDEX(MERCADORIA!$C$5:$C$22,MATCH(C876,MERCADORIA!$A$5:$A$22,0)))</f>
        <v/>
      </c>
      <c r="F876" s="23" t="n"/>
      <c r="G876" s="24">
        <f>IF(D876="","",INDEX(VALOR!$B$5:$B$8,MATCH(D876,VALOR!$A$5:$A$8,0)))</f>
        <v/>
      </c>
      <c r="H876" s="15">
        <f>IF(OR(G876="",F876=""),0,F876*G876)</f>
        <v/>
      </c>
      <c r="I876" s="20" t="n"/>
      <c r="J876" s="20" t="n"/>
      <c r="K876" s="24">
        <f>IF(OR(O876=0,J876=""),0,INDEX(MAPA!$C$5:$C$14,MATCH(J876,MAPA!$A$5:$A$14,0)))</f>
        <v/>
      </c>
      <c r="L876" s="25">
        <f>H876+K876</f>
        <v/>
      </c>
      <c r="M876" s="20" t="n"/>
      <c r="N876" s="20" t="n"/>
      <c r="O876" s="14">
        <f>IF(A876="",0,IF(COUNTIF($A$5:A876,A876)=1,1,0))</f>
        <v/>
      </c>
    </row>
    <row r="877">
      <c r="A877" s="20" t="n"/>
      <c r="B877" s="21" t="n"/>
      <c r="C877" s="20" t="n"/>
      <c r="D877" s="22">
        <f>IF(C877="","",INDEX(MERCADORIA!$B$5:$B$22,MATCH(C877,MERCADORIA!$A$5:$A$22,0)))</f>
        <v/>
      </c>
      <c r="E877" s="22">
        <f>IF(C877="","",INDEX(MERCADORIA!$C$5:$C$22,MATCH(C877,MERCADORIA!$A$5:$A$22,0)))</f>
        <v/>
      </c>
      <c r="F877" s="23" t="n"/>
      <c r="G877" s="24">
        <f>IF(D877="","",INDEX(VALOR!$B$5:$B$8,MATCH(D877,VALOR!$A$5:$A$8,0)))</f>
        <v/>
      </c>
      <c r="H877" s="15">
        <f>IF(OR(G877="",F877=""),0,F877*G877)</f>
        <v/>
      </c>
      <c r="I877" s="20" t="n"/>
      <c r="J877" s="20" t="n"/>
      <c r="K877" s="24">
        <f>IF(OR(O877=0,J877=""),0,INDEX(MAPA!$C$5:$C$14,MATCH(J877,MAPA!$A$5:$A$14,0)))</f>
        <v/>
      </c>
      <c r="L877" s="25">
        <f>H877+K877</f>
        <v/>
      </c>
      <c r="M877" s="20" t="n"/>
      <c r="N877" s="20" t="n"/>
      <c r="O877" s="14">
        <f>IF(A877="",0,IF(COUNTIF($A$5:A877,A877)=1,1,0))</f>
        <v/>
      </c>
    </row>
    <row r="878">
      <c r="A878" s="20" t="n"/>
      <c r="B878" s="21" t="n"/>
      <c r="C878" s="20" t="n"/>
      <c r="D878" s="22">
        <f>IF(C878="","",INDEX(MERCADORIA!$B$5:$B$22,MATCH(C878,MERCADORIA!$A$5:$A$22,0)))</f>
        <v/>
      </c>
      <c r="E878" s="22">
        <f>IF(C878="","",INDEX(MERCADORIA!$C$5:$C$22,MATCH(C878,MERCADORIA!$A$5:$A$22,0)))</f>
        <v/>
      </c>
      <c r="F878" s="23" t="n"/>
      <c r="G878" s="24">
        <f>IF(D878="","",INDEX(VALOR!$B$5:$B$8,MATCH(D878,VALOR!$A$5:$A$8,0)))</f>
        <v/>
      </c>
      <c r="H878" s="15">
        <f>IF(OR(G878="",F878=""),0,F878*G878)</f>
        <v/>
      </c>
      <c r="I878" s="20" t="n"/>
      <c r="J878" s="20" t="n"/>
      <c r="K878" s="24">
        <f>IF(OR(O878=0,J878=""),0,INDEX(MAPA!$C$5:$C$14,MATCH(J878,MAPA!$A$5:$A$14,0)))</f>
        <v/>
      </c>
      <c r="L878" s="25">
        <f>H878+K878</f>
        <v/>
      </c>
      <c r="M878" s="20" t="n"/>
      <c r="N878" s="20" t="n"/>
      <c r="O878" s="14">
        <f>IF(A878="",0,IF(COUNTIF($A$5:A878,A878)=1,1,0))</f>
        <v/>
      </c>
    </row>
    <row r="879">
      <c r="A879" s="20" t="n"/>
      <c r="B879" s="21" t="n"/>
      <c r="C879" s="20" t="n"/>
      <c r="D879" s="22">
        <f>IF(C879="","",INDEX(MERCADORIA!$B$5:$B$22,MATCH(C879,MERCADORIA!$A$5:$A$22,0)))</f>
        <v/>
      </c>
      <c r="E879" s="22">
        <f>IF(C879="","",INDEX(MERCADORIA!$C$5:$C$22,MATCH(C879,MERCADORIA!$A$5:$A$22,0)))</f>
        <v/>
      </c>
      <c r="F879" s="23" t="n"/>
      <c r="G879" s="24">
        <f>IF(D879="","",INDEX(VALOR!$B$5:$B$8,MATCH(D879,VALOR!$A$5:$A$8,0)))</f>
        <v/>
      </c>
      <c r="H879" s="15">
        <f>IF(OR(G879="",F879=""),0,F879*G879)</f>
        <v/>
      </c>
      <c r="I879" s="20" t="n"/>
      <c r="J879" s="20" t="n"/>
      <c r="K879" s="24">
        <f>IF(OR(O879=0,J879=""),0,INDEX(MAPA!$C$5:$C$14,MATCH(J879,MAPA!$A$5:$A$14,0)))</f>
        <v/>
      </c>
      <c r="L879" s="25">
        <f>H879+K879</f>
        <v/>
      </c>
      <c r="M879" s="20" t="n"/>
      <c r="N879" s="20" t="n"/>
      <c r="O879" s="14">
        <f>IF(A879="",0,IF(COUNTIF($A$5:A879,A879)=1,1,0))</f>
        <v/>
      </c>
    </row>
    <row r="880">
      <c r="A880" s="20" t="n"/>
      <c r="B880" s="21" t="n"/>
      <c r="C880" s="20" t="n"/>
      <c r="D880" s="22">
        <f>IF(C880="","",INDEX(MERCADORIA!$B$5:$B$22,MATCH(C880,MERCADORIA!$A$5:$A$22,0)))</f>
        <v/>
      </c>
      <c r="E880" s="22">
        <f>IF(C880="","",INDEX(MERCADORIA!$C$5:$C$22,MATCH(C880,MERCADORIA!$A$5:$A$22,0)))</f>
        <v/>
      </c>
      <c r="F880" s="23" t="n"/>
      <c r="G880" s="24">
        <f>IF(D880="","",INDEX(VALOR!$B$5:$B$8,MATCH(D880,VALOR!$A$5:$A$8,0)))</f>
        <v/>
      </c>
      <c r="H880" s="15">
        <f>IF(OR(G880="",F880=""),0,F880*G880)</f>
        <v/>
      </c>
      <c r="I880" s="20" t="n"/>
      <c r="J880" s="20" t="n"/>
      <c r="K880" s="24">
        <f>IF(OR(O880=0,J880=""),0,INDEX(MAPA!$C$5:$C$14,MATCH(J880,MAPA!$A$5:$A$14,0)))</f>
        <v/>
      </c>
      <c r="L880" s="25">
        <f>H880+K880</f>
        <v/>
      </c>
      <c r="M880" s="20" t="n"/>
      <c r="N880" s="20" t="n"/>
      <c r="O880" s="14">
        <f>IF(A880="",0,IF(COUNTIF($A$5:A880,A880)=1,1,0))</f>
        <v/>
      </c>
    </row>
    <row r="881">
      <c r="A881" s="20" t="n"/>
      <c r="B881" s="21" t="n"/>
      <c r="C881" s="20" t="n"/>
      <c r="D881" s="22">
        <f>IF(C881="","",INDEX(MERCADORIA!$B$5:$B$22,MATCH(C881,MERCADORIA!$A$5:$A$22,0)))</f>
        <v/>
      </c>
      <c r="E881" s="22">
        <f>IF(C881="","",INDEX(MERCADORIA!$C$5:$C$22,MATCH(C881,MERCADORIA!$A$5:$A$22,0)))</f>
        <v/>
      </c>
      <c r="F881" s="23" t="n"/>
      <c r="G881" s="24">
        <f>IF(D881="","",INDEX(VALOR!$B$5:$B$8,MATCH(D881,VALOR!$A$5:$A$8,0)))</f>
        <v/>
      </c>
      <c r="H881" s="15">
        <f>IF(OR(G881="",F881=""),0,F881*G881)</f>
        <v/>
      </c>
      <c r="I881" s="20" t="n"/>
      <c r="J881" s="20" t="n"/>
      <c r="K881" s="24">
        <f>IF(OR(O881=0,J881=""),0,INDEX(MAPA!$C$5:$C$14,MATCH(J881,MAPA!$A$5:$A$14,0)))</f>
        <v/>
      </c>
      <c r="L881" s="25">
        <f>H881+K881</f>
        <v/>
      </c>
      <c r="M881" s="20" t="n"/>
      <c r="N881" s="20" t="n"/>
      <c r="O881" s="14">
        <f>IF(A881="",0,IF(COUNTIF($A$5:A881,A881)=1,1,0))</f>
        <v/>
      </c>
    </row>
    <row r="882">
      <c r="A882" s="20" t="n"/>
      <c r="B882" s="21" t="n"/>
      <c r="C882" s="20" t="n"/>
      <c r="D882" s="22">
        <f>IF(C882="","",INDEX(MERCADORIA!$B$5:$B$22,MATCH(C882,MERCADORIA!$A$5:$A$22,0)))</f>
        <v/>
      </c>
      <c r="E882" s="22">
        <f>IF(C882="","",INDEX(MERCADORIA!$C$5:$C$22,MATCH(C882,MERCADORIA!$A$5:$A$22,0)))</f>
        <v/>
      </c>
      <c r="F882" s="23" t="n"/>
      <c r="G882" s="24">
        <f>IF(D882="","",INDEX(VALOR!$B$5:$B$8,MATCH(D882,VALOR!$A$5:$A$8,0)))</f>
        <v/>
      </c>
      <c r="H882" s="15">
        <f>IF(OR(G882="",F882=""),0,F882*G882)</f>
        <v/>
      </c>
      <c r="I882" s="20" t="n"/>
      <c r="J882" s="20" t="n"/>
      <c r="K882" s="24">
        <f>IF(OR(O882=0,J882=""),0,INDEX(MAPA!$C$5:$C$14,MATCH(J882,MAPA!$A$5:$A$14,0)))</f>
        <v/>
      </c>
      <c r="L882" s="25">
        <f>H882+K882</f>
        <v/>
      </c>
      <c r="M882" s="20" t="n"/>
      <c r="N882" s="20" t="n"/>
      <c r="O882" s="14">
        <f>IF(A882="",0,IF(COUNTIF($A$5:A882,A882)=1,1,0))</f>
        <v/>
      </c>
    </row>
    <row r="883">
      <c r="A883" s="20" t="n"/>
      <c r="B883" s="21" t="n"/>
      <c r="C883" s="20" t="n"/>
      <c r="D883" s="22">
        <f>IF(C883="","",INDEX(MERCADORIA!$B$5:$B$22,MATCH(C883,MERCADORIA!$A$5:$A$22,0)))</f>
        <v/>
      </c>
      <c r="E883" s="22">
        <f>IF(C883="","",INDEX(MERCADORIA!$C$5:$C$22,MATCH(C883,MERCADORIA!$A$5:$A$22,0)))</f>
        <v/>
      </c>
      <c r="F883" s="23" t="n"/>
      <c r="G883" s="24">
        <f>IF(D883="","",INDEX(VALOR!$B$5:$B$8,MATCH(D883,VALOR!$A$5:$A$8,0)))</f>
        <v/>
      </c>
      <c r="H883" s="15">
        <f>IF(OR(G883="",F883=""),0,F883*G883)</f>
        <v/>
      </c>
      <c r="I883" s="20" t="n"/>
      <c r="J883" s="20" t="n"/>
      <c r="K883" s="24">
        <f>IF(OR(O883=0,J883=""),0,INDEX(MAPA!$C$5:$C$14,MATCH(J883,MAPA!$A$5:$A$14,0)))</f>
        <v/>
      </c>
      <c r="L883" s="25">
        <f>H883+K883</f>
        <v/>
      </c>
      <c r="M883" s="20" t="n"/>
      <c r="N883" s="20" t="n"/>
      <c r="O883" s="14">
        <f>IF(A883="",0,IF(COUNTIF($A$5:A883,A883)=1,1,0))</f>
        <v/>
      </c>
    </row>
    <row r="884">
      <c r="A884" s="20" t="n"/>
      <c r="B884" s="21" t="n"/>
      <c r="C884" s="20" t="n"/>
      <c r="D884" s="22">
        <f>IF(C884="","",INDEX(MERCADORIA!$B$5:$B$22,MATCH(C884,MERCADORIA!$A$5:$A$22,0)))</f>
        <v/>
      </c>
      <c r="E884" s="22">
        <f>IF(C884="","",INDEX(MERCADORIA!$C$5:$C$22,MATCH(C884,MERCADORIA!$A$5:$A$22,0)))</f>
        <v/>
      </c>
      <c r="F884" s="23" t="n"/>
      <c r="G884" s="24">
        <f>IF(D884="","",INDEX(VALOR!$B$5:$B$8,MATCH(D884,VALOR!$A$5:$A$8,0)))</f>
        <v/>
      </c>
      <c r="H884" s="15">
        <f>IF(OR(G884="",F884=""),0,F884*G884)</f>
        <v/>
      </c>
      <c r="I884" s="20" t="n"/>
      <c r="J884" s="20" t="n"/>
      <c r="K884" s="24">
        <f>IF(OR(O884=0,J884=""),0,INDEX(MAPA!$C$5:$C$14,MATCH(J884,MAPA!$A$5:$A$14,0)))</f>
        <v/>
      </c>
      <c r="L884" s="25">
        <f>H884+K884</f>
        <v/>
      </c>
      <c r="M884" s="20" t="n"/>
      <c r="N884" s="20" t="n"/>
      <c r="O884" s="14">
        <f>IF(A884="",0,IF(COUNTIF($A$5:A884,A884)=1,1,0))</f>
        <v/>
      </c>
    </row>
    <row r="885">
      <c r="A885" s="20" t="n"/>
      <c r="B885" s="21" t="n"/>
      <c r="C885" s="20" t="n"/>
      <c r="D885" s="22">
        <f>IF(C885="","",INDEX(MERCADORIA!$B$5:$B$22,MATCH(C885,MERCADORIA!$A$5:$A$22,0)))</f>
        <v/>
      </c>
      <c r="E885" s="22">
        <f>IF(C885="","",INDEX(MERCADORIA!$C$5:$C$22,MATCH(C885,MERCADORIA!$A$5:$A$22,0)))</f>
        <v/>
      </c>
      <c r="F885" s="23" t="n"/>
      <c r="G885" s="24">
        <f>IF(D885="","",INDEX(VALOR!$B$5:$B$8,MATCH(D885,VALOR!$A$5:$A$8,0)))</f>
        <v/>
      </c>
      <c r="H885" s="15">
        <f>IF(OR(G885="",F885=""),0,F885*G885)</f>
        <v/>
      </c>
      <c r="I885" s="20" t="n"/>
      <c r="J885" s="20" t="n"/>
      <c r="K885" s="24">
        <f>IF(OR(O885=0,J885=""),0,INDEX(MAPA!$C$5:$C$14,MATCH(J885,MAPA!$A$5:$A$14,0)))</f>
        <v/>
      </c>
      <c r="L885" s="25">
        <f>H885+K885</f>
        <v/>
      </c>
      <c r="M885" s="20" t="n"/>
      <c r="N885" s="20" t="n"/>
      <c r="O885" s="14">
        <f>IF(A885="",0,IF(COUNTIF($A$5:A885,A885)=1,1,0))</f>
        <v/>
      </c>
    </row>
    <row r="886">
      <c r="A886" s="20" t="n"/>
      <c r="B886" s="21" t="n"/>
      <c r="C886" s="20" t="n"/>
      <c r="D886" s="22">
        <f>IF(C886="","",INDEX(MERCADORIA!$B$5:$B$22,MATCH(C886,MERCADORIA!$A$5:$A$22,0)))</f>
        <v/>
      </c>
      <c r="E886" s="22">
        <f>IF(C886="","",INDEX(MERCADORIA!$C$5:$C$22,MATCH(C886,MERCADORIA!$A$5:$A$22,0)))</f>
        <v/>
      </c>
      <c r="F886" s="23" t="n"/>
      <c r="G886" s="24">
        <f>IF(D886="","",INDEX(VALOR!$B$5:$B$8,MATCH(D886,VALOR!$A$5:$A$8,0)))</f>
        <v/>
      </c>
      <c r="H886" s="15">
        <f>IF(OR(G886="",F886=""),0,F886*G886)</f>
        <v/>
      </c>
      <c r="I886" s="20" t="n"/>
      <c r="J886" s="20" t="n"/>
      <c r="K886" s="24">
        <f>IF(OR(O886=0,J886=""),0,INDEX(MAPA!$C$5:$C$14,MATCH(J886,MAPA!$A$5:$A$14,0)))</f>
        <v/>
      </c>
      <c r="L886" s="25">
        <f>H886+K886</f>
        <v/>
      </c>
      <c r="M886" s="20" t="n"/>
      <c r="N886" s="20" t="n"/>
      <c r="O886" s="14">
        <f>IF(A886="",0,IF(COUNTIF($A$5:A886,A886)=1,1,0))</f>
        <v/>
      </c>
    </row>
    <row r="887">
      <c r="A887" s="20" t="n"/>
      <c r="B887" s="21" t="n"/>
      <c r="C887" s="20" t="n"/>
      <c r="D887" s="22">
        <f>IF(C887="","",INDEX(MERCADORIA!$B$5:$B$22,MATCH(C887,MERCADORIA!$A$5:$A$22,0)))</f>
        <v/>
      </c>
      <c r="E887" s="22">
        <f>IF(C887="","",INDEX(MERCADORIA!$C$5:$C$22,MATCH(C887,MERCADORIA!$A$5:$A$22,0)))</f>
        <v/>
      </c>
      <c r="F887" s="23" t="n"/>
      <c r="G887" s="24">
        <f>IF(D887="","",INDEX(VALOR!$B$5:$B$8,MATCH(D887,VALOR!$A$5:$A$8,0)))</f>
        <v/>
      </c>
      <c r="H887" s="15">
        <f>IF(OR(G887="",F887=""),0,F887*G887)</f>
        <v/>
      </c>
      <c r="I887" s="20" t="n"/>
      <c r="J887" s="20" t="n"/>
      <c r="K887" s="24">
        <f>IF(OR(O887=0,J887=""),0,INDEX(MAPA!$C$5:$C$14,MATCH(J887,MAPA!$A$5:$A$14,0)))</f>
        <v/>
      </c>
      <c r="L887" s="25">
        <f>H887+K887</f>
        <v/>
      </c>
      <c r="M887" s="20" t="n"/>
      <c r="N887" s="20" t="n"/>
      <c r="O887" s="14">
        <f>IF(A887="",0,IF(COUNTIF($A$5:A887,A887)=1,1,0))</f>
        <v/>
      </c>
    </row>
    <row r="888">
      <c r="A888" s="20" t="n"/>
      <c r="B888" s="21" t="n"/>
      <c r="C888" s="20" t="n"/>
      <c r="D888" s="22">
        <f>IF(C888="","",INDEX(MERCADORIA!$B$5:$B$22,MATCH(C888,MERCADORIA!$A$5:$A$22,0)))</f>
        <v/>
      </c>
      <c r="E888" s="22">
        <f>IF(C888="","",INDEX(MERCADORIA!$C$5:$C$22,MATCH(C888,MERCADORIA!$A$5:$A$22,0)))</f>
        <v/>
      </c>
      <c r="F888" s="23" t="n"/>
      <c r="G888" s="24">
        <f>IF(D888="","",INDEX(VALOR!$B$5:$B$8,MATCH(D888,VALOR!$A$5:$A$8,0)))</f>
        <v/>
      </c>
      <c r="H888" s="15">
        <f>IF(OR(G888="",F888=""),0,F888*G888)</f>
        <v/>
      </c>
      <c r="I888" s="20" t="n"/>
      <c r="J888" s="20" t="n"/>
      <c r="K888" s="24">
        <f>IF(OR(O888=0,J888=""),0,INDEX(MAPA!$C$5:$C$14,MATCH(J888,MAPA!$A$5:$A$14,0)))</f>
        <v/>
      </c>
      <c r="L888" s="25">
        <f>H888+K888</f>
        <v/>
      </c>
      <c r="M888" s="20" t="n"/>
      <c r="N888" s="20" t="n"/>
      <c r="O888" s="14">
        <f>IF(A888="",0,IF(COUNTIF($A$5:A888,A888)=1,1,0))</f>
        <v/>
      </c>
    </row>
    <row r="889">
      <c r="A889" s="20" t="n"/>
      <c r="B889" s="21" t="n"/>
      <c r="C889" s="20" t="n"/>
      <c r="D889" s="22">
        <f>IF(C889="","",INDEX(MERCADORIA!$B$5:$B$22,MATCH(C889,MERCADORIA!$A$5:$A$22,0)))</f>
        <v/>
      </c>
      <c r="E889" s="22">
        <f>IF(C889="","",INDEX(MERCADORIA!$C$5:$C$22,MATCH(C889,MERCADORIA!$A$5:$A$22,0)))</f>
        <v/>
      </c>
      <c r="F889" s="23" t="n"/>
      <c r="G889" s="24">
        <f>IF(D889="","",INDEX(VALOR!$B$5:$B$8,MATCH(D889,VALOR!$A$5:$A$8,0)))</f>
        <v/>
      </c>
      <c r="H889" s="15">
        <f>IF(OR(G889="",F889=""),0,F889*G889)</f>
        <v/>
      </c>
      <c r="I889" s="20" t="n"/>
      <c r="J889" s="20" t="n"/>
      <c r="K889" s="24">
        <f>IF(OR(O889=0,J889=""),0,INDEX(MAPA!$C$5:$C$14,MATCH(J889,MAPA!$A$5:$A$14,0)))</f>
        <v/>
      </c>
      <c r="L889" s="25">
        <f>H889+K889</f>
        <v/>
      </c>
      <c r="M889" s="20" t="n"/>
      <c r="N889" s="20" t="n"/>
      <c r="O889" s="14">
        <f>IF(A889="",0,IF(COUNTIF($A$5:A889,A889)=1,1,0))</f>
        <v/>
      </c>
    </row>
    <row r="890">
      <c r="A890" s="20" t="n"/>
      <c r="B890" s="21" t="n"/>
      <c r="C890" s="20" t="n"/>
      <c r="D890" s="22">
        <f>IF(C890="","",INDEX(MERCADORIA!$B$5:$B$22,MATCH(C890,MERCADORIA!$A$5:$A$22,0)))</f>
        <v/>
      </c>
      <c r="E890" s="22">
        <f>IF(C890="","",INDEX(MERCADORIA!$C$5:$C$22,MATCH(C890,MERCADORIA!$A$5:$A$22,0)))</f>
        <v/>
      </c>
      <c r="F890" s="23" t="n"/>
      <c r="G890" s="24">
        <f>IF(D890="","",INDEX(VALOR!$B$5:$B$8,MATCH(D890,VALOR!$A$5:$A$8,0)))</f>
        <v/>
      </c>
      <c r="H890" s="15">
        <f>IF(OR(G890="",F890=""),0,F890*G890)</f>
        <v/>
      </c>
      <c r="I890" s="20" t="n"/>
      <c r="J890" s="20" t="n"/>
      <c r="K890" s="24">
        <f>IF(OR(O890=0,J890=""),0,INDEX(MAPA!$C$5:$C$14,MATCH(J890,MAPA!$A$5:$A$14,0)))</f>
        <v/>
      </c>
      <c r="L890" s="25">
        <f>H890+K890</f>
        <v/>
      </c>
      <c r="M890" s="20" t="n"/>
      <c r="N890" s="20" t="n"/>
      <c r="O890" s="14">
        <f>IF(A890="",0,IF(COUNTIF($A$5:A890,A890)=1,1,0))</f>
        <v/>
      </c>
    </row>
    <row r="891">
      <c r="A891" s="20" t="n"/>
      <c r="B891" s="21" t="n"/>
      <c r="C891" s="20" t="n"/>
      <c r="D891" s="22">
        <f>IF(C891="","",INDEX(MERCADORIA!$B$5:$B$22,MATCH(C891,MERCADORIA!$A$5:$A$22,0)))</f>
        <v/>
      </c>
      <c r="E891" s="22">
        <f>IF(C891="","",INDEX(MERCADORIA!$C$5:$C$22,MATCH(C891,MERCADORIA!$A$5:$A$22,0)))</f>
        <v/>
      </c>
      <c r="F891" s="23" t="n"/>
      <c r="G891" s="24">
        <f>IF(D891="","",INDEX(VALOR!$B$5:$B$8,MATCH(D891,VALOR!$A$5:$A$8,0)))</f>
        <v/>
      </c>
      <c r="H891" s="15">
        <f>IF(OR(G891="",F891=""),0,F891*G891)</f>
        <v/>
      </c>
      <c r="I891" s="20" t="n"/>
      <c r="J891" s="20" t="n"/>
      <c r="K891" s="24">
        <f>IF(OR(O891=0,J891=""),0,INDEX(MAPA!$C$5:$C$14,MATCH(J891,MAPA!$A$5:$A$14,0)))</f>
        <v/>
      </c>
      <c r="L891" s="25">
        <f>H891+K891</f>
        <v/>
      </c>
      <c r="M891" s="20" t="n"/>
      <c r="N891" s="20" t="n"/>
      <c r="O891" s="14">
        <f>IF(A891="",0,IF(COUNTIF($A$5:A891,A891)=1,1,0))</f>
        <v/>
      </c>
    </row>
    <row r="892">
      <c r="A892" s="20" t="n"/>
      <c r="B892" s="21" t="n"/>
      <c r="C892" s="20" t="n"/>
      <c r="D892" s="22">
        <f>IF(C892="","",INDEX(MERCADORIA!$B$5:$B$22,MATCH(C892,MERCADORIA!$A$5:$A$22,0)))</f>
        <v/>
      </c>
      <c r="E892" s="22">
        <f>IF(C892="","",INDEX(MERCADORIA!$C$5:$C$22,MATCH(C892,MERCADORIA!$A$5:$A$22,0)))</f>
        <v/>
      </c>
      <c r="F892" s="23" t="n"/>
      <c r="G892" s="24">
        <f>IF(D892="","",INDEX(VALOR!$B$5:$B$8,MATCH(D892,VALOR!$A$5:$A$8,0)))</f>
        <v/>
      </c>
      <c r="H892" s="15">
        <f>IF(OR(G892="",F892=""),0,F892*G892)</f>
        <v/>
      </c>
      <c r="I892" s="20" t="n"/>
      <c r="J892" s="20" t="n"/>
      <c r="K892" s="24">
        <f>IF(OR(O892=0,J892=""),0,INDEX(MAPA!$C$5:$C$14,MATCH(J892,MAPA!$A$5:$A$14,0)))</f>
        <v/>
      </c>
      <c r="L892" s="25">
        <f>H892+K892</f>
        <v/>
      </c>
      <c r="M892" s="20" t="n"/>
      <c r="N892" s="20" t="n"/>
      <c r="O892" s="14">
        <f>IF(A892="",0,IF(COUNTIF($A$5:A892,A892)=1,1,0))</f>
        <v/>
      </c>
    </row>
    <row r="893">
      <c r="A893" s="20" t="n"/>
      <c r="B893" s="21" t="n"/>
      <c r="C893" s="20" t="n"/>
      <c r="D893" s="22">
        <f>IF(C893="","",INDEX(MERCADORIA!$B$5:$B$22,MATCH(C893,MERCADORIA!$A$5:$A$22,0)))</f>
        <v/>
      </c>
      <c r="E893" s="22">
        <f>IF(C893="","",INDEX(MERCADORIA!$C$5:$C$22,MATCH(C893,MERCADORIA!$A$5:$A$22,0)))</f>
        <v/>
      </c>
      <c r="F893" s="23" t="n"/>
      <c r="G893" s="24">
        <f>IF(D893="","",INDEX(VALOR!$B$5:$B$8,MATCH(D893,VALOR!$A$5:$A$8,0)))</f>
        <v/>
      </c>
      <c r="H893" s="15">
        <f>IF(OR(G893="",F893=""),0,F893*G893)</f>
        <v/>
      </c>
      <c r="I893" s="20" t="n"/>
      <c r="J893" s="20" t="n"/>
      <c r="K893" s="24">
        <f>IF(OR(O893=0,J893=""),0,INDEX(MAPA!$C$5:$C$14,MATCH(J893,MAPA!$A$5:$A$14,0)))</f>
        <v/>
      </c>
      <c r="L893" s="25">
        <f>H893+K893</f>
        <v/>
      </c>
      <c r="M893" s="20" t="n"/>
      <c r="N893" s="20" t="n"/>
      <c r="O893" s="14">
        <f>IF(A893="",0,IF(COUNTIF($A$5:A893,A893)=1,1,0))</f>
        <v/>
      </c>
    </row>
    <row r="894">
      <c r="A894" s="20" t="n"/>
      <c r="B894" s="21" t="n"/>
      <c r="C894" s="20" t="n"/>
      <c r="D894" s="22">
        <f>IF(C894="","",INDEX(MERCADORIA!$B$5:$B$22,MATCH(C894,MERCADORIA!$A$5:$A$22,0)))</f>
        <v/>
      </c>
      <c r="E894" s="22">
        <f>IF(C894="","",INDEX(MERCADORIA!$C$5:$C$22,MATCH(C894,MERCADORIA!$A$5:$A$22,0)))</f>
        <v/>
      </c>
      <c r="F894" s="23" t="n"/>
      <c r="G894" s="24">
        <f>IF(D894="","",INDEX(VALOR!$B$5:$B$8,MATCH(D894,VALOR!$A$5:$A$8,0)))</f>
        <v/>
      </c>
      <c r="H894" s="15">
        <f>IF(OR(G894="",F894=""),0,F894*G894)</f>
        <v/>
      </c>
      <c r="I894" s="20" t="n"/>
      <c r="J894" s="20" t="n"/>
      <c r="K894" s="24">
        <f>IF(OR(O894=0,J894=""),0,INDEX(MAPA!$C$5:$C$14,MATCH(J894,MAPA!$A$5:$A$14,0)))</f>
        <v/>
      </c>
      <c r="L894" s="25">
        <f>H894+K894</f>
        <v/>
      </c>
      <c r="M894" s="20" t="n"/>
      <c r="N894" s="20" t="n"/>
      <c r="O894" s="14">
        <f>IF(A894="",0,IF(COUNTIF($A$5:A894,A894)=1,1,0))</f>
        <v/>
      </c>
    </row>
    <row r="895">
      <c r="A895" s="20" t="n"/>
      <c r="B895" s="21" t="n"/>
      <c r="C895" s="20" t="n"/>
      <c r="D895" s="22">
        <f>IF(C895="","",INDEX(MERCADORIA!$B$5:$B$22,MATCH(C895,MERCADORIA!$A$5:$A$22,0)))</f>
        <v/>
      </c>
      <c r="E895" s="22">
        <f>IF(C895="","",INDEX(MERCADORIA!$C$5:$C$22,MATCH(C895,MERCADORIA!$A$5:$A$22,0)))</f>
        <v/>
      </c>
      <c r="F895" s="23" t="n"/>
      <c r="G895" s="24">
        <f>IF(D895="","",INDEX(VALOR!$B$5:$B$8,MATCH(D895,VALOR!$A$5:$A$8,0)))</f>
        <v/>
      </c>
      <c r="H895" s="15">
        <f>IF(OR(G895="",F895=""),0,F895*G895)</f>
        <v/>
      </c>
      <c r="I895" s="20" t="n"/>
      <c r="J895" s="20" t="n"/>
      <c r="K895" s="24">
        <f>IF(OR(O895=0,J895=""),0,INDEX(MAPA!$C$5:$C$14,MATCH(J895,MAPA!$A$5:$A$14,0)))</f>
        <v/>
      </c>
      <c r="L895" s="25">
        <f>H895+K895</f>
        <v/>
      </c>
      <c r="M895" s="20" t="n"/>
      <c r="N895" s="20" t="n"/>
      <c r="O895" s="14">
        <f>IF(A895="",0,IF(COUNTIF($A$5:A895,A895)=1,1,0))</f>
        <v/>
      </c>
    </row>
    <row r="896">
      <c r="A896" s="20" t="n"/>
      <c r="B896" s="21" t="n"/>
      <c r="C896" s="20" t="n"/>
      <c r="D896" s="22">
        <f>IF(C896="","",INDEX(MERCADORIA!$B$5:$B$22,MATCH(C896,MERCADORIA!$A$5:$A$22,0)))</f>
        <v/>
      </c>
      <c r="E896" s="22">
        <f>IF(C896="","",INDEX(MERCADORIA!$C$5:$C$22,MATCH(C896,MERCADORIA!$A$5:$A$22,0)))</f>
        <v/>
      </c>
      <c r="F896" s="23" t="n"/>
      <c r="G896" s="24">
        <f>IF(D896="","",INDEX(VALOR!$B$5:$B$8,MATCH(D896,VALOR!$A$5:$A$8,0)))</f>
        <v/>
      </c>
      <c r="H896" s="15">
        <f>IF(OR(G896="",F896=""),0,F896*G896)</f>
        <v/>
      </c>
      <c r="I896" s="20" t="n"/>
      <c r="J896" s="20" t="n"/>
      <c r="K896" s="24">
        <f>IF(OR(O896=0,J896=""),0,INDEX(MAPA!$C$5:$C$14,MATCH(J896,MAPA!$A$5:$A$14,0)))</f>
        <v/>
      </c>
      <c r="L896" s="25">
        <f>H896+K896</f>
        <v/>
      </c>
      <c r="M896" s="20" t="n"/>
      <c r="N896" s="20" t="n"/>
      <c r="O896" s="14">
        <f>IF(A896="",0,IF(COUNTIF($A$5:A896,A896)=1,1,0))</f>
        <v/>
      </c>
    </row>
    <row r="897">
      <c r="A897" s="20" t="n"/>
      <c r="B897" s="21" t="n"/>
      <c r="C897" s="20" t="n"/>
      <c r="D897" s="22">
        <f>IF(C897="","",INDEX(MERCADORIA!$B$5:$B$22,MATCH(C897,MERCADORIA!$A$5:$A$22,0)))</f>
        <v/>
      </c>
      <c r="E897" s="22">
        <f>IF(C897="","",INDEX(MERCADORIA!$C$5:$C$22,MATCH(C897,MERCADORIA!$A$5:$A$22,0)))</f>
        <v/>
      </c>
      <c r="F897" s="23" t="n"/>
      <c r="G897" s="24">
        <f>IF(D897="","",INDEX(VALOR!$B$5:$B$8,MATCH(D897,VALOR!$A$5:$A$8,0)))</f>
        <v/>
      </c>
      <c r="H897" s="15">
        <f>IF(OR(G897="",F897=""),0,F897*G897)</f>
        <v/>
      </c>
      <c r="I897" s="20" t="n"/>
      <c r="J897" s="20" t="n"/>
      <c r="K897" s="24">
        <f>IF(OR(O897=0,J897=""),0,INDEX(MAPA!$C$5:$C$14,MATCH(J897,MAPA!$A$5:$A$14,0)))</f>
        <v/>
      </c>
      <c r="L897" s="25">
        <f>H897+K897</f>
        <v/>
      </c>
      <c r="M897" s="20" t="n"/>
      <c r="N897" s="20" t="n"/>
      <c r="O897" s="14">
        <f>IF(A897="",0,IF(COUNTIF($A$5:A897,A897)=1,1,0))</f>
        <v/>
      </c>
    </row>
    <row r="898">
      <c r="A898" s="20" t="n"/>
      <c r="B898" s="21" t="n"/>
      <c r="C898" s="20" t="n"/>
      <c r="D898" s="22">
        <f>IF(C898="","",INDEX(MERCADORIA!$B$5:$B$22,MATCH(C898,MERCADORIA!$A$5:$A$22,0)))</f>
        <v/>
      </c>
      <c r="E898" s="22">
        <f>IF(C898="","",INDEX(MERCADORIA!$C$5:$C$22,MATCH(C898,MERCADORIA!$A$5:$A$22,0)))</f>
        <v/>
      </c>
      <c r="F898" s="23" t="n"/>
      <c r="G898" s="24">
        <f>IF(D898="","",INDEX(VALOR!$B$5:$B$8,MATCH(D898,VALOR!$A$5:$A$8,0)))</f>
        <v/>
      </c>
      <c r="H898" s="15">
        <f>IF(OR(G898="",F898=""),0,F898*G898)</f>
        <v/>
      </c>
      <c r="I898" s="20" t="n"/>
      <c r="J898" s="20" t="n"/>
      <c r="K898" s="24">
        <f>IF(OR(O898=0,J898=""),0,INDEX(MAPA!$C$5:$C$14,MATCH(J898,MAPA!$A$5:$A$14,0)))</f>
        <v/>
      </c>
      <c r="L898" s="25">
        <f>H898+K898</f>
        <v/>
      </c>
      <c r="M898" s="20" t="n"/>
      <c r="N898" s="20" t="n"/>
      <c r="O898" s="14">
        <f>IF(A898="",0,IF(COUNTIF($A$5:A898,A898)=1,1,0))</f>
        <v/>
      </c>
    </row>
    <row r="899">
      <c r="A899" s="20" t="n"/>
      <c r="B899" s="21" t="n"/>
      <c r="C899" s="20" t="n"/>
      <c r="D899" s="22">
        <f>IF(C899="","",INDEX(MERCADORIA!$B$5:$B$22,MATCH(C899,MERCADORIA!$A$5:$A$22,0)))</f>
        <v/>
      </c>
      <c r="E899" s="22">
        <f>IF(C899="","",INDEX(MERCADORIA!$C$5:$C$22,MATCH(C899,MERCADORIA!$A$5:$A$22,0)))</f>
        <v/>
      </c>
      <c r="F899" s="23" t="n"/>
      <c r="G899" s="24">
        <f>IF(D899="","",INDEX(VALOR!$B$5:$B$8,MATCH(D899,VALOR!$A$5:$A$8,0)))</f>
        <v/>
      </c>
      <c r="H899" s="15">
        <f>IF(OR(G899="",F899=""),0,F899*G899)</f>
        <v/>
      </c>
      <c r="I899" s="20" t="n"/>
      <c r="J899" s="20" t="n"/>
      <c r="K899" s="24">
        <f>IF(OR(O899=0,J899=""),0,INDEX(MAPA!$C$5:$C$14,MATCH(J899,MAPA!$A$5:$A$14,0)))</f>
        <v/>
      </c>
      <c r="L899" s="25">
        <f>H899+K899</f>
        <v/>
      </c>
      <c r="M899" s="20" t="n"/>
      <c r="N899" s="20" t="n"/>
      <c r="O899" s="14">
        <f>IF(A899="",0,IF(COUNTIF($A$5:A899,A899)=1,1,0))</f>
        <v/>
      </c>
    </row>
    <row r="900">
      <c r="A900" s="20" t="n"/>
      <c r="B900" s="21" t="n"/>
      <c r="C900" s="20" t="n"/>
      <c r="D900" s="22">
        <f>IF(C900="","",INDEX(MERCADORIA!$B$5:$B$22,MATCH(C900,MERCADORIA!$A$5:$A$22,0)))</f>
        <v/>
      </c>
      <c r="E900" s="22">
        <f>IF(C900="","",INDEX(MERCADORIA!$C$5:$C$22,MATCH(C900,MERCADORIA!$A$5:$A$22,0)))</f>
        <v/>
      </c>
      <c r="F900" s="23" t="n"/>
      <c r="G900" s="24">
        <f>IF(D900="","",INDEX(VALOR!$B$5:$B$8,MATCH(D900,VALOR!$A$5:$A$8,0)))</f>
        <v/>
      </c>
      <c r="H900" s="15">
        <f>IF(OR(G900="",F900=""),0,F900*G900)</f>
        <v/>
      </c>
      <c r="I900" s="20" t="n"/>
      <c r="J900" s="20" t="n"/>
      <c r="K900" s="24">
        <f>IF(OR(O900=0,J900=""),0,INDEX(MAPA!$C$5:$C$14,MATCH(J900,MAPA!$A$5:$A$14,0)))</f>
        <v/>
      </c>
      <c r="L900" s="25">
        <f>H900+K900</f>
        <v/>
      </c>
      <c r="M900" s="20" t="n"/>
      <c r="N900" s="20" t="n"/>
      <c r="O900" s="14">
        <f>IF(A900="",0,IF(COUNTIF($A$5:A900,A900)=1,1,0))</f>
        <v/>
      </c>
    </row>
    <row r="901">
      <c r="A901" s="20" t="n"/>
      <c r="B901" s="21" t="n"/>
      <c r="C901" s="20" t="n"/>
      <c r="D901" s="22">
        <f>IF(C901="","",INDEX(MERCADORIA!$B$5:$B$22,MATCH(C901,MERCADORIA!$A$5:$A$22,0)))</f>
        <v/>
      </c>
      <c r="E901" s="22">
        <f>IF(C901="","",INDEX(MERCADORIA!$C$5:$C$22,MATCH(C901,MERCADORIA!$A$5:$A$22,0)))</f>
        <v/>
      </c>
      <c r="F901" s="23" t="n"/>
      <c r="G901" s="24">
        <f>IF(D901="","",INDEX(VALOR!$B$5:$B$8,MATCH(D901,VALOR!$A$5:$A$8,0)))</f>
        <v/>
      </c>
      <c r="H901" s="15">
        <f>IF(OR(G901="",F901=""),0,F901*G901)</f>
        <v/>
      </c>
      <c r="I901" s="20" t="n"/>
      <c r="J901" s="20" t="n"/>
      <c r="K901" s="24">
        <f>IF(OR(O901=0,J901=""),0,INDEX(MAPA!$C$5:$C$14,MATCH(J901,MAPA!$A$5:$A$14,0)))</f>
        <v/>
      </c>
      <c r="L901" s="25">
        <f>H901+K901</f>
        <v/>
      </c>
      <c r="M901" s="20" t="n"/>
      <c r="N901" s="20" t="n"/>
      <c r="O901" s="14">
        <f>IF(A901="",0,IF(COUNTIF($A$5:A901,A901)=1,1,0))</f>
        <v/>
      </c>
    </row>
    <row r="902">
      <c r="A902" s="20" t="n"/>
      <c r="B902" s="21" t="n"/>
      <c r="C902" s="20" t="n"/>
      <c r="D902" s="22">
        <f>IF(C902="","",INDEX(MERCADORIA!$B$5:$B$22,MATCH(C902,MERCADORIA!$A$5:$A$22,0)))</f>
        <v/>
      </c>
      <c r="E902" s="22">
        <f>IF(C902="","",INDEX(MERCADORIA!$C$5:$C$22,MATCH(C902,MERCADORIA!$A$5:$A$22,0)))</f>
        <v/>
      </c>
      <c r="F902" s="23" t="n"/>
      <c r="G902" s="24">
        <f>IF(D902="","",INDEX(VALOR!$B$5:$B$8,MATCH(D902,VALOR!$A$5:$A$8,0)))</f>
        <v/>
      </c>
      <c r="H902" s="15">
        <f>IF(OR(G902="",F902=""),0,F902*G902)</f>
        <v/>
      </c>
      <c r="I902" s="20" t="n"/>
      <c r="J902" s="20" t="n"/>
      <c r="K902" s="24">
        <f>IF(OR(O902=0,J902=""),0,INDEX(MAPA!$C$5:$C$14,MATCH(J902,MAPA!$A$5:$A$14,0)))</f>
        <v/>
      </c>
      <c r="L902" s="25">
        <f>H902+K902</f>
        <v/>
      </c>
      <c r="M902" s="20" t="n"/>
      <c r="N902" s="20" t="n"/>
      <c r="O902" s="14">
        <f>IF(A902="",0,IF(COUNTIF($A$5:A902,A902)=1,1,0))</f>
        <v/>
      </c>
    </row>
    <row r="903">
      <c r="A903" s="20" t="n"/>
      <c r="B903" s="21" t="n"/>
      <c r="C903" s="20" t="n"/>
      <c r="D903" s="22">
        <f>IF(C903="","",INDEX(MERCADORIA!$B$5:$B$22,MATCH(C903,MERCADORIA!$A$5:$A$22,0)))</f>
        <v/>
      </c>
      <c r="E903" s="22">
        <f>IF(C903="","",INDEX(MERCADORIA!$C$5:$C$22,MATCH(C903,MERCADORIA!$A$5:$A$22,0)))</f>
        <v/>
      </c>
      <c r="F903" s="23" t="n"/>
      <c r="G903" s="24">
        <f>IF(D903="","",INDEX(VALOR!$B$5:$B$8,MATCH(D903,VALOR!$A$5:$A$8,0)))</f>
        <v/>
      </c>
      <c r="H903" s="15">
        <f>IF(OR(G903="",F903=""),0,F903*G903)</f>
        <v/>
      </c>
      <c r="I903" s="20" t="n"/>
      <c r="J903" s="20" t="n"/>
      <c r="K903" s="24">
        <f>IF(OR(O903=0,J903=""),0,INDEX(MAPA!$C$5:$C$14,MATCH(J903,MAPA!$A$5:$A$14,0)))</f>
        <v/>
      </c>
      <c r="L903" s="25">
        <f>H903+K903</f>
        <v/>
      </c>
      <c r="M903" s="20" t="n"/>
      <c r="N903" s="20" t="n"/>
      <c r="O903" s="14">
        <f>IF(A903="",0,IF(COUNTIF($A$5:A903,A903)=1,1,0))</f>
        <v/>
      </c>
    </row>
    <row r="904">
      <c r="A904" s="20" t="n"/>
      <c r="B904" s="21" t="n"/>
      <c r="C904" s="20" t="n"/>
      <c r="D904" s="22">
        <f>IF(C904="","",INDEX(MERCADORIA!$B$5:$B$22,MATCH(C904,MERCADORIA!$A$5:$A$22,0)))</f>
        <v/>
      </c>
      <c r="E904" s="22">
        <f>IF(C904="","",INDEX(MERCADORIA!$C$5:$C$22,MATCH(C904,MERCADORIA!$A$5:$A$22,0)))</f>
        <v/>
      </c>
      <c r="F904" s="23" t="n"/>
      <c r="G904" s="24">
        <f>IF(D904="","",INDEX(VALOR!$B$5:$B$8,MATCH(D904,VALOR!$A$5:$A$8,0)))</f>
        <v/>
      </c>
      <c r="H904" s="15">
        <f>IF(OR(G904="",F904=""),0,F904*G904)</f>
        <v/>
      </c>
      <c r="I904" s="20" t="n"/>
      <c r="J904" s="20" t="n"/>
      <c r="K904" s="24">
        <f>IF(OR(O904=0,J904=""),0,INDEX(MAPA!$C$5:$C$14,MATCH(J904,MAPA!$A$5:$A$14,0)))</f>
        <v/>
      </c>
      <c r="L904" s="25">
        <f>H904+K904</f>
        <v/>
      </c>
      <c r="M904" s="20" t="n"/>
      <c r="N904" s="20" t="n"/>
      <c r="O904" s="14">
        <f>IF(A904="",0,IF(COUNTIF($A$5:A904,A904)=1,1,0))</f>
        <v/>
      </c>
    </row>
    <row r="905">
      <c r="A905" s="20" t="n"/>
      <c r="B905" s="21" t="n"/>
      <c r="C905" s="20" t="n"/>
      <c r="D905" s="22">
        <f>IF(C905="","",INDEX(MERCADORIA!$B$5:$B$22,MATCH(C905,MERCADORIA!$A$5:$A$22,0)))</f>
        <v/>
      </c>
      <c r="E905" s="22">
        <f>IF(C905="","",INDEX(MERCADORIA!$C$5:$C$22,MATCH(C905,MERCADORIA!$A$5:$A$22,0)))</f>
        <v/>
      </c>
      <c r="F905" s="23" t="n"/>
      <c r="G905" s="24">
        <f>IF(D905="","",INDEX(VALOR!$B$5:$B$8,MATCH(D905,VALOR!$A$5:$A$8,0)))</f>
        <v/>
      </c>
      <c r="H905" s="15">
        <f>IF(OR(G905="",F905=""),0,F905*G905)</f>
        <v/>
      </c>
      <c r="I905" s="20" t="n"/>
      <c r="J905" s="20" t="n"/>
      <c r="K905" s="24">
        <f>IF(OR(O905=0,J905=""),0,INDEX(MAPA!$C$5:$C$14,MATCH(J905,MAPA!$A$5:$A$14,0)))</f>
        <v/>
      </c>
      <c r="L905" s="25">
        <f>H905+K905</f>
        <v/>
      </c>
      <c r="M905" s="20" t="n"/>
      <c r="N905" s="20" t="n"/>
      <c r="O905" s="14">
        <f>IF(A905="",0,IF(COUNTIF($A$5:A905,A905)=1,1,0))</f>
        <v/>
      </c>
    </row>
    <row r="906">
      <c r="A906" s="20" t="n"/>
      <c r="B906" s="21" t="n"/>
      <c r="C906" s="20" t="n"/>
      <c r="D906" s="22">
        <f>IF(C906="","",INDEX(MERCADORIA!$B$5:$B$22,MATCH(C906,MERCADORIA!$A$5:$A$22,0)))</f>
        <v/>
      </c>
      <c r="E906" s="22">
        <f>IF(C906="","",INDEX(MERCADORIA!$C$5:$C$22,MATCH(C906,MERCADORIA!$A$5:$A$22,0)))</f>
        <v/>
      </c>
      <c r="F906" s="23" t="n"/>
      <c r="G906" s="24">
        <f>IF(D906="","",INDEX(VALOR!$B$5:$B$8,MATCH(D906,VALOR!$A$5:$A$8,0)))</f>
        <v/>
      </c>
      <c r="H906" s="15">
        <f>IF(OR(G906="",F906=""),0,F906*G906)</f>
        <v/>
      </c>
      <c r="I906" s="20" t="n"/>
      <c r="J906" s="20" t="n"/>
      <c r="K906" s="24">
        <f>IF(OR(O906=0,J906=""),0,INDEX(MAPA!$C$5:$C$14,MATCH(J906,MAPA!$A$5:$A$14,0)))</f>
        <v/>
      </c>
      <c r="L906" s="25">
        <f>H906+K906</f>
        <v/>
      </c>
      <c r="M906" s="20" t="n"/>
      <c r="N906" s="20" t="n"/>
      <c r="O906" s="14">
        <f>IF(A906="",0,IF(COUNTIF($A$5:A906,A906)=1,1,0))</f>
        <v/>
      </c>
    </row>
    <row r="907">
      <c r="A907" s="20" t="n"/>
      <c r="B907" s="21" t="n"/>
      <c r="C907" s="20" t="n"/>
      <c r="D907" s="22">
        <f>IF(C907="","",INDEX(MERCADORIA!$B$5:$B$22,MATCH(C907,MERCADORIA!$A$5:$A$22,0)))</f>
        <v/>
      </c>
      <c r="E907" s="22">
        <f>IF(C907="","",INDEX(MERCADORIA!$C$5:$C$22,MATCH(C907,MERCADORIA!$A$5:$A$22,0)))</f>
        <v/>
      </c>
      <c r="F907" s="23" t="n"/>
      <c r="G907" s="24">
        <f>IF(D907="","",INDEX(VALOR!$B$5:$B$8,MATCH(D907,VALOR!$A$5:$A$8,0)))</f>
        <v/>
      </c>
      <c r="H907" s="15">
        <f>IF(OR(G907="",F907=""),0,F907*G907)</f>
        <v/>
      </c>
      <c r="I907" s="20" t="n"/>
      <c r="J907" s="20" t="n"/>
      <c r="K907" s="24">
        <f>IF(OR(O907=0,J907=""),0,INDEX(MAPA!$C$5:$C$14,MATCH(J907,MAPA!$A$5:$A$14,0)))</f>
        <v/>
      </c>
      <c r="L907" s="25">
        <f>H907+K907</f>
        <v/>
      </c>
      <c r="M907" s="20" t="n"/>
      <c r="N907" s="20" t="n"/>
      <c r="O907" s="14">
        <f>IF(A907="",0,IF(COUNTIF($A$5:A907,A907)=1,1,0))</f>
        <v/>
      </c>
    </row>
    <row r="908">
      <c r="A908" s="20" t="n"/>
      <c r="B908" s="21" t="n"/>
      <c r="C908" s="20" t="n"/>
      <c r="D908" s="22">
        <f>IF(C908="","",INDEX(MERCADORIA!$B$5:$B$22,MATCH(C908,MERCADORIA!$A$5:$A$22,0)))</f>
        <v/>
      </c>
      <c r="E908" s="22">
        <f>IF(C908="","",INDEX(MERCADORIA!$C$5:$C$22,MATCH(C908,MERCADORIA!$A$5:$A$22,0)))</f>
        <v/>
      </c>
      <c r="F908" s="23" t="n"/>
      <c r="G908" s="24">
        <f>IF(D908="","",INDEX(VALOR!$B$5:$B$8,MATCH(D908,VALOR!$A$5:$A$8,0)))</f>
        <v/>
      </c>
      <c r="H908" s="15">
        <f>IF(OR(G908="",F908=""),0,F908*G908)</f>
        <v/>
      </c>
      <c r="I908" s="20" t="n"/>
      <c r="J908" s="20" t="n"/>
      <c r="K908" s="24">
        <f>IF(OR(O908=0,J908=""),0,INDEX(MAPA!$C$5:$C$14,MATCH(J908,MAPA!$A$5:$A$14,0)))</f>
        <v/>
      </c>
      <c r="L908" s="25">
        <f>H908+K908</f>
        <v/>
      </c>
      <c r="M908" s="20" t="n"/>
      <c r="N908" s="20" t="n"/>
      <c r="O908" s="14">
        <f>IF(A908="",0,IF(COUNTIF($A$5:A908,A908)=1,1,0))</f>
        <v/>
      </c>
    </row>
    <row r="909">
      <c r="A909" s="20" t="n"/>
      <c r="B909" s="21" t="n"/>
      <c r="C909" s="20" t="n"/>
      <c r="D909" s="22">
        <f>IF(C909="","",INDEX(MERCADORIA!$B$5:$B$22,MATCH(C909,MERCADORIA!$A$5:$A$22,0)))</f>
        <v/>
      </c>
      <c r="E909" s="22">
        <f>IF(C909="","",INDEX(MERCADORIA!$C$5:$C$22,MATCH(C909,MERCADORIA!$A$5:$A$22,0)))</f>
        <v/>
      </c>
      <c r="F909" s="23" t="n"/>
      <c r="G909" s="24">
        <f>IF(D909="","",INDEX(VALOR!$B$5:$B$8,MATCH(D909,VALOR!$A$5:$A$8,0)))</f>
        <v/>
      </c>
      <c r="H909" s="15">
        <f>IF(OR(G909="",F909=""),0,F909*G909)</f>
        <v/>
      </c>
      <c r="I909" s="20" t="n"/>
      <c r="J909" s="20" t="n"/>
      <c r="K909" s="24">
        <f>IF(OR(O909=0,J909=""),0,INDEX(MAPA!$C$5:$C$14,MATCH(J909,MAPA!$A$5:$A$14,0)))</f>
        <v/>
      </c>
      <c r="L909" s="25">
        <f>H909+K909</f>
        <v/>
      </c>
      <c r="M909" s="20" t="n"/>
      <c r="N909" s="20" t="n"/>
      <c r="O909" s="14">
        <f>IF(A909="",0,IF(COUNTIF($A$5:A909,A909)=1,1,0))</f>
        <v/>
      </c>
    </row>
    <row r="910">
      <c r="A910" s="20" t="n"/>
      <c r="B910" s="21" t="n"/>
      <c r="C910" s="20" t="n"/>
      <c r="D910" s="22">
        <f>IF(C910="","",INDEX(MERCADORIA!$B$5:$B$22,MATCH(C910,MERCADORIA!$A$5:$A$22,0)))</f>
        <v/>
      </c>
      <c r="E910" s="22">
        <f>IF(C910="","",INDEX(MERCADORIA!$C$5:$C$22,MATCH(C910,MERCADORIA!$A$5:$A$22,0)))</f>
        <v/>
      </c>
      <c r="F910" s="23" t="n"/>
      <c r="G910" s="24">
        <f>IF(D910="","",INDEX(VALOR!$B$5:$B$8,MATCH(D910,VALOR!$A$5:$A$8,0)))</f>
        <v/>
      </c>
      <c r="H910" s="15">
        <f>IF(OR(G910="",F910=""),0,F910*G910)</f>
        <v/>
      </c>
      <c r="I910" s="20" t="n"/>
      <c r="J910" s="20" t="n"/>
      <c r="K910" s="24">
        <f>IF(OR(O910=0,J910=""),0,INDEX(MAPA!$C$5:$C$14,MATCH(J910,MAPA!$A$5:$A$14,0)))</f>
        <v/>
      </c>
      <c r="L910" s="25">
        <f>H910+K910</f>
        <v/>
      </c>
      <c r="M910" s="20" t="n"/>
      <c r="N910" s="20" t="n"/>
      <c r="O910" s="14">
        <f>IF(A910="",0,IF(COUNTIF($A$5:A910,A910)=1,1,0))</f>
        <v/>
      </c>
    </row>
    <row r="911">
      <c r="A911" s="20" t="n"/>
      <c r="B911" s="21" t="n"/>
      <c r="C911" s="20" t="n"/>
      <c r="D911" s="22">
        <f>IF(C911="","",INDEX(MERCADORIA!$B$5:$B$22,MATCH(C911,MERCADORIA!$A$5:$A$22,0)))</f>
        <v/>
      </c>
      <c r="E911" s="22">
        <f>IF(C911="","",INDEX(MERCADORIA!$C$5:$C$22,MATCH(C911,MERCADORIA!$A$5:$A$22,0)))</f>
        <v/>
      </c>
      <c r="F911" s="23" t="n"/>
      <c r="G911" s="24">
        <f>IF(D911="","",INDEX(VALOR!$B$5:$B$8,MATCH(D911,VALOR!$A$5:$A$8,0)))</f>
        <v/>
      </c>
      <c r="H911" s="15">
        <f>IF(OR(G911="",F911=""),0,F911*G911)</f>
        <v/>
      </c>
      <c r="I911" s="20" t="n"/>
      <c r="J911" s="20" t="n"/>
      <c r="K911" s="24">
        <f>IF(OR(O911=0,J911=""),0,INDEX(MAPA!$C$5:$C$14,MATCH(J911,MAPA!$A$5:$A$14,0)))</f>
        <v/>
      </c>
      <c r="L911" s="25">
        <f>H911+K911</f>
        <v/>
      </c>
      <c r="M911" s="20" t="n"/>
      <c r="N911" s="20" t="n"/>
      <c r="O911" s="14">
        <f>IF(A911="",0,IF(COUNTIF($A$5:A911,A911)=1,1,0))</f>
        <v/>
      </c>
    </row>
    <row r="912">
      <c r="A912" s="20" t="n"/>
      <c r="B912" s="21" t="n"/>
      <c r="C912" s="20" t="n"/>
      <c r="D912" s="22">
        <f>IF(C912="","",INDEX(MERCADORIA!$B$5:$B$22,MATCH(C912,MERCADORIA!$A$5:$A$22,0)))</f>
        <v/>
      </c>
      <c r="E912" s="22">
        <f>IF(C912="","",INDEX(MERCADORIA!$C$5:$C$22,MATCH(C912,MERCADORIA!$A$5:$A$22,0)))</f>
        <v/>
      </c>
      <c r="F912" s="23" t="n"/>
      <c r="G912" s="24">
        <f>IF(D912="","",INDEX(VALOR!$B$5:$B$8,MATCH(D912,VALOR!$A$5:$A$8,0)))</f>
        <v/>
      </c>
      <c r="H912" s="15">
        <f>IF(OR(G912="",F912=""),0,F912*G912)</f>
        <v/>
      </c>
      <c r="I912" s="20" t="n"/>
      <c r="J912" s="20" t="n"/>
      <c r="K912" s="24">
        <f>IF(OR(O912=0,J912=""),0,INDEX(MAPA!$C$5:$C$14,MATCH(J912,MAPA!$A$5:$A$14,0)))</f>
        <v/>
      </c>
      <c r="L912" s="25">
        <f>H912+K912</f>
        <v/>
      </c>
      <c r="M912" s="20" t="n"/>
      <c r="N912" s="20" t="n"/>
      <c r="O912" s="14">
        <f>IF(A912="",0,IF(COUNTIF($A$5:A912,A912)=1,1,0))</f>
        <v/>
      </c>
    </row>
    <row r="913">
      <c r="A913" s="20" t="n"/>
      <c r="B913" s="21" t="n"/>
      <c r="C913" s="20" t="n"/>
      <c r="D913" s="22">
        <f>IF(C913="","",INDEX(MERCADORIA!$B$5:$B$22,MATCH(C913,MERCADORIA!$A$5:$A$22,0)))</f>
        <v/>
      </c>
      <c r="E913" s="22">
        <f>IF(C913="","",INDEX(MERCADORIA!$C$5:$C$22,MATCH(C913,MERCADORIA!$A$5:$A$22,0)))</f>
        <v/>
      </c>
      <c r="F913" s="23" t="n"/>
      <c r="G913" s="24">
        <f>IF(D913="","",INDEX(VALOR!$B$5:$B$8,MATCH(D913,VALOR!$A$5:$A$8,0)))</f>
        <v/>
      </c>
      <c r="H913" s="15">
        <f>IF(OR(G913="",F913=""),0,F913*G913)</f>
        <v/>
      </c>
      <c r="I913" s="20" t="n"/>
      <c r="J913" s="20" t="n"/>
      <c r="K913" s="24">
        <f>IF(OR(O913=0,J913=""),0,INDEX(MAPA!$C$5:$C$14,MATCH(J913,MAPA!$A$5:$A$14,0)))</f>
        <v/>
      </c>
      <c r="L913" s="25">
        <f>H913+K913</f>
        <v/>
      </c>
      <c r="M913" s="20" t="n"/>
      <c r="N913" s="20" t="n"/>
      <c r="O913" s="14">
        <f>IF(A913="",0,IF(COUNTIF($A$5:A913,A913)=1,1,0))</f>
        <v/>
      </c>
    </row>
    <row r="914">
      <c r="A914" s="20" t="n"/>
      <c r="B914" s="21" t="n"/>
      <c r="C914" s="20" t="n"/>
      <c r="D914" s="22">
        <f>IF(C914="","",INDEX(MERCADORIA!$B$5:$B$22,MATCH(C914,MERCADORIA!$A$5:$A$22,0)))</f>
        <v/>
      </c>
      <c r="E914" s="22">
        <f>IF(C914="","",INDEX(MERCADORIA!$C$5:$C$22,MATCH(C914,MERCADORIA!$A$5:$A$22,0)))</f>
        <v/>
      </c>
      <c r="F914" s="23" t="n"/>
      <c r="G914" s="24">
        <f>IF(D914="","",INDEX(VALOR!$B$5:$B$8,MATCH(D914,VALOR!$A$5:$A$8,0)))</f>
        <v/>
      </c>
      <c r="H914" s="15">
        <f>IF(OR(G914="",F914=""),0,F914*G914)</f>
        <v/>
      </c>
      <c r="I914" s="20" t="n"/>
      <c r="J914" s="20" t="n"/>
      <c r="K914" s="24">
        <f>IF(OR(O914=0,J914=""),0,INDEX(MAPA!$C$5:$C$14,MATCH(J914,MAPA!$A$5:$A$14,0)))</f>
        <v/>
      </c>
      <c r="L914" s="25">
        <f>H914+K914</f>
        <v/>
      </c>
      <c r="M914" s="20" t="n"/>
      <c r="N914" s="20" t="n"/>
      <c r="O914" s="14">
        <f>IF(A914="",0,IF(COUNTIF($A$5:A914,A914)=1,1,0))</f>
        <v/>
      </c>
    </row>
    <row r="915">
      <c r="A915" s="20" t="n"/>
      <c r="B915" s="21" t="n"/>
      <c r="C915" s="20" t="n"/>
      <c r="D915" s="22">
        <f>IF(C915="","",INDEX(MERCADORIA!$B$5:$B$22,MATCH(C915,MERCADORIA!$A$5:$A$22,0)))</f>
        <v/>
      </c>
      <c r="E915" s="22">
        <f>IF(C915="","",INDEX(MERCADORIA!$C$5:$C$22,MATCH(C915,MERCADORIA!$A$5:$A$22,0)))</f>
        <v/>
      </c>
      <c r="F915" s="23" t="n"/>
      <c r="G915" s="24">
        <f>IF(D915="","",INDEX(VALOR!$B$5:$B$8,MATCH(D915,VALOR!$A$5:$A$8,0)))</f>
        <v/>
      </c>
      <c r="H915" s="15">
        <f>IF(OR(G915="",F915=""),0,F915*G915)</f>
        <v/>
      </c>
      <c r="I915" s="20" t="n"/>
      <c r="J915" s="20" t="n"/>
      <c r="K915" s="24">
        <f>IF(OR(O915=0,J915=""),0,INDEX(MAPA!$C$5:$C$14,MATCH(J915,MAPA!$A$5:$A$14,0)))</f>
        <v/>
      </c>
      <c r="L915" s="25">
        <f>H915+K915</f>
        <v/>
      </c>
      <c r="M915" s="20" t="n"/>
      <c r="N915" s="20" t="n"/>
      <c r="O915" s="14">
        <f>IF(A915="",0,IF(COUNTIF($A$5:A915,A915)=1,1,0))</f>
        <v/>
      </c>
    </row>
    <row r="916">
      <c r="A916" s="20" t="n"/>
      <c r="B916" s="21" t="n"/>
      <c r="C916" s="20" t="n"/>
      <c r="D916" s="22">
        <f>IF(C916="","",INDEX(MERCADORIA!$B$5:$B$22,MATCH(C916,MERCADORIA!$A$5:$A$22,0)))</f>
        <v/>
      </c>
      <c r="E916" s="22">
        <f>IF(C916="","",INDEX(MERCADORIA!$C$5:$C$22,MATCH(C916,MERCADORIA!$A$5:$A$22,0)))</f>
        <v/>
      </c>
      <c r="F916" s="23" t="n"/>
      <c r="G916" s="24">
        <f>IF(D916="","",INDEX(VALOR!$B$5:$B$8,MATCH(D916,VALOR!$A$5:$A$8,0)))</f>
        <v/>
      </c>
      <c r="H916" s="15">
        <f>IF(OR(G916="",F916=""),0,F916*G916)</f>
        <v/>
      </c>
      <c r="I916" s="20" t="n"/>
      <c r="J916" s="20" t="n"/>
      <c r="K916" s="24">
        <f>IF(OR(O916=0,J916=""),0,INDEX(MAPA!$C$5:$C$14,MATCH(J916,MAPA!$A$5:$A$14,0)))</f>
        <v/>
      </c>
      <c r="L916" s="25">
        <f>H916+K916</f>
        <v/>
      </c>
      <c r="M916" s="20" t="n"/>
      <c r="N916" s="20" t="n"/>
      <c r="O916" s="14">
        <f>IF(A916="",0,IF(COUNTIF($A$5:A916,A916)=1,1,0))</f>
        <v/>
      </c>
    </row>
    <row r="917">
      <c r="A917" s="20" t="n"/>
      <c r="B917" s="21" t="n"/>
      <c r="C917" s="20" t="n"/>
      <c r="D917" s="22">
        <f>IF(C917="","",INDEX(MERCADORIA!$B$5:$B$22,MATCH(C917,MERCADORIA!$A$5:$A$22,0)))</f>
        <v/>
      </c>
      <c r="E917" s="22">
        <f>IF(C917="","",INDEX(MERCADORIA!$C$5:$C$22,MATCH(C917,MERCADORIA!$A$5:$A$22,0)))</f>
        <v/>
      </c>
      <c r="F917" s="23" t="n"/>
      <c r="G917" s="24">
        <f>IF(D917="","",INDEX(VALOR!$B$5:$B$8,MATCH(D917,VALOR!$A$5:$A$8,0)))</f>
        <v/>
      </c>
      <c r="H917" s="15">
        <f>IF(OR(G917="",F917=""),0,F917*G917)</f>
        <v/>
      </c>
      <c r="I917" s="20" t="n"/>
      <c r="J917" s="20" t="n"/>
      <c r="K917" s="24">
        <f>IF(OR(O917=0,J917=""),0,INDEX(MAPA!$C$5:$C$14,MATCH(J917,MAPA!$A$5:$A$14,0)))</f>
        <v/>
      </c>
      <c r="L917" s="25">
        <f>H917+K917</f>
        <v/>
      </c>
      <c r="M917" s="20" t="n"/>
      <c r="N917" s="20" t="n"/>
      <c r="O917" s="14">
        <f>IF(A917="",0,IF(COUNTIF($A$5:A917,A917)=1,1,0))</f>
        <v/>
      </c>
    </row>
    <row r="918">
      <c r="A918" s="20" t="n"/>
      <c r="B918" s="21" t="n"/>
      <c r="C918" s="20" t="n"/>
      <c r="D918" s="22">
        <f>IF(C918="","",INDEX(MERCADORIA!$B$5:$B$22,MATCH(C918,MERCADORIA!$A$5:$A$22,0)))</f>
        <v/>
      </c>
      <c r="E918" s="22">
        <f>IF(C918="","",INDEX(MERCADORIA!$C$5:$C$22,MATCH(C918,MERCADORIA!$A$5:$A$22,0)))</f>
        <v/>
      </c>
      <c r="F918" s="23" t="n"/>
      <c r="G918" s="24">
        <f>IF(D918="","",INDEX(VALOR!$B$5:$B$8,MATCH(D918,VALOR!$A$5:$A$8,0)))</f>
        <v/>
      </c>
      <c r="H918" s="15">
        <f>IF(OR(G918="",F918=""),0,F918*G918)</f>
        <v/>
      </c>
      <c r="I918" s="20" t="n"/>
      <c r="J918" s="20" t="n"/>
      <c r="K918" s="24">
        <f>IF(OR(O918=0,J918=""),0,INDEX(MAPA!$C$5:$C$14,MATCH(J918,MAPA!$A$5:$A$14,0)))</f>
        <v/>
      </c>
      <c r="L918" s="25">
        <f>H918+K918</f>
        <v/>
      </c>
      <c r="M918" s="20" t="n"/>
      <c r="N918" s="20" t="n"/>
      <c r="O918" s="14">
        <f>IF(A918="",0,IF(COUNTIF($A$5:A918,A918)=1,1,0))</f>
        <v/>
      </c>
    </row>
    <row r="919">
      <c r="A919" s="20" t="n"/>
      <c r="B919" s="21" t="n"/>
      <c r="C919" s="20" t="n"/>
      <c r="D919" s="22">
        <f>IF(C919="","",INDEX(MERCADORIA!$B$5:$B$22,MATCH(C919,MERCADORIA!$A$5:$A$22,0)))</f>
        <v/>
      </c>
      <c r="E919" s="22">
        <f>IF(C919="","",INDEX(MERCADORIA!$C$5:$C$22,MATCH(C919,MERCADORIA!$A$5:$A$22,0)))</f>
        <v/>
      </c>
      <c r="F919" s="23" t="n"/>
      <c r="G919" s="24">
        <f>IF(D919="","",INDEX(VALOR!$B$5:$B$8,MATCH(D919,VALOR!$A$5:$A$8,0)))</f>
        <v/>
      </c>
      <c r="H919" s="15">
        <f>IF(OR(G919="",F919=""),0,F919*G919)</f>
        <v/>
      </c>
      <c r="I919" s="20" t="n"/>
      <c r="J919" s="20" t="n"/>
      <c r="K919" s="24">
        <f>IF(OR(O919=0,J919=""),0,INDEX(MAPA!$C$5:$C$14,MATCH(J919,MAPA!$A$5:$A$14,0)))</f>
        <v/>
      </c>
      <c r="L919" s="25">
        <f>H919+K919</f>
        <v/>
      </c>
      <c r="M919" s="20" t="n"/>
      <c r="N919" s="20" t="n"/>
      <c r="O919" s="14">
        <f>IF(A919="",0,IF(COUNTIF($A$5:A919,A919)=1,1,0))</f>
        <v/>
      </c>
    </row>
    <row r="920">
      <c r="A920" s="20" t="n"/>
      <c r="B920" s="21" t="n"/>
      <c r="C920" s="20" t="n"/>
      <c r="D920" s="22">
        <f>IF(C920="","",INDEX(MERCADORIA!$B$5:$B$22,MATCH(C920,MERCADORIA!$A$5:$A$22,0)))</f>
        <v/>
      </c>
      <c r="E920" s="22">
        <f>IF(C920="","",INDEX(MERCADORIA!$C$5:$C$22,MATCH(C920,MERCADORIA!$A$5:$A$22,0)))</f>
        <v/>
      </c>
      <c r="F920" s="23" t="n"/>
      <c r="G920" s="24">
        <f>IF(D920="","",INDEX(VALOR!$B$5:$B$8,MATCH(D920,VALOR!$A$5:$A$8,0)))</f>
        <v/>
      </c>
      <c r="H920" s="15">
        <f>IF(OR(G920="",F920=""),0,F920*G920)</f>
        <v/>
      </c>
      <c r="I920" s="20" t="n"/>
      <c r="J920" s="20" t="n"/>
      <c r="K920" s="24">
        <f>IF(OR(O920=0,J920=""),0,INDEX(MAPA!$C$5:$C$14,MATCH(J920,MAPA!$A$5:$A$14,0)))</f>
        <v/>
      </c>
      <c r="L920" s="25">
        <f>H920+K920</f>
        <v/>
      </c>
      <c r="M920" s="20" t="n"/>
      <c r="N920" s="20" t="n"/>
      <c r="O920" s="14">
        <f>IF(A920="",0,IF(COUNTIF($A$5:A920,A920)=1,1,0))</f>
        <v/>
      </c>
    </row>
    <row r="921">
      <c r="A921" s="20" t="n"/>
      <c r="B921" s="21" t="n"/>
      <c r="C921" s="20" t="n"/>
      <c r="D921" s="22">
        <f>IF(C921="","",INDEX(MERCADORIA!$B$5:$B$22,MATCH(C921,MERCADORIA!$A$5:$A$22,0)))</f>
        <v/>
      </c>
      <c r="E921" s="22">
        <f>IF(C921="","",INDEX(MERCADORIA!$C$5:$C$22,MATCH(C921,MERCADORIA!$A$5:$A$22,0)))</f>
        <v/>
      </c>
      <c r="F921" s="23" t="n"/>
      <c r="G921" s="24">
        <f>IF(D921="","",INDEX(VALOR!$B$5:$B$8,MATCH(D921,VALOR!$A$5:$A$8,0)))</f>
        <v/>
      </c>
      <c r="H921" s="15">
        <f>IF(OR(G921="",F921=""),0,F921*G921)</f>
        <v/>
      </c>
      <c r="I921" s="20" t="n"/>
      <c r="J921" s="20" t="n"/>
      <c r="K921" s="24">
        <f>IF(OR(O921=0,J921=""),0,INDEX(MAPA!$C$5:$C$14,MATCH(J921,MAPA!$A$5:$A$14,0)))</f>
        <v/>
      </c>
      <c r="L921" s="25">
        <f>H921+K921</f>
        <v/>
      </c>
      <c r="M921" s="20" t="n"/>
      <c r="N921" s="20" t="n"/>
      <c r="O921" s="14">
        <f>IF(A921="",0,IF(COUNTIF($A$5:A921,A921)=1,1,0))</f>
        <v/>
      </c>
    </row>
    <row r="922">
      <c r="A922" s="20" t="n"/>
      <c r="B922" s="21" t="n"/>
      <c r="C922" s="20" t="n"/>
      <c r="D922" s="22">
        <f>IF(C922="","",INDEX(MERCADORIA!$B$5:$B$22,MATCH(C922,MERCADORIA!$A$5:$A$22,0)))</f>
        <v/>
      </c>
      <c r="E922" s="22">
        <f>IF(C922="","",INDEX(MERCADORIA!$C$5:$C$22,MATCH(C922,MERCADORIA!$A$5:$A$22,0)))</f>
        <v/>
      </c>
      <c r="F922" s="23" t="n"/>
      <c r="G922" s="24">
        <f>IF(D922="","",INDEX(VALOR!$B$5:$B$8,MATCH(D922,VALOR!$A$5:$A$8,0)))</f>
        <v/>
      </c>
      <c r="H922" s="15">
        <f>IF(OR(G922="",F922=""),0,F922*G922)</f>
        <v/>
      </c>
      <c r="I922" s="20" t="n"/>
      <c r="J922" s="20" t="n"/>
      <c r="K922" s="24">
        <f>IF(OR(O922=0,J922=""),0,INDEX(MAPA!$C$5:$C$14,MATCH(J922,MAPA!$A$5:$A$14,0)))</f>
        <v/>
      </c>
      <c r="L922" s="25">
        <f>H922+K922</f>
        <v/>
      </c>
      <c r="M922" s="20" t="n"/>
      <c r="N922" s="20" t="n"/>
      <c r="O922" s="14">
        <f>IF(A922="",0,IF(COUNTIF($A$5:A922,A922)=1,1,0))</f>
        <v/>
      </c>
    </row>
    <row r="923">
      <c r="A923" s="20" t="n"/>
      <c r="B923" s="21" t="n"/>
      <c r="C923" s="20" t="n"/>
      <c r="D923" s="22">
        <f>IF(C923="","",INDEX(MERCADORIA!$B$5:$B$22,MATCH(C923,MERCADORIA!$A$5:$A$22,0)))</f>
        <v/>
      </c>
      <c r="E923" s="22">
        <f>IF(C923="","",INDEX(MERCADORIA!$C$5:$C$22,MATCH(C923,MERCADORIA!$A$5:$A$22,0)))</f>
        <v/>
      </c>
      <c r="F923" s="23" t="n"/>
      <c r="G923" s="24">
        <f>IF(D923="","",INDEX(VALOR!$B$5:$B$8,MATCH(D923,VALOR!$A$5:$A$8,0)))</f>
        <v/>
      </c>
      <c r="H923" s="15">
        <f>IF(OR(G923="",F923=""),0,F923*G923)</f>
        <v/>
      </c>
      <c r="I923" s="20" t="n"/>
      <c r="J923" s="20" t="n"/>
      <c r="K923" s="24">
        <f>IF(OR(O923=0,J923=""),0,INDEX(MAPA!$C$5:$C$14,MATCH(J923,MAPA!$A$5:$A$14,0)))</f>
        <v/>
      </c>
      <c r="L923" s="25">
        <f>H923+K923</f>
        <v/>
      </c>
      <c r="M923" s="20" t="n"/>
      <c r="N923" s="20" t="n"/>
      <c r="O923" s="14">
        <f>IF(A923="",0,IF(COUNTIF($A$5:A923,A923)=1,1,0))</f>
        <v/>
      </c>
    </row>
    <row r="924">
      <c r="A924" s="20" t="n"/>
      <c r="B924" s="21" t="n"/>
      <c r="C924" s="20" t="n"/>
      <c r="D924" s="22">
        <f>IF(C924="","",INDEX(MERCADORIA!$B$5:$B$22,MATCH(C924,MERCADORIA!$A$5:$A$22,0)))</f>
        <v/>
      </c>
      <c r="E924" s="22">
        <f>IF(C924="","",INDEX(MERCADORIA!$C$5:$C$22,MATCH(C924,MERCADORIA!$A$5:$A$22,0)))</f>
        <v/>
      </c>
      <c r="F924" s="23" t="n"/>
      <c r="G924" s="24">
        <f>IF(D924="","",INDEX(VALOR!$B$5:$B$8,MATCH(D924,VALOR!$A$5:$A$8,0)))</f>
        <v/>
      </c>
      <c r="H924" s="15">
        <f>IF(OR(G924="",F924=""),0,F924*G924)</f>
        <v/>
      </c>
      <c r="I924" s="20" t="n"/>
      <c r="J924" s="20" t="n"/>
      <c r="K924" s="24">
        <f>IF(OR(O924=0,J924=""),0,INDEX(MAPA!$C$5:$C$14,MATCH(J924,MAPA!$A$5:$A$14,0)))</f>
        <v/>
      </c>
      <c r="L924" s="25">
        <f>H924+K924</f>
        <v/>
      </c>
      <c r="M924" s="20" t="n"/>
      <c r="N924" s="20" t="n"/>
      <c r="O924" s="14">
        <f>IF(A924="",0,IF(COUNTIF($A$5:A924,A924)=1,1,0))</f>
        <v/>
      </c>
    </row>
    <row r="925">
      <c r="A925" s="20" t="n"/>
      <c r="B925" s="21" t="n"/>
      <c r="C925" s="20" t="n"/>
      <c r="D925" s="22">
        <f>IF(C925="","",INDEX(MERCADORIA!$B$5:$B$22,MATCH(C925,MERCADORIA!$A$5:$A$22,0)))</f>
        <v/>
      </c>
      <c r="E925" s="22">
        <f>IF(C925="","",INDEX(MERCADORIA!$C$5:$C$22,MATCH(C925,MERCADORIA!$A$5:$A$22,0)))</f>
        <v/>
      </c>
      <c r="F925" s="23" t="n"/>
      <c r="G925" s="24">
        <f>IF(D925="","",INDEX(VALOR!$B$5:$B$8,MATCH(D925,VALOR!$A$5:$A$8,0)))</f>
        <v/>
      </c>
      <c r="H925" s="15">
        <f>IF(OR(G925="",F925=""),0,F925*G925)</f>
        <v/>
      </c>
      <c r="I925" s="20" t="n"/>
      <c r="J925" s="20" t="n"/>
      <c r="K925" s="24">
        <f>IF(OR(O925=0,J925=""),0,INDEX(MAPA!$C$5:$C$14,MATCH(J925,MAPA!$A$5:$A$14,0)))</f>
        <v/>
      </c>
      <c r="L925" s="25">
        <f>H925+K925</f>
        <v/>
      </c>
      <c r="M925" s="20" t="n"/>
      <c r="N925" s="20" t="n"/>
      <c r="O925" s="14">
        <f>IF(A925="",0,IF(COUNTIF($A$5:A925,A925)=1,1,0))</f>
        <v/>
      </c>
    </row>
    <row r="926">
      <c r="A926" s="20" t="n"/>
      <c r="B926" s="21" t="n"/>
      <c r="C926" s="20" t="n"/>
      <c r="D926" s="22">
        <f>IF(C926="","",INDEX(MERCADORIA!$B$5:$B$22,MATCH(C926,MERCADORIA!$A$5:$A$22,0)))</f>
        <v/>
      </c>
      <c r="E926" s="22">
        <f>IF(C926="","",INDEX(MERCADORIA!$C$5:$C$22,MATCH(C926,MERCADORIA!$A$5:$A$22,0)))</f>
        <v/>
      </c>
      <c r="F926" s="23" t="n"/>
      <c r="G926" s="24">
        <f>IF(D926="","",INDEX(VALOR!$B$5:$B$8,MATCH(D926,VALOR!$A$5:$A$8,0)))</f>
        <v/>
      </c>
      <c r="H926" s="15">
        <f>IF(OR(G926="",F926=""),0,F926*G926)</f>
        <v/>
      </c>
      <c r="I926" s="20" t="n"/>
      <c r="J926" s="20" t="n"/>
      <c r="K926" s="24">
        <f>IF(OR(O926=0,J926=""),0,INDEX(MAPA!$C$5:$C$14,MATCH(J926,MAPA!$A$5:$A$14,0)))</f>
        <v/>
      </c>
      <c r="L926" s="25">
        <f>H926+K926</f>
        <v/>
      </c>
      <c r="M926" s="20" t="n"/>
      <c r="N926" s="20" t="n"/>
      <c r="O926" s="14">
        <f>IF(A926="",0,IF(COUNTIF($A$5:A926,A926)=1,1,0))</f>
        <v/>
      </c>
    </row>
    <row r="927">
      <c r="A927" s="20" t="n"/>
      <c r="B927" s="21" t="n"/>
      <c r="C927" s="20" t="n"/>
      <c r="D927" s="22">
        <f>IF(C927="","",INDEX(MERCADORIA!$B$5:$B$22,MATCH(C927,MERCADORIA!$A$5:$A$22,0)))</f>
        <v/>
      </c>
      <c r="E927" s="22">
        <f>IF(C927="","",INDEX(MERCADORIA!$C$5:$C$22,MATCH(C927,MERCADORIA!$A$5:$A$22,0)))</f>
        <v/>
      </c>
      <c r="F927" s="23" t="n"/>
      <c r="G927" s="24">
        <f>IF(D927="","",INDEX(VALOR!$B$5:$B$8,MATCH(D927,VALOR!$A$5:$A$8,0)))</f>
        <v/>
      </c>
      <c r="H927" s="15">
        <f>IF(OR(G927="",F927=""),0,F927*G927)</f>
        <v/>
      </c>
      <c r="I927" s="20" t="n"/>
      <c r="J927" s="20" t="n"/>
      <c r="K927" s="24">
        <f>IF(OR(O927=0,J927=""),0,INDEX(MAPA!$C$5:$C$14,MATCH(J927,MAPA!$A$5:$A$14,0)))</f>
        <v/>
      </c>
      <c r="L927" s="25">
        <f>H927+K927</f>
        <v/>
      </c>
      <c r="M927" s="20" t="n"/>
      <c r="N927" s="20" t="n"/>
      <c r="O927" s="14">
        <f>IF(A927="",0,IF(COUNTIF($A$5:A927,A927)=1,1,0))</f>
        <v/>
      </c>
    </row>
    <row r="928">
      <c r="A928" s="20" t="n"/>
      <c r="B928" s="21" t="n"/>
      <c r="C928" s="20" t="n"/>
      <c r="D928" s="22">
        <f>IF(C928="","",INDEX(MERCADORIA!$B$5:$B$22,MATCH(C928,MERCADORIA!$A$5:$A$22,0)))</f>
        <v/>
      </c>
      <c r="E928" s="22">
        <f>IF(C928="","",INDEX(MERCADORIA!$C$5:$C$22,MATCH(C928,MERCADORIA!$A$5:$A$22,0)))</f>
        <v/>
      </c>
      <c r="F928" s="23" t="n"/>
      <c r="G928" s="24">
        <f>IF(D928="","",INDEX(VALOR!$B$5:$B$8,MATCH(D928,VALOR!$A$5:$A$8,0)))</f>
        <v/>
      </c>
      <c r="H928" s="15">
        <f>IF(OR(G928="",F928=""),0,F928*G928)</f>
        <v/>
      </c>
      <c r="I928" s="20" t="n"/>
      <c r="J928" s="20" t="n"/>
      <c r="K928" s="24">
        <f>IF(OR(O928=0,J928=""),0,INDEX(MAPA!$C$5:$C$14,MATCH(J928,MAPA!$A$5:$A$14,0)))</f>
        <v/>
      </c>
      <c r="L928" s="25">
        <f>H928+K928</f>
        <v/>
      </c>
      <c r="M928" s="20" t="n"/>
      <c r="N928" s="20" t="n"/>
      <c r="O928" s="14">
        <f>IF(A928="",0,IF(COUNTIF($A$5:A928,A928)=1,1,0))</f>
        <v/>
      </c>
    </row>
    <row r="929">
      <c r="A929" s="20" t="n"/>
      <c r="B929" s="21" t="n"/>
      <c r="C929" s="20" t="n"/>
      <c r="D929" s="22">
        <f>IF(C929="","",INDEX(MERCADORIA!$B$5:$B$22,MATCH(C929,MERCADORIA!$A$5:$A$22,0)))</f>
        <v/>
      </c>
      <c r="E929" s="22">
        <f>IF(C929="","",INDEX(MERCADORIA!$C$5:$C$22,MATCH(C929,MERCADORIA!$A$5:$A$22,0)))</f>
        <v/>
      </c>
      <c r="F929" s="23" t="n"/>
      <c r="G929" s="24">
        <f>IF(D929="","",INDEX(VALOR!$B$5:$B$8,MATCH(D929,VALOR!$A$5:$A$8,0)))</f>
        <v/>
      </c>
      <c r="H929" s="15">
        <f>IF(OR(G929="",F929=""),0,F929*G929)</f>
        <v/>
      </c>
      <c r="I929" s="20" t="n"/>
      <c r="J929" s="20" t="n"/>
      <c r="K929" s="24">
        <f>IF(OR(O929=0,J929=""),0,INDEX(MAPA!$C$5:$C$14,MATCH(J929,MAPA!$A$5:$A$14,0)))</f>
        <v/>
      </c>
      <c r="L929" s="25">
        <f>H929+K929</f>
        <v/>
      </c>
      <c r="M929" s="20" t="n"/>
      <c r="N929" s="20" t="n"/>
      <c r="O929" s="14">
        <f>IF(A929="",0,IF(COUNTIF($A$5:A929,A929)=1,1,0))</f>
        <v/>
      </c>
    </row>
    <row r="930">
      <c r="A930" s="20" t="n"/>
      <c r="B930" s="21" t="n"/>
      <c r="C930" s="20" t="n"/>
      <c r="D930" s="22">
        <f>IF(C930="","",INDEX(MERCADORIA!$B$5:$B$22,MATCH(C930,MERCADORIA!$A$5:$A$22,0)))</f>
        <v/>
      </c>
      <c r="E930" s="22">
        <f>IF(C930="","",INDEX(MERCADORIA!$C$5:$C$22,MATCH(C930,MERCADORIA!$A$5:$A$22,0)))</f>
        <v/>
      </c>
      <c r="F930" s="23" t="n"/>
      <c r="G930" s="24">
        <f>IF(D930="","",INDEX(VALOR!$B$5:$B$8,MATCH(D930,VALOR!$A$5:$A$8,0)))</f>
        <v/>
      </c>
      <c r="H930" s="15">
        <f>IF(OR(G930="",F930=""),0,F930*G930)</f>
        <v/>
      </c>
      <c r="I930" s="20" t="n"/>
      <c r="J930" s="20" t="n"/>
      <c r="K930" s="24">
        <f>IF(OR(O930=0,J930=""),0,INDEX(MAPA!$C$5:$C$14,MATCH(J930,MAPA!$A$5:$A$14,0)))</f>
        <v/>
      </c>
      <c r="L930" s="25">
        <f>H930+K930</f>
        <v/>
      </c>
      <c r="M930" s="20" t="n"/>
      <c r="N930" s="20" t="n"/>
      <c r="O930" s="14">
        <f>IF(A930="",0,IF(COUNTIF($A$5:A930,A930)=1,1,0))</f>
        <v/>
      </c>
    </row>
    <row r="931">
      <c r="A931" s="20" t="n"/>
      <c r="B931" s="21" t="n"/>
      <c r="C931" s="20" t="n"/>
      <c r="D931" s="22">
        <f>IF(C931="","",INDEX(MERCADORIA!$B$5:$B$22,MATCH(C931,MERCADORIA!$A$5:$A$22,0)))</f>
        <v/>
      </c>
      <c r="E931" s="22">
        <f>IF(C931="","",INDEX(MERCADORIA!$C$5:$C$22,MATCH(C931,MERCADORIA!$A$5:$A$22,0)))</f>
        <v/>
      </c>
      <c r="F931" s="23" t="n"/>
      <c r="G931" s="24">
        <f>IF(D931="","",INDEX(VALOR!$B$5:$B$8,MATCH(D931,VALOR!$A$5:$A$8,0)))</f>
        <v/>
      </c>
      <c r="H931" s="15">
        <f>IF(OR(G931="",F931=""),0,F931*G931)</f>
        <v/>
      </c>
      <c r="I931" s="20" t="n"/>
      <c r="J931" s="20" t="n"/>
      <c r="K931" s="24">
        <f>IF(OR(O931=0,J931=""),0,INDEX(MAPA!$C$5:$C$14,MATCH(J931,MAPA!$A$5:$A$14,0)))</f>
        <v/>
      </c>
      <c r="L931" s="25">
        <f>H931+K931</f>
        <v/>
      </c>
      <c r="M931" s="20" t="n"/>
      <c r="N931" s="20" t="n"/>
      <c r="O931" s="14">
        <f>IF(A931="",0,IF(COUNTIF($A$5:A931,A931)=1,1,0))</f>
        <v/>
      </c>
    </row>
    <row r="932">
      <c r="A932" s="20" t="n"/>
      <c r="B932" s="21" t="n"/>
      <c r="C932" s="20" t="n"/>
      <c r="D932" s="22">
        <f>IF(C932="","",INDEX(MERCADORIA!$B$5:$B$22,MATCH(C932,MERCADORIA!$A$5:$A$22,0)))</f>
        <v/>
      </c>
      <c r="E932" s="22">
        <f>IF(C932="","",INDEX(MERCADORIA!$C$5:$C$22,MATCH(C932,MERCADORIA!$A$5:$A$22,0)))</f>
        <v/>
      </c>
      <c r="F932" s="23" t="n"/>
      <c r="G932" s="24">
        <f>IF(D932="","",INDEX(VALOR!$B$5:$B$8,MATCH(D932,VALOR!$A$5:$A$8,0)))</f>
        <v/>
      </c>
      <c r="H932" s="15">
        <f>IF(OR(G932="",F932=""),0,F932*G932)</f>
        <v/>
      </c>
      <c r="I932" s="20" t="n"/>
      <c r="J932" s="20" t="n"/>
      <c r="K932" s="24">
        <f>IF(OR(O932=0,J932=""),0,INDEX(MAPA!$C$5:$C$14,MATCH(J932,MAPA!$A$5:$A$14,0)))</f>
        <v/>
      </c>
      <c r="L932" s="25">
        <f>H932+K932</f>
        <v/>
      </c>
      <c r="M932" s="20" t="n"/>
      <c r="N932" s="20" t="n"/>
      <c r="O932" s="14">
        <f>IF(A932="",0,IF(COUNTIF($A$5:A932,A932)=1,1,0))</f>
        <v/>
      </c>
    </row>
    <row r="933">
      <c r="A933" s="20" t="n"/>
      <c r="B933" s="21" t="n"/>
      <c r="C933" s="20" t="n"/>
      <c r="D933" s="22">
        <f>IF(C933="","",INDEX(MERCADORIA!$B$5:$B$22,MATCH(C933,MERCADORIA!$A$5:$A$22,0)))</f>
        <v/>
      </c>
      <c r="E933" s="22">
        <f>IF(C933="","",INDEX(MERCADORIA!$C$5:$C$22,MATCH(C933,MERCADORIA!$A$5:$A$22,0)))</f>
        <v/>
      </c>
      <c r="F933" s="23" t="n"/>
      <c r="G933" s="24">
        <f>IF(D933="","",INDEX(VALOR!$B$5:$B$8,MATCH(D933,VALOR!$A$5:$A$8,0)))</f>
        <v/>
      </c>
      <c r="H933" s="15">
        <f>IF(OR(G933="",F933=""),0,F933*G933)</f>
        <v/>
      </c>
      <c r="I933" s="20" t="n"/>
      <c r="J933" s="20" t="n"/>
      <c r="K933" s="24">
        <f>IF(OR(O933=0,J933=""),0,INDEX(MAPA!$C$5:$C$14,MATCH(J933,MAPA!$A$5:$A$14,0)))</f>
        <v/>
      </c>
      <c r="L933" s="25">
        <f>H933+K933</f>
        <v/>
      </c>
      <c r="M933" s="20" t="n"/>
      <c r="N933" s="20" t="n"/>
      <c r="O933" s="14">
        <f>IF(A933="",0,IF(COUNTIF($A$5:A933,A933)=1,1,0))</f>
        <v/>
      </c>
    </row>
    <row r="934">
      <c r="A934" s="20" t="n"/>
      <c r="B934" s="21" t="n"/>
      <c r="C934" s="20" t="n"/>
      <c r="D934" s="22">
        <f>IF(C934="","",INDEX(MERCADORIA!$B$5:$B$22,MATCH(C934,MERCADORIA!$A$5:$A$22,0)))</f>
        <v/>
      </c>
      <c r="E934" s="22">
        <f>IF(C934="","",INDEX(MERCADORIA!$C$5:$C$22,MATCH(C934,MERCADORIA!$A$5:$A$22,0)))</f>
        <v/>
      </c>
      <c r="F934" s="23" t="n"/>
      <c r="G934" s="24">
        <f>IF(D934="","",INDEX(VALOR!$B$5:$B$8,MATCH(D934,VALOR!$A$5:$A$8,0)))</f>
        <v/>
      </c>
      <c r="H934" s="15">
        <f>IF(OR(G934="",F934=""),0,F934*G934)</f>
        <v/>
      </c>
      <c r="I934" s="20" t="n"/>
      <c r="J934" s="20" t="n"/>
      <c r="K934" s="24">
        <f>IF(OR(O934=0,J934=""),0,INDEX(MAPA!$C$5:$C$14,MATCH(J934,MAPA!$A$5:$A$14,0)))</f>
        <v/>
      </c>
      <c r="L934" s="25">
        <f>H934+K934</f>
        <v/>
      </c>
      <c r="M934" s="20" t="n"/>
      <c r="N934" s="20" t="n"/>
      <c r="O934" s="14">
        <f>IF(A934="",0,IF(COUNTIF($A$5:A934,A934)=1,1,0))</f>
        <v/>
      </c>
    </row>
    <row r="935">
      <c r="A935" s="20" t="n"/>
      <c r="B935" s="21" t="n"/>
      <c r="C935" s="20" t="n"/>
      <c r="D935" s="22">
        <f>IF(C935="","",INDEX(MERCADORIA!$B$5:$B$22,MATCH(C935,MERCADORIA!$A$5:$A$22,0)))</f>
        <v/>
      </c>
      <c r="E935" s="22">
        <f>IF(C935="","",INDEX(MERCADORIA!$C$5:$C$22,MATCH(C935,MERCADORIA!$A$5:$A$22,0)))</f>
        <v/>
      </c>
      <c r="F935" s="23" t="n"/>
      <c r="G935" s="24">
        <f>IF(D935="","",INDEX(VALOR!$B$5:$B$8,MATCH(D935,VALOR!$A$5:$A$8,0)))</f>
        <v/>
      </c>
      <c r="H935" s="15">
        <f>IF(OR(G935="",F935=""),0,F935*G935)</f>
        <v/>
      </c>
      <c r="I935" s="20" t="n"/>
      <c r="J935" s="20" t="n"/>
      <c r="K935" s="24">
        <f>IF(OR(O935=0,J935=""),0,INDEX(MAPA!$C$5:$C$14,MATCH(J935,MAPA!$A$5:$A$14,0)))</f>
        <v/>
      </c>
      <c r="L935" s="25">
        <f>H935+K935</f>
        <v/>
      </c>
      <c r="M935" s="20" t="n"/>
      <c r="N935" s="20" t="n"/>
      <c r="O935" s="14">
        <f>IF(A935="",0,IF(COUNTIF($A$5:A935,A935)=1,1,0))</f>
        <v/>
      </c>
    </row>
    <row r="936">
      <c r="A936" s="20" t="n"/>
      <c r="B936" s="21" t="n"/>
      <c r="C936" s="20" t="n"/>
      <c r="D936" s="22">
        <f>IF(C936="","",INDEX(MERCADORIA!$B$5:$B$22,MATCH(C936,MERCADORIA!$A$5:$A$22,0)))</f>
        <v/>
      </c>
      <c r="E936" s="22">
        <f>IF(C936="","",INDEX(MERCADORIA!$C$5:$C$22,MATCH(C936,MERCADORIA!$A$5:$A$22,0)))</f>
        <v/>
      </c>
      <c r="F936" s="23" t="n"/>
      <c r="G936" s="24">
        <f>IF(D936="","",INDEX(VALOR!$B$5:$B$8,MATCH(D936,VALOR!$A$5:$A$8,0)))</f>
        <v/>
      </c>
      <c r="H936" s="15">
        <f>IF(OR(G936="",F936=""),0,F936*G936)</f>
        <v/>
      </c>
      <c r="I936" s="20" t="n"/>
      <c r="J936" s="20" t="n"/>
      <c r="K936" s="24">
        <f>IF(OR(O936=0,J936=""),0,INDEX(MAPA!$C$5:$C$14,MATCH(J936,MAPA!$A$5:$A$14,0)))</f>
        <v/>
      </c>
      <c r="L936" s="25">
        <f>H936+K936</f>
        <v/>
      </c>
      <c r="M936" s="20" t="n"/>
      <c r="N936" s="20" t="n"/>
      <c r="O936" s="14">
        <f>IF(A936="",0,IF(COUNTIF($A$5:A936,A936)=1,1,0))</f>
        <v/>
      </c>
    </row>
    <row r="937">
      <c r="A937" s="20" t="n"/>
      <c r="B937" s="21" t="n"/>
      <c r="C937" s="20" t="n"/>
      <c r="D937" s="22">
        <f>IF(C937="","",INDEX(MERCADORIA!$B$5:$B$22,MATCH(C937,MERCADORIA!$A$5:$A$22,0)))</f>
        <v/>
      </c>
      <c r="E937" s="22">
        <f>IF(C937="","",INDEX(MERCADORIA!$C$5:$C$22,MATCH(C937,MERCADORIA!$A$5:$A$22,0)))</f>
        <v/>
      </c>
      <c r="F937" s="23" t="n"/>
      <c r="G937" s="24">
        <f>IF(D937="","",INDEX(VALOR!$B$5:$B$8,MATCH(D937,VALOR!$A$5:$A$8,0)))</f>
        <v/>
      </c>
      <c r="H937" s="15">
        <f>IF(OR(G937="",F937=""),0,F937*G937)</f>
        <v/>
      </c>
      <c r="I937" s="20" t="n"/>
      <c r="J937" s="20" t="n"/>
      <c r="K937" s="24">
        <f>IF(OR(O937=0,J937=""),0,INDEX(MAPA!$C$5:$C$14,MATCH(J937,MAPA!$A$5:$A$14,0)))</f>
        <v/>
      </c>
      <c r="L937" s="25">
        <f>H937+K937</f>
        <v/>
      </c>
      <c r="M937" s="20" t="n"/>
      <c r="N937" s="20" t="n"/>
      <c r="O937" s="14">
        <f>IF(A937="",0,IF(COUNTIF($A$5:A937,A937)=1,1,0))</f>
        <v/>
      </c>
    </row>
    <row r="938">
      <c r="A938" s="20" t="n"/>
      <c r="B938" s="21" t="n"/>
      <c r="C938" s="20" t="n"/>
      <c r="D938" s="22">
        <f>IF(C938="","",INDEX(MERCADORIA!$B$5:$B$22,MATCH(C938,MERCADORIA!$A$5:$A$22,0)))</f>
        <v/>
      </c>
      <c r="E938" s="22">
        <f>IF(C938="","",INDEX(MERCADORIA!$C$5:$C$22,MATCH(C938,MERCADORIA!$A$5:$A$22,0)))</f>
        <v/>
      </c>
      <c r="F938" s="23" t="n"/>
      <c r="G938" s="24">
        <f>IF(D938="","",INDEX(VALOR!$B$5:$B$8,MATCH(D938,VALOR!$A$5:$A$8,0)))</f>
        <v/>
      </c>
      <c r="H938" s="15">
        <f>IF(OR(G938="",F938=""),0,F938*G938)</f>
        <v/>
      </c>
      <c r="I938" s="20" t="n"/>
      <c r="J938" s="20" t="n"/>
      <c r="K938" s="24">
        <f>IF(OR(O938=0,J938=""),0,INDEX(MAPA!$C$5:$C$14,MATCH(J938,MAPA!$A$5:$A$14,0)))</f>
        <v/>
      </c>
      <c r="L938" s="25">
        <f>H938+K938</f>
        <v/>
      </c>
      <c r="M938" s="20" t="n"/>
      <c r="N938" s="20" t="n"/>
      <c r="O938" s="14">
        <f>IF(A938="",0,IF(COUNTIF($A$5:A938,A938)=1,1,0))</f>
        <v/>
      </c>
    </row>
    <row r="939">
      <c r="A939" s="20" t="n"/>
      <c r="B939" s="21" t="n"/>
      <c r="C939" s="20" t="n"/>
      <c r="D939" s="22">
        <f>IF(C939="","",INDEX(MERCADORIA!$B$5:$B$22,MATCH(C939,MERCADORIA!$A$5:$A$22,0)))</f>
        <v/>
      </c>
      <c r="E939" s="22">
        <f>IF(C939="","",INDEX(MERCADORIA!$C$5:$C$22,MATCH(C939,MERCADORIA!$A$5:$A$22,0)))</f>
        <v/>
      </c>
      <c r="F939" s="23" t="n"/>
      <c r="G939" s="24">
        <f>IF(D939="","",INDEX(VALOR!$B$5:$B$8,MATCH(D939,VALOR!$A$5:$A$8,0)))</f>
        <v/>
      </c>
      <c r="H939" s="15">
        <f>IF(OR(G939="",F939=""),0,F939*G939)</f>
        <v/>
      </c>
      <c r="I939" s="20" t="n"/>
      <c r="J939" s="20" t="n"/>
      <c r="K939" s="24">
        <f>IF(OR(O939=0,J939=""),0,INDEX(MAPA!$C$5:$C$14,MATCH(J939,MAPA!$A$5:$A$14,0)))</f>
        <v/>
      </c>
      <c r="L939" s="25">
        <f>H939+K939</f>
        <v/>
      </c>
      <c r="M939" s="20" t="n"/>
      <c r="N939" s="20" t="n"/>
      <c r="O939" s="14">
        <f>IF(A939="",0,IF(COUNTIF($A$5:A939,A939)=1,1,0))</f>
        <v/>
      </c>
    </row>
    <row r="940">
      <c r="A940" s="20" t="n"/>
      <c r="B940" s="21" t="n"/>
      <c r="C940" s="20" t="n"/>
      <c r="D940" s="22">
        <f>IF(C940="","",INDEX(MERCADORIA!$B$5:$B$22,MATCH(C940,MERCADORIA!$A$5:$A$22,0)))</f>
        <v/>
      </c>
      <c r="E940" s="22">
        <f>IF(C940="","",INDEX(MERCADORIA!$C$5:$C$22,MATCH(C940,MERCADORIA!$A$5:$A$22,0)))</f>
        <v/>
      </c>
      <c r="F940" s="23" t="n"/>
      <c r="G940" s="24">
        <f>IF(D940="","",INDEX(VALOR!$B$5:$B$8,MATCH(D940,VALOR!$A$5:$A$8,0)))</f>
        <v/>
      </c>
      <c r="H940" s="15">
        <f>IF(OR(G940="",F940=""),0,F940*G940)</f>
        <v/>
      </c>
      <c r="I940" s="20" t="n"/>
      <c r="J940" s="20" t="n"/>
      <c r="K940" s="24">
        <f>IF(OR(O940=0,J940=""),0,INDEX(MAPA!$C$5:$C$14,MATCH(J940,MAPA!$A$5:$A$14,0)))</f>
        <v/>
      </c>
      <c r="L940" s="25">
        <f>H940+K940</f>
        <v/>
      </c>
      <c r="M940" s="20" t="n"/>
      <c r="N940" s="20" t="n"/>
      <c r="O940" s="14">
        <f>IF(A940="",0,IF(COUNTIF($A$5:A940,A940)=1,1,0))</f>
        <v/>
      </c>
    </row>
    <row r="941">
      <c r="A941" s="20" t="n"/>
      <c r="B941" s="21" t="n"/>
      <c r="C941" s="20" t="n"/>
      <c r="D941" s="22">
        <f>IF(C941="","",INDEX(MERCADORIA!$B$5:$B$22,MATCH(C941,MERCADORIA!$A$5:$A$22,0)))</f>
        <v/>
      </c>
      <c r="E941" s="22">
        <f>IF(C941="","",INDEX(MERCADORIA!$C$5:$C$22,MATCH(C941,MERCADORIA!$A$5:$A$22,0)))</f>
        <v/>
      </c>
      <c r="F941" s="23" t="n"/>
      <c r="G941" s="24">
        <f>IF(D941="","",INDEX(VALOR!$B$5:$B$8,MATCH(D941,VALOR!$A$5:$A$8,0)))</f>
        <v/>
      </c>
      <c r="H941" s="15">
        <f>IF(OR(G941="",F941=""),0,F941*G941)</f>
        <v/>
      </c>
      <c r="I941" s="20" t="n"/>
      <c r="J941" s="20" t="n"/>
      <c r="K941" s="24">
        <f>IF(OR(O941=0,J941=""),0,INDEX(MAPA!$C$5:$C$14,MATCH(J941,MAPA!$A$5:$A$14,0)))</f>
        <v/>
      </c>
      <c r="L941" s="25">
        <f>H941+K941</f>
        <v/>
      </c>
      <c r="M941" s="20" t="n"/>
      <c r="N941" s="20" t="n"/>
      <c r="O941" s="14">
        <f>IF(A941="",0,IF(COUNTIF($A$5:A941,A941)=1,1,0))</f>
        <v/>
      </c>
    </row>
    <row r="942">
      <c r="A942" s="20" t="n"/>
      <c r="B942" s="21" t="n"/>
      <c r="C942" s="20" t="n"/>
      <c r="D942" s="22">
        <f>IF(C942="","",INDEX(MERCADORIA!$B$5:$B$22,MATCH(C942,MERCADORIA!$A$5:$A$22,0)))</f>
        <v/>
      </c>
      <c r="E942" s="22">
        <f>IF(C942="","",INDEX(MERCADORIA!$C$5:$C$22,MATCH(C942,MERCADORIA!$A$5:$A$22,0)))</f>
        <v/>
      </c>
      <c r="F942" s="23" t="n"/>
      <c r="G942" s="24">
        <f>IF(D942="","",INDEX(VALOR!$B$5:$B$8,MATCH(D942,VALOR!$A$5:$A$8,0)))</f>
        <v/>
      </c>
      <c r="H942" s="15">
        <f>IF(OR(G942="",F942=""),0,F942*G942)</f>
        <v/>
      </c>
      <c r="I942" s="20" t="n"/>
      <c r="J942" s="20" t="n"/>
      <c r="K942" s="24">
        <f>IF(OR(O942=0,J942=""),0,INDEX(MAPA!$C$5:$C$14,MATCH(J942,MAPA!$A$5:$A$14,0)))</f>
        <v/>
      </c>
      <c r="L942" s="25">
        <f>H942+K942</f>
        <v/>
      </c>
      <c r="M942" s="20" t="n"/>
      <c r="N942" s="20" t="n"/>
      <c r="O942" s="14">
        <f>IF(A942="",0,IF(COUNTIF($A$5:A942,A942)=1,1,0))</f>
        <v/>
      </c>
    </row>
    <row r="943">
      <c r="A943" s="20" t="n"/>
      <c r="B943" s="21" t="n"/>
      <c r="C943" s="20" t="n"/>
      <c r="D943" s="22">
        <f>IF(C943="","",INDEX(MERCADORIA!$B$5:$B$22,MATCH(C943,MERCADORIA!$A$5:$A$22,0)))</f>
        <v/>
      </c>
      <c r="E943" s="22">
        <f>IF(C943="","",INDEX(MERCADORIA!$C$5:$C$22,MATCH(C943,MERCADORIA!$A$5:$A$22,0)))</f>
        <v/>
      </c>
      <c r="F943" s="23" t="n"/>
      <c r="G943" s="24">
        <f>IF(D943="","",INDEX(VALOR!$B$5:$B$8,MATCH(D943,VALOR!$A$5:$A$8,0)))</f>
        <v/>
      </c>
      <c r="H943" s="15">
        <f>IF(OR(G943="",F943=""),0,F943*G943)</f>
        <v/>
      </c>
      <c r="I943" s="20" t="n"/>
      <c r="J943" s="20" t="n"/>
      <c r="K943" s="24">
        <f>IF(OR(O943=0,J943=""),0,INDEX(MAPA!$C$5:$C$14,MATCH(J943,MAPA!$A$5:$A$14,0)))</f>
        <v/>
      </c>
      <c r="L943" s="25">
        <f>H943+K943</f>
        <v/>
      </c>
      <c r="M943" s="20" t="n"/>
      <c r="N943" s="20" t="n"/>
      <c r="O943" s="14">
        <f>IF(A943="",0,IF(COUNTIF($A$5:A943,A943)=1,1,0))</f>
        <v/>
      </c>
    </row>
    <row r="944">
      <c r="A944" s="20" t="n"/>
      <c r="B944" s="21" t="n"/>
      <c r="C944" s="20" t="n"/>
      <c r="D944" s="22">
        <f>IF(C944="","",INDEX(MERCADORIA!$B$5:$B$22,MATCH(C944,MERCADORIA!$A$5:$A$22,0)))</f>
        <v/>
      </c>
      <c r="E944" s="22">
        <f>IF(C944="","",INDEX(MERCADORIA!$C$5:$C$22,MATCH(C944,MERCADORIA!$A$5:$A$22,0)))</f>
        <v/>
      </c>
      <c r="F944" s="23" t="n"/>
      <c r="G944" s="24">
        <f>IF(D944="","",INDEX(VALOR!$B$5:$B$8,MATCH(D944,VALOR!$A$5:$A$8,0)))</f>
        <v/>
      </c>
      <c r="H944" s="15">
        <f>IF(OR(G944="",F944=""),0,F944*G944)</f>
        <v/>
      </c>
      <c r="I944" s="20" t="n"/>
      <c r="J944" s="20" t="n"/>
      <c r="K944" s="24">
        <f>IF(OR(O944=0,J944=""),0,INDEX(MAPA!$C$5:$C$14,MATCH(J944,MAPA!$A$5:$A$14,0)))</f>
        <v/>
      </c>
      <c r="L944" s="25">
        <f>H944+K944</f>
        <v/>
      </c>
      <c r="M944" s="20" t="n"/>
      <c r="N944" s="20" t="n"/>
      <c r="O944" s="14">
        <f>IF(A944="",0,IF(COUNTIF($A$5:A944,A944)=1,1,0))</f>
        <v/>
      </c>
    </row>
    <row r="945">
      <c r="A945" s="20" t="n"/>
      <c r="B945" s="21" t="n"/>
      <c r="C945" s="20" t="n"/>
      <c r="D945" s="22">
        <f>IF(C945="","",INDEX(MERCADORIA!$B$5:$B$22,MATCH(C945,MERCADORIA!$A$5:$A$22,0)))</f>
        <v/>
      </c>
      <c r="E945" s="22">
        <f>IF(C945="","",INDEX(MERCADORIA!$C$5:$C$22,MATCH(C945,MERCADORIA!$A$5:$A$22,0)))</f>
        <v/>
      </c>
      <c r="F945" s="23" t="n"/>
      <c r="G945" s="24">
        <f>IF(D945="","",INDEX(VALOR!$B$5:$B$8,MATCH(D945,VALOR!$A$5:$A$8,0)))</f>
        <v/>
      </c>
      <c r="H945" s="15">
        <f>IF(OR(G945="",F945=""),0,F945*G945)</f>
        <v/>
      </c>
      <c r="I945" s="20" t="n"/>
      <c r="J945" s="20" t="n"/>
      <c r="K945" s="24">
        <f>IF(OR(O945=0,J945=""),0,INDEX(MAPA!$C$5:$C$14,MATCH(J945,MAPA!$A$5:$A$14,0)))</f>
        <v/>
      </c>
      <c r="L945" s="25">
        <f>H945+K945</f>
        <v/>
      </c>
      <c r="M945" s="20" t="n"/>
      <c r="N945" s="20" t="n"/>
      <c r="O945" s="14">
        <f>IF(A945="",0,IF(COUNTIF($A$5:A945,A945)=1,1,0))</f>
        <v/>
      </c>
    </row>
    <row r="946">
      <c r="A946" s="20" t="n"/>
      <c r="B946" s="21" t="n"/>
      <c r="C946" s="20" t="n"/>
      <c r="D946" s="22">
        <f>IF(C946="","",INDEX(MERCADORIA!$B$5:$B$22,MATCH(C946,MERCADORIA!$A$5:$A$22,0)))</f>
        <v/>
      </c>
      <c r="E946" s="22">
        <f>IF(C946="","",INDEX(MERCADORIA!$C$5:$C$22,MATCH(C946,MERCADORIA!$A$5:$A$22,0)))</f>
        <v/>
      </c>
      <c r="F946" s="23" t="n"/>
      <c r="G946" s="24">
        <f>IF(D946="","",INDEX(VALOR!$B$5:$B$8,MATCH(D946,VALOR!$A$5:$A$8,0)))</f>
        <v/>
      </c>
      <c r="H946" s="15">
        <f>IF(OR(G946="",F946=""),0,F946*G946)</f>
        <v/>
      </c>
      <c r="I946" s="20" t="n"/>
      <c r="J946" s="20" t="n"/>
      <c r="K946" s="24">
        <f>IF(OR(O946=0,J946=""),0,INDEX(MAPA!$C$5:$C$14,MATCH(J946,MAPA!$A$5:$A$14,0)))</f>
        <v/>
      </c>
      <c r="L946" s="25">
        <f>H946+K946</f>
        <v/>
      </c>
      <c r="M946" s="20" t="n"/>
      <c r="N946" s="20" t="n"/>
      <c r="O946" s="14">
        <f>IF(A946="",0,IF(COUNTIF($A$5:A946,A946)=1,1,0))</f>
        <v/>
      </c>
    </row>
    <row r="947">
      <c r="A947" s="20" t="n"/>
      <c r="B947" s="21" t="n"/>
      <c r="C947" s="20" t="n"/>
      <c r="D947" s="22">
        <f>IF(C947="","",INDEX(MERCADORIA!$B$5:$B$22,MATCH(C947,MERCADORIA!$A$5:$A$22,0)))</f>
        <v/>
      </c>
      <c r="E947" s="22">
        <f>IF(C947="","",INDEX(MERCADORIA!$C$5:$C$22,MATCH(C947,MERCADORIA!$A$5:$A$22,0)))</f>
        <v/>
      </c>
      <c r="F947" s="23" t="n"/>
      <c r="G947" s="24">
        <f>IF(D947="","",INDEX(VALOR!$B$5:$B$8,MATCH(D947,VALOR!$A$5:$A$8,0)))</f>
        <v/>
      </c>
      <c r="H947" s="15">
        <f>IF(OR(G947="",F947=""),0,F947*G947)</f>
        <v/>
      </c>
      <c r="I947" s="20" t="n"/>
      <c r="J947" s="20" t="n"/>
      <c r="K947" s="24">
        <f>IF(OR(O947=0,J947=""),0,INDEX(MAPA!$C$5:$C$14,MATCH(J947,MAPA!$A$5:$A$14,0)))</f>
        <v/>
      </c>
      <c r="L947" s="25">
        <f>H947+K947</f>
        <v/>
      </c>
      <c r="M947" s="20" t="n"/>
      <c r="N947" s="20" t="n"/>
      <c r="O947" s="14">
        <f>IF(A947="",0,IF(COUNTIF($A$5:A947,A947)=1,1,0))</f>
        <v/>
      </c>
    </row>
    <row r="948">
      <c r="A948" s="20" t="n"/>
      <c r="B948" s="21" t="n"/>
      <c r="C948" s="20" t="n"/>
      <c r="D948" s="22">
        <f>IF(C948="","",INDEX(MERCADORIA!$B$5:$B$22,MATCH(C948,MERCADORIA!$A$5:$A$22,0)))</f>
        <v/>
      </c>
      <c r="E948" s="22">
        <f>IF(C948="","",INDEX(MERCADORIA!$C$5:$C$22,MATCH(C948,MERCADORIA!$A$5:$A$22,0)))</f>
        <v/>
      </c>
      <c r="F948" s="23" t="n"/>
      <c r="G948" s="24">
        <f>IF(D948="","",INDEX(VALOR!$B$5:$B$8,MATCH(D948,VALOR!$A$5:$A$8,0)))</f>
        <v/>
      </c>
      <c r="H948" s="15">
        <f>IF(OR(G948="",F948=""),0,F948*G948)</f>
        <v/>
      </c>
      <c r="I948" s="20" t="n"/>
      <c r="J948" s="20" t="n"/>
      <c r="K948" s="24">
        <f>IF(OR(O948=0,J948=""),0,INDEX(MAPA!$C$5:$C$14,MATCH(J948,MAPA!$A$5:$A$14,0)))</f>
        <v/>
      </c>
      <c r="L948" s="25">
        <f>H948+K948</f>
        <v/>
      </c>
      <c r="M948" s="20" t="n"/>
      <c r="N948" s="20" t="n"/>
      <c r="O948" s="14">
        <f>IF(A948="",0,IF(COUNTIF($A$5:A948,A948)=1,1,0))</f>
        <v/>
      </c>
    </row>
    <row r="949">
      <c r="A949" s="20" t="n"/>
      <c r="B949" s="21" t="n"/>
      <c r="C949" s="20" t="n"/>
      <c r="D949" s="22">
        <f>IF(C949="","",INDEX(MERCADORIA!$B$5:$B$22,MATCH(C949,MERCADORIA!$A$5:$A$22,0)))</f>
        <v/>
      </c>
      <c r="E949" s="22">
        <f>IF(C949="","",INDEX(MERCADORIA!$C$5:$C$22,MATCH(C949,MERCADORIA!$A$5:$A$22,0)))</f>
        <v/>
      </c>
      <c r="F949" s="23" t="n"/>
      <c r="G949" s="24">
        <f>IF(D949="","",INDEX(VALOR!$B$5:$B$8,MATCH(D949,VALOR!$A$5:$A$8,0)))</f>
        <v/>
      </c>
      <c r="H949" s="15">
        <f>IF(OR(G949="",F949=""),0,F949*G949)</f>
        <v/>
      </c>
      <c r="I949" s="20" t="n"/>
      <c r="J949" s="20" t="n"/>
      <c r="K949" s="24">
        <f>IF(OR(O949=0,J949=""),0,INDEX(MAPA!$C$5:$C$14,MATCH(J949,MAPA!$A$5:$A$14,0)))</f>
        <v/>
      </c>
      <c r="L949" s="25">
        <f>H949+K949</f>
        <v/>
      </c>
      <c r="M949" s="20" t="n"/>
      <c r="N949" s="20" t="n"/>
      <c r="O949" s="14">
        <f>IF(A949="",0,IF(COUNTIF($A$5:A949,A949)=1,1,0))</f>
        <v/>
      </c>
    </row>
    <row r="950">
      <c r="A950" s="20" t="n"/>
      <c r="B950" s="21" t="n"/>
      <c r="C950" s="20" t="n"/>
      <c r="D950" s="22">
        <f>IF(C950="","",INDEX(MERCADORIA!$B$5:$B$22,MATCH(C950,MERCADORIA!$A$5:$A$22,0)))</f>
        <v/>
      </c>
      <c r="E950" s="22">
        <f>IF(C950="","",INDEX(MERCADORIA!$C$5:$C$22,MATCH(C950,MERCADORIA!$A$5:$A$22,0)))</f>
        <v/>
      </c>
      <c r="F950" s="23" t="n"/>
      <c r="G950" s="24">
        <f>IF(D950="","",INDEX(VALOR!$B$5:$B$8,MATCH(D950,VALOR!$A$5:$A$8,0)))</f>
        <v/>
      </c>
      <c r="H950" s="15">
        <f>IF(OR(G950="",F950=""),0,F950*G950)</f>
        <v/>
      </c>
      <c r="I950" s="20" t="n"/>
      <c r="J950" s="20" t="n"/>
      <c r="K950" s="24">
        <f>IF(OR(O950=0,J950=""),0,INDEX(MAPA!$C$5:$C$14,MATCH(J950,MAPA!$A$5:$A$14,0)))</f>
        <v/>
      </c>
      <c r="L950" s="25">
        <f>H950+K950</f>
        <v/>
      </c>
      <c r="M950" s="20" t="n"/>
      <c r="N950" s="20" t="n"/>
      <c r="O950" s="14">
        <f>IF(A950="",0,IF(COUNTIF($A$5:A950,A950)=1,1,0))</f>
        <v/>
      </c>
    </row>
    <row r="951">
      <c r="A951" s="20" t="n"/>
      <c r="B951" s="21" t="n"/>
      <c r="C951" s="20" t="n"/>
      <c r="D951" s="22">
        <f>IF(C951="","",INDEX(MERCADORIA!$B$5:$B$22,MATCH(C951,MERCADORIA!$A$5:$A$22,0)))</f>
        <v/>
      </c>
      <c r="E951" s="22">
        <f>IF(C951="","",INDEX(MERCADORIA!$C$5:$C$22,MATCH(C951,MERCADORIA!$A$5:$A$22,0)))</f>
        <v/>
      </c>
      <c r="F951" s="23" t="n"/>
      <c r="G951" s="24">
        <f>IF(D951="","",INDEX(VALOR!$B$5:$B$8,MATCH(D951,VALOR!$A$5:$A$8,0)))</f>
        <v/>
      </c>
      <c r="H951" s="15">
        <f>IF(OR(G951="",F951=""),0,F951*G951)</f>
        <v/>
      </c>
      <c r="I951" s="20" t="n"/>
      <c r="J951" s="20" t="n"/>
      <c r="K951" s="24">
        <f>IF(OR(O951=0,J951=""),0,INDEX(MAPA!$C$5:$C$14,MATCH(J951,MAPA!$A$5:$A$14,0)))</f>
        <v/>
      </c>
      <c r="L951" s="25">
        <f>H951+K951</f>
        <v/>
      </c>
      <c r="M951" s="20" t="n"/>
      <c r="N951" s="20" t="n"/>
      <c r="O951" s="14">
        <f>IF(A951="",0,IF(COUNTIF($A$5:A951,A951)=1,1,0))</f>
        <v/>
      </c>
    </row>
    <row r="952">
      <c r="A952" s="20" t="n"/>
      <c r="B952" s="21" t="n"/>
      <c r="C952" s="20" t="n"/>
      <c r="D952" s="22">
        <f>IF(C952="","",INDEX(MERCADORIA!$B$5:$B$22,MATCH(C952,MERCADORIA!$A$5:$A$22,0)))</f>
        <v/>
      </c>
      <c r="E952" s="22">
        <f>IF(C952="","",INDEX(MERCADORIA!$C$5:$C$22,MATCH(C952,MERCADORIA!$A$5:$A$22,0)))</f>
        <v/>
      </c>
      <c r="F952" s="23" t="n"/>
      <c r="G952" s="24">
        <f>IF(D952="","",INDEX(VALOR!$B$5:$B$8,MATCH(D952,VALOR!$A$5:$A$8,0)))</f>
        <v/>
      </c>
      <c r="H952" s="15">
        <f>IF(OR(G952="",F952=""),0,F952*G952)</f>
        <v/>
      </c>
      <c r="I952" s="20" t="n"/>
      <c r="J952" s="20" t="n"/>
      <c r="K952" s="24">
        <f>IF(OR(O952=0,J952=""),0,INDEX(MAPA!$C$5:$C$14,MATCH(J952,MAPA!$A$5:$A$14,0)))</f>
        <v/>
      </c>
      <c r="L952" s="25">
        <f>H952+K952</f>
        <v/>
      </c>
      <c r="M952" s="20" t="n"/>
      <c r="N952" s="20" t="n"/>
      <c r="O952" s="14">
        <f>IF(A952="",0,IF(COUNTIF($A$5:A952,A952)=1,1,0))</f>
        <v/>
      </c>
    </row>
    <row r="953">
      <c r="A953" s="20" t="n"/>
      <c r="B953" s="21" t="n"/>
      <c r="C953" s="20" t="n"/>
      <c r="D953" s="22">
        <f>IF(C953="","",INDEX(MERCADORIA!$B$5:$B$22,MATCH(C953,MERCADORIA!$A$5:$A$22,0)))</f>
        <v/>
      </c>
      <c r="E953" s="22">
        <f>IF(C953="","",INDEX(MERCADORIA!$C$5:$C$22,MATCH(C953,MERCADORIA!$A$5:$A$22,0)))</f>
        <v/>
      </c>
      <c r="F953" s="23" t="n"/>
      <c r="G953" s="24">
        <f>IF(D953="","",INDEX(VALOR!$B$5:$B$8,MATCH(D953,VALOR!$A$5:$A$8,0)))</f>
        <v/>
      </c>
      <c r="H953" s="15">
        <f>IF(OR(G953="",F953=""),0,F953*G953)</f>
        <v/>
      </c>
      <c r="I953" s="20" t="n"/>
      <c r="J953" s="20" t="n"/>
      <c r="K953" s="24">
        <f>IF(OR(O953=0,J953=""),0,INDEX(MAPA!$C$5:$C$14,MATCH(J953,MAPA!$A$5:$A$14,0)))</f>
        <v/>
      </c>
      <c r="L953" s="25">
        <f>H953+K953</f>
        <v/>
      </c>
      <c r="M953" s="20" t="n"/>
      <c r="N953" s="20" t="n"/>
      <c r="O953" s="14">
        <f>IF(A953="",0,IF(COUNTIF($A$5:A953,A953)=1,1,0))</f>
        <v/>
      </c>
    </row>
    <row r="954">
      <c r="A954" s="20" t="n"/>
      <c r="B954" s="21" t="n"/>
      <c r="C954" s="20" t="n"/>
      <c r="D954" s="22">
        <f>IF(C954="","",INDEX(MERCADORIA!$B$5:$B$22,MATCH(C954,MERCADORIA!$A$5:$A$22,0)))</f>
        <v/>
      </c>
      <c r="E954" s="22">
        <f>IF(C954="","",INDEX(MERCADORIA!$C$5:$C$22,MATCH(C954,MERCADORIA!$A$5:$A$22,0)))</f>
        <v/>
      </c>
      <c r="F954" s="23" t="n"/>
      <c r="G954" s="24">
        <f>IF(D954="","",INDEX(VALOR!$B$5:$B$8,MATCH(D954,VALOR!$A$5:$A$8,0)))</f>
        <v/>
      </c>
      <c r="H954" s="15">
        <f>IF(OR(G954="",F954=""),0,F954*G954)</f>
        <v/>
      </c>
      <c r="I954" s="20" t="n"/>
      <c r="J954" s="20" t="n"/>
      <c r="K954" s="24">
        <f>IF(OR(O954=0,J954=""),0,INDEX(MAPA!$C$5:$C$14,MATCH(J954,MAPA!$A$5:$A$14,0)))</f>
        <v/>
      </c>
      <c r="L954" s="25">
        <f>H954+K954</f>
        <v/>
      </c>
      <c r="M954" s="20" t="n"/>
      <c r="N954" s="20" t="n"/>
      <c r="O954" s="14">
        <f>IF(A954="",0,IF(COUNTIF($A$5:A954,A954)=1,1,0))</f>
        <v/>
      </c>
    </row>
    <row r="955">
      <c r="A955" s="20" t="n"/>
      <c r="B955" s="21" t="n"/>
      <c r="C955" s="20" t="n"/>
      <c r="D955" s="22">
        <f>IF(C955="","",INDEX(MERCADORIA!$B$5:$B$22,MATCH(C955,MERCADORIA!$A$5:$A$22,0)))</f>
        <v/>
      </c>
      <c r="E955" s="22">
        <f>IF(C955="","",INDEX(MERCADORIA!$C$5:$C$22,MATCH(C955,MERCADORIA!$A$5:$A$22,0)))</f>
        <v/>
      </c>
      <c r="F955" s="23" t="n"/>
      <c r="G955" s="24">
        <f>IF(D955="","",INDEX(VALOR!$B$5:$B$8,MATCH(D955,VALOR!$A$5:$A$8,0)))</f>
        <v/>
      </c>
      <c r="H955" s="15">
        <f>IF(OR(G955="",F955=""),0,F955*G955)</f>
        <v/>
      </c>
      <c r="I955" s="20" t="n"/>
      <c r="J955" s="20" t="n"/>
      <c r="K955" s="24">
        <f>IF(OR(O955=0,J955=""),0,INDEX(MAPA!$C$5:$C$14,MATCH(J955,MAPA!$A$5:$A$14,0)))</f>
        <v/>
      </c>
      <c r="L955" s="25">
        <f>H955+K955</f>
        <v/>
      </c>
      <c r="M955" s="20" t="n"/>
      <c r="N955" s="20" t="n"/>
      <c r="O955" s="14">
        <f>IF(A955="",0,IF(COUNTIF($A$5:A955,A955)=1,1,0))</f>
        <v/>
      </c>
    </row>
    <row r="956">
      <c r="A956" s="20" t="n"/>
      <c r="B956" s="21" t="n"/>
      <c r="C956" s="20" t="n"/>
      <c r="D956" s="22">
        <f>IF(C956="","",INDEX(MERCADORIA!$B$5:$B$22,MATCH(C956,MERCADORIA!$A$5:$A$22,0)))</f>
        <v/>
      </c>
      <c r="E956" s="22">
        <f>IF(C956="","",INDEX(MERCADORIA!$C$5:$C$22,MATCH(C956,MERCADORIA!$A$5:$A$22,0)))</f>
        <v/>
      </c>
      <c r="F956" s="23" t="n"/>
      <c r="G956" s="24">
        <f>IF(D956="","",INDEX(VALOR!$B$5:$B$8,MATCH(D956,VALOR!$A$5:$A$8,0)))</f>
        <v/>
      </c>
      <c r="H956" s="15">
        <f>IF(OR(G956="",F956=""),0,F956*G956)</f>
        <v/>
      </c>
      <c r="I956" s="20" t="n"/>
      <c r="J956" s="20" t="n"/>
      <c r="K956" s="24">
        <f>IF(OR(O956=0,J956=""),0,INDEX(MAPA!$C$5:$C$14,MATCH(J956,MAPA!$A$5:$A$14,0)))</f>
        <v/>
      </c>
      <c r="L956" s="25">
        <f>H956+K956</f>
        <v/>
      </c>
      <c r="M956" s="20" t="n"/>
      <c r="N956" s="20" t="n"/>
      <c r="O956" s="14">
        <f>IF(A956="",0,IF(COUNTIF($A$5:A956,A956)=1,1,0))</f>
        <v/>
      </c>
    </row>
    <row r="957">
      <c r="A957" s="20" t="n"/>
      <c r="B957" s="21" t="n"/>
      <c r="C957" s="20" t="n"/>
      <c r="D957" s="22">
        <f>IF(C957="","",INDEX(MERCADORIA!$B$5:$B$22,MATCH(C957,MERCADORIA!$A$5:$A$22,0)))</f>
        <v/>
      </c>
      <c r="E957" s="22">
        <f>IF(C957="","",INDEX(MERCADORIA!$C$5:$C$22,MATCH(C957,MERCADORIA!$A$5:$A$22,0)))</f>
        <v/>
      </c>
      <c r="F957" s="23" t="n"/>
      <c r="G957" s="24">
        <f>IF(D957="","",INDEX(VALOR!$B$5:$B$8,MATCH(D957,VALOR!$A$5:$A$8,0)))</f>
        <v/>
      </c>
      <c r="H957" s="15">
        <f>IF(OR(G957="",F957=""),0,F957*G957)</f>
        <v/>
      </c>
      <c r="I957" s="20" t="n"/>
      <c r="J957" s="20" t="n"/>
      <c r="K957" s="24">
        <f>IF(OR(O957=0,J957=""),0,INDEX(MAPA!$C$5:$C$14,MATCH(J957,MAPA!$A$5:$A$14,0)))</f>
        <v/>
      </c>
      <c r="L957" s="25">
        <f>H957+K957</f>
        <v/>
      </c>
      <c r="M957" s="20" t="n"/>
      <c r="N957" s="20" t="n"/>
      <c r="O957" s="14">
        <f>IF(A957="",0,IF(COUNTIF($A$5:A957,A957)=1,1,0))</f>
        <v/>
      </c>
    </row>
    <row r="958">
      <c r="A958" s="20" t="n"/>
      <c r="B958" s="21" t="n"/>
      <c r="C958" s="20" t="n"/>
      <c r="D958" s="22">
        <f>IF(C958="","",INDEX(MERCADORIA!$B$5:$B$22,MATCH(C958,MERCADORIA!$A$5:$A$22,0)))</f>
        <v/>
      </c>
      <c r="E958" s="22">
        <f>IF(C958="","",INDEX(MERCADORIA!$C$5:$C$22,MATCH(C958,MERCADORIA!$A$5:$A$22,0)))</f>
        <v/>
      </c>
      <c r="F958" s="23" t="n"/>
      <c r="G958" s="24">
        <f>IF(D958="","",INDEX(VALOR!$B$5:$B$8,MATCH(D958,VALOR!$A$5:$A$8,0)))</f>
        <v/>
      </c>
      <c r="H958" s="15">
        <f>IF(OR(G958="",F958=""),0,F958*G958)</f>
        <v/>
      </c>
      <c r="I958" s="20" t="n"/>
      <c r="J958" s="20" t="n"/>
      <c r="K958" s="24">
        <f>IF(OR(O958=0,J958=""),0,INDEX(MAPA!$C$5:$C$14,MATCH(J958,MAPA!$A$5:$A$14,0)))</f>
        <v/>
      </c>
      <c r="L958" s="25">
        <f>H958+K958</f>
        <v/>
      </c>
      <c r="M958" s="20" t="n"/>
      <c r="N958" s="20" t="n"/>
      <c r="O958" s="14">
        <f>IF(A958="",0,IF(COUNTIF($A$5:A958,A958)=1,1,0))</f>
        <v/>
      </c>
    </row>
    <row r="959">
      <c r="A959" s="20" t="n"/>
      <c r="B959" s="21" t="n"/>
      <c r="C959" s="20" t="n"/>
      <c r="D959" s="22">
        <f>IF(C959="","",INDEX(MERCADORIA!$B$5:$B$22,MATCH(C959,MERCADORIA!$A$5:$A$22,0)))</f>
        <v/>
      </c>
      <c r="E959" s="22">
        <f>IF(C959="","",INDEX(MERCADORIA!$C$5:$C$22,MATCH(C959,MERCADORIA!$A$5:$A$22,0)))</f>
        <v/>
      </c>
      <c r="F959" s="23" t="n"/>
      <c r="G959" s="24">
        <f>IF(D959="","",INDEX(VALOR!$B$5:$B$8,MATCH(D959,VALOR!$A$5:$A$8,0)))</f>
        <v/>
      </c>
      <c r="H959" s="15">
        <f>IF(OR(G959="",F959=""),0,F959*G959)</f>
        <v/>
      </c>
      <c r="I959" s="20" t="n"/>
      <c r="J959" s="20" t="n"/>
      <c r="K959" s="24">
        <f>IF(OR(O959=0,J959=""),0,INDEX(MAPA!$C$5:$C$14,MATCH(J959,MAPA!$A$5:$A$14,0)))</f>
        <v/>
      </c>
      <c r="L959" s="25">
        <f>H959+K959</f>
        <v/>
      </c>
      <c r="M959" s="20" t="n"/>
      <c r="N959" s="20" t="n"/>
      <c r="O959" s="14">
        <f>IF(A959="",0,IF(COUNTIF($A$5:A959,A959)=1,1,0))</f>
        <v/>
      </c>
    </row>
    <row r="960">
      <c r="A960" s="20" t="n"/>
      <c r="B960" s="21" t="n"/>
      <c r="C960" s="20" t="n"/>
      <c r="D960" s="22">
        <f>IF(C960="","",INDEX(MERCADORIA!$B$5:$B$22,MATCH(C960,MERCADORIA!$A$5:$A$22,0)))</f>
        <v/>
      </c>
      <c r="E960" s="22">
        <f>IF(C960="","",INDEX(MERCADORIA!$C$5:$C$22,MATCH(C960,MERCADORIA!$A$5:$A$22,0)))</f>
        <v/>
      </c>
      <c r="F960" s="23" t="n"/>
      <c r="G960" s="24">
        <f>IF(D960="","",INDEX(VALOR!$B$5:$B$8,MATCH(D960,VALOR!$A$5:$A$8,0)))</f>
        <v/>
      </c>
      <c r="H960" s="15">
        <f>IF(OR(G960="",F960=""),0,F960*G960)</f>
        <v/>
      </c>
      <c r="I960" s="20" t="n"/>
      <c r="J960" s="20" t="n"/>
      <c r="K960" s="24">
        <f>IF(OR(O960=0,J960=""),0,INDEX(MAPA!$C$5:$C$14,MATCH(J960,MAPA!$A$5:$A$14,0)))</f>
        <v/>
      </c>
      <c r="L960" s="25">
        <f>H960+K960</f>
        <v/>
      </c>
      <c r="M960" s="20" t="n"/>
      <c r="N960" s="20" t="n"/>
      <c r="O960" s="14">
        <f>IF(A960="",0,IF(COUNTIF($A$5:A960,A960)=1,1,0))</f>
        <v/>
      </c>
    </row>
    <row r="961">
      <c r="A961" s="20" t="n"/>
      <c r="B961" s="21" t="n"/>
      <c r="C961" s="20" t="n"/>
      <c r="D961" s="22">
        <f>IF(C961="","",INDEX(MERCADORIA!$B$5:$B$22,MATCH(C961,MERCADORIA!$A$5:$A$22,0)))</f>
        <v/>
      </c>
      <c r="E961" s="22">
        <f>IF(C961="","",INDEX(MERCADORIA!$C$5:$C$22,MATCH(C961,MERCADORIA!$A$5:$A$22,0)))</f>
        <v/>
      </c>
      <c r="F961" s="23" t="n"/>
      <c r="G961" s="24">
        <f>IF(D961="","",INDEX(VALOR!$B$5:$B$8,MATCH(D961,VALOR!$A$5:$A$8,0)))</f>
        <v/>
      </c>
      <c r="H961" s="15">
        <f>IF(OR(G961="",F961=""),0,F961*G961)</f>
        <v/>
      </c>
      <c r="I961" s="20" t="n"/>
      <c r="J961" s="20" t="n"/>
      <c r="K961" s="24">
        <f>IF(OR(O961=0,J961=""),0,INDEX(MAPA!$C$5:$C$14,MATCH(J961,MAPA!$A$5:$A$14,0)))</f>
        <v/>
      </c>
      <c r="L961" s="25">
        <f>H961+K961</f>
        <v/>
      </c>
      <c r="M961" s="20" t="n"/>
      <c r="N961" s="20" t="n"/>
      <c r="O961" s="14">
        <f>IF(A961="",0,IF(COUNTIF($A$5:A961,A961)=1,1,0))</f>
        <v/>
      </c>
    </row>
    <row r="962">
      <c r="A962" s="20" t="n"/>
      <c r="B962" s="21" t="n"/>
      <c r="C962" s="20" t="n"/>
      <c r="D962" s="22">
        <f>IF(C962="","",INDEX(MERCADORIA!$B$5:$B$22,MATCH(C962,MERCADORIA!$A$5:$A$22,0)))</f>
        <v/>
      </c>
      <c r="E962" s="22">
        <f>IF(C962="","",INDEX(MERCADORIA!$C$5:$C$22,MATCH(C962,MERCADORIA!$A$5:$A$22,0)))</f>
        <v/>
      </c>
      <c r="F962" s="23" t="n"/>
      <c r="G962" s="24">
        <f>IF(D962="","",INDEX(VALOR!$B$5:$B$8,MATCH(D962,VALOR!$A$5:$A$8,0)))</f>
        <v/>
      </c>
      <c r="H962" s="15">
        <f>IF(OR(G962="",F962=""),0,F962*G962)</f>
        <v/>
      </c>
      <c r="I962" s="20" t="n"/>
      <c r="J962" s="20" t="n"/>
      <c r="K962" s="24">
        <f>IF(OR(O962=0,J962=""),0,INDEX(MAPA!$C$5:$C$14,MATCH(J962,MAPA!$A$5:$A$14,0)))</f>
        <v/>
      </c>
      <c r="L962" s="25">
        <f>H962+K962</f>
        <v/>
      </c>
      <c r="M962" s="20" t="n"/>
      <c r="N962" s="20" t="n"/>
      <c r="O962" s="14">
        <f>IF(A962="",0,IF(COUNTIF($A$5:A962,A962)=1,1,0))</f>
        <v/>
      </c>
    </row>
    <row r="963">
      <c r="A963" s="20" t="n"/>
      <c r="B963" s="21" t="n"/>
      <c r="C963" s="20" t="n"/>
      <c r="D963" s="22">
        <f>IF(C963="","",INDEX(MERCADORIA!$B$5:$B$22,MATCH(C963,MERCADORIA!$A$5:$A$22,0)))</f>
        <v/>
      </c>
      <c r="E963" s="22">
        <f>IF(C963="","",INDEX(MERCADORIA!$C$5:$C$22,MATCH(C963,MERCADORIA!$A$5:$A$22,0)))</f>
        <v/>
      </c>
      <c r="F963" s="23" t="n"/>
      <c r="G963" s="24">
        <f>IF(D963="","",INDEX(VALOR!$B$5:$B$8,MATCH(D963,VALOR!$A$5:$A$8,0)))</f>
        <v/>
      </c>
      <c r="H963" s="15">
        <f>IF(OR(G963="",F963=""),0,F963*G963)</f>
        <v/>
      </c>
      <c r="I963" s="20" t="n"/>
      <c r="J963" s="20" t="n"/>
      <c r="K963" s="24">
        <f>IF(OR(O963=0,J963=""),0,INDEX(MAPA!$C$5:$C$14,MATCH(J963,MAPA!$A$5:$A$14,0)))</f>
        <v/>
      </c>
      <c r="L963" s="25">
        <f>H963+K963</f>
        <v/>
      </c>
      <c r="M963" s="20" t="n"/>
      <c r="N963" s="20" t="n"/>
      <c r="O963" s="14">
        <f>IF(A963="",0,IF(COUNTIF($A$5:A963,A963)=1,1,0))</f>
        <v/>
      </c>
    </row>
    <row r="964">
      <c r="A964" s="20" t="n"/>
      <c r="B964" s="21" t="n"/>
      <c r="C964" s="20" t="n"/>
      <c r="D964" s="22">
        <f>IF(C964="","",INDEX(MERCADORIA!$B$5:$B$22,MATCH(C964,MERCADORIA!$A$5:$A$22,0)))</f>
        <v/>
      </c>
      <c r="E964" s="22">
        <f>IF(C964="","",INDEX(MERCADORIA!$C$5:$C$22,MATCH(C964,MERCADORIA!$A$5:$A$22,0)))</f>
        <v/>
      </c>
      <c r="F964" s="23" t="n"/>
      <c r="G964" s="24">
        <f>IF(D964="","",INDEX(VALOR!$B$5:$B$8,MATCH(D964,VALOR!$A$5:$A$8,0)))</f>
        <v/>
      </c>
      <c r="H964" s="15">
        <f>IF(OR(G964="",F964=""),0,F964*G964)</f>
        <v/>
      </c>
      <c r="I964" s="20" t="n"/>
      <c r="J964" s="20" t="n"/>
      <c r="K964" s="24">
        <f>IF(OR(O964=0,J964=""),0,INDEX(MAPA!$C$5:$C$14,MATCH(J964,MAPA!$A$5:$A$14,0)))</f>
        <v/>
      </c>
      <c r="L964" s="25">
        <f>H964+K964</f>
        <v/>
      </c>
      <c r="M964" s="20" t="n"/>
      <c r="N964" s="20" t="n"/>
      <c r="O964" s="14">
        <f>IF(A964="",0,IF(COUNTIF($A$5:A964,A964)=1,1,0))</f>
        <v/>
      </c>
    </row>
    <row r="965">
      <c r="A965" s="20" t="n"/>
      <c r="B965" s="21" t="n"/>
      <c r="C965" s="20" t="n"/>
      <c r="D965" s="22">
        <f>IF(C965="","",INDEX(MERCADORIA!$B$5:$B$22,MATCH(C965,MERCADORIA!$A$5:$A$22,0)))</f>
        <v/>
      </c>
      <c r="E965" s="22">
        <f>IF(C965="","",INDEX(MERCADORIA!$C$5:$C$22,MATCH(C965,MERCADORIA!$A$5:$A$22,0)))</f>
        <v/>
      </c>
      <c r="F965" s="23" t="n"/>
      <c r="G965" s="24">
        <f>IF(D965="","",INDEX(VALOR!$B$5:$B$8,MATCH(D965,VALOR!$A$5:$A$8,0)))</f>
        <v/>
      </c>
      <c r="H965" s="15">
        <f>IF(OR(G965="",F965=""),0,F965*G965)</f>
        <v/>
      </c>
      <c r="I965" s="20" t="n"/>
      <c r="J965" s="20" t="n"/>
      <c r="K965" s="24">
        <f>IF(OR(O965=0,J965=""),0,INDEX(MAPA!$C$5:$C$14,MATCH(J965,MAPA!$A$5:$A$14,0)))</f>
        <v/>
      </c>
      <c r="L965" s="25">
        <f>H965+K965</f>
        <v/>
      </c>
      <c r="M965" s="20" t="n"/>
      <c r="N965" s="20" t="n"/>
      <c r="O965" s="14">
        <f>IF(A965="",0,IF(COUNTIF($A$5:A965,A965)=1,1,0))</f>
        <v/>
      </c>
    </row>
    <row r="966">
      <c r="A966" s="20" t="n"/>
      <c r="B966" s="21" t="n"/>
      <c r="C966" s="20" t="n"/>
      <c r="D966" s="22">
        <f>IF(C966="","",INDEX(MERCADORIA!$B$5:$B$22,MATCH(C966,MERCADORIA!$A$5:$A$22,0)))</f>
        <v/>
      </c>
      <c r="E966" s="22">
        <f>IF(C966="","",INDEX(MERCADORIA!$C$5:$C$22,MATCH(C966,MERCADORIA!$A$5:$A$22,0)))</f>
        <v/>
      </c>
      <c r="F966" s="23" t="n"/>
      <c r="G966" s="24">
        <f>IF(D966="","",INDEX(VALOR!$B$5:$B$8,MATCH(D966,VALOR!$A$5:$A$8,0)))</f>
        <v/>
      </c>
      <c r="H966" s="15">
        <f>IF(OR(G966="",F966=""),0,F966*G966)</f>
        <v/>
      </c>
      <c r="I966" s="20" t="n"/>
      <c r="J966" s="20" t="n"/>
      <c r="K966" s="24">
        <f>IF(OR(O966=0,J966=""),0,INDEX(MAPA!$C$5:$C$14,MATCH(J966,MAPA!$A$5:$A$14,0)))</f>
        <v/>
      </c>
      <c r="L966" s="25">
        <f>H966+K966</f>
        <v/>
      </c>
      <c r="M966" s="20" t="n"/>
      <c r="N966" s="20" t="n"/>
      <c r="O966" s="14">
        <f>IF(A966="",0,IF(COUNTIF($A$5:A966,A966)=1,1,0))</f>
        <v/>
      </c>
    </row>
    <row r="967">
      <c r="A967" s="20" t="n"/>
      <c r="B967" s="21" t="n"/>
      <c r="C967" s="20" t="n"/>
      <c r="D967" s="22">
        <f>IF(C967="","",INDEX(MERCADORIA!$B$5:$B$22,MATCH(C967,MERCADORIA!$A$5:$A$22,0)))</f>
        <v/>
      </c>
      <c r="E967" s="22">
        <f>IF(C967="","",INDEX(MERCADORIA!$C$5:$C$22,MATCH(C967,MERCADORIA!$A$5:$A$22,0)))</f>
        <v/>
      </c>
      <c r="F967" s="23" t="n"/>
      <c r="G967" s="24">
        <f>IF(D967="","",INDEX(VALOR!$B$5:$B$8,MATCH(D967,VALOR!$A$5:$A$8,0)))</f>
        <v/>
      </c>
      <c r="H967" s="15">
        <f>IF(OR(G967="",F967=""),0,F967*G967)</f>
        <v/>
      </c>
      <c r="I967" s="20" t="n"/>
      <c r="J967" s="20" t="n"/>
      <c r="K967" s="24">
        <f>IF(OR(O967=0,J967=""),0,INDEX(MAPA!$C$5:$C$14,MATCH(J967,MAPA!$A$5:$A$14,0)))</f>
        <v/>
      </c>
      <c r="L967" s="25">
        <f>H967+K967</f>
        <v/>
      </c>
      <c r="M967" s="20" t="n"/>
      <c r="N967" s="20" t="n"/>
      <c r="O967" s="14">
        <f>IF(A967="",0,IF(COUNTIF($A$5:A967,A967)=1,1,0))</f>
        <v/>
      </c>
    </row>
    <row r="968">
      <c r="A968" s="20" t="n"/>
      <c r="B968" s="21" t="n"/>
      <c r="C968" s="20" t="n"/>
      <c r="D968" s="22">
        <f>IF(C968="","",INDEX(MERCADORIA!$B$5:$B$22,MATCH(C968,MERCADORIA!$A$5:$A$22,0)))</f>
        <v/>
      </c>
      <c r="E968" s="22">
        <f>IF(C968="","",INDEX(MERCADORIA!$C$5:$C$22,MATCH(C968,MERCADORIA!$A$5:$A$22,0)))</f>
        <v/>
      </c>
      <c r="F968" s="23" t="n"/>
      <c r="G968" s="24">
        <f>IF(D968="","",INDEX(VALOR!$B$5:$B$8,MATCH(D968,VALOR!$A$5:$A$8,0)))</f>
        <v/>
      </c>
      <c r="H968" s="15">
        <f>IF(OR(G968="",F968=""),0,F968*G968)</f>
        <v/>
      </c>
      <c r="I968" s="20" t="n"/>
      <c r="J968" s="20" t="n"/>
      <c r="K968" s="24">
        <f>IF(OR(O968=0,J968=""),0,INDEX(MAPA!$C$5:$C$14,MATCH(J968,MAPA!$A$5:$A$14,0)))</f>
        <v/>
      </c>
      <c r="L968" s="25">
        <f>H968+K968</f>
        <v/>
      </c>
      <c r="M968" s="20" t="n"/>
      <c r="N968" s="20" t="n"/>
      <c r="O968" s="14">
        <f>IF(A968="",0,IF(COUNTIF($A$5:A968,A968)=1,1,0))</f>
        <v/>
      </c>
    </row>
    <row r="969">
      <c r="A969" s="20" t="n"/>
      <c r="B969" s="21" t="n"/>
      <c r="C969" s="20" t="n"/>
      <c r="D969" s="22">
        <f>IF(C969="","",INDEX(MERCADORIA!$B$5:$B$22,MATCH(C969,MERCADORIA!$A$5:$A$22,0)))</f>
        <v/>
      </c>
      <c r="E969" s="22">
        <f>IF(C969="","",INDEX(MERCADORIA!$C$5:$C$22,MATCH(C969,MERCADORIA!$A$5:$A$22,0)))</f>
        <v/>
      </c>
      <c r="F969" s="23" t="n"/>
      <c r="G969" s="24">
        <f>IF(D969="","",INDEX(VALOR!$B$5:$B$8,MATCH(D969,VALOR!$A$5:$A$8,0)))</f>
        <v/>
      </c>
      <c r="H969" s="15">
        <f>IF(OR(G969="",F969=""),0,F969*G969)</f>
        <v/>
      </c>
      <c r="I969" s="20" t="n"/>
      <c r="J969" s="20" t="n"/>
      <c r="K969" s="24">
        <f>IF(OR(O969=0,J969=""),0,INDEX(MAPA!$C$5:$C$14,MATCH(J969,MAPA!$A$5:$A$14,0)))</f>
        <v/>
      </c>
      <c r="L969" s="25">
        <f>H969+K969</f>
        <v/>
      </c>
      <c r="M969" s="20" t="n"/>
      <c r="N969" s="20" t="n"/>
      <c r="O969" s="14">
        <f>IF(A969="",0,IF(COUNTIF($A$5:A969,A969)=1,1,0))</f>
        <v/>
      </c>
    </row>
    <row r="970">
      <c r="A970" s="20" t="n"/>
      <c r="B970" s="21" t="n"/>
      <c r="C970" s="20" t="n"/>
      <c r="D970" s="22">
        <f>IF(C970="","",INDEX(MERCADORIA!$B$5:$B$22,MATCH(C970,MERCADORIA!$A$5:$A$22,0)))</f>
        <v/>
      </c>
      <c r="E970" s="22">
        <f>IF(C970="","",INDEX(MERCADORIA!$C$5:$C$22,MATCH(C970,MERCADORIA!$A$5:$A$22,0)))</f>
        <v/>
      </c>
      <c r="F970" s="23" t="n"/>
      <c r="G970" s="24">
        <f>IF(D970="","",INDEX(VALOR!$B$5:$B$8,MATCH(D970,VALOR!$A$5:$A$8,0)))</f>
        <v/>
      </c>
      <c r="H970" s="15">
        <f>IF(OR(G970="",F970=""),0,F970*G970)</f>
        <v/>
      </c>
      <c r="I970" s="20" t="n"/>
      <c r="J970" s="20" t="n"/>
      <c r="K970" s="24">
        <f>IF(OR(O970=0,J970=""),0,INDEX(MAPA!$C$5:$C$14,MATCH(J970,MAPA!$A$5:$A$14,0)))</f>
        <v/>
      </c>
      <c r="L970" s="25">
        <f>H970+K970</f>
        <v/>
      </c>
      <c r="M970" s="20" t="n"/>
      <c r="N970" s="20" t="n"/>
      <c r="O970" s="14">
        <f>IF(A970="",0,IF(COUNTIF($A$5:A970,A970)=1,1,0))</f>
        <v/>
      </c>
    </row>
    <row r="971">
      <c r="A971" s="20" t="n"/>
      <c r="B971" s="21" t="n"/>
      <c r="C971" s="20" t="n"/>
      <c r="D971" s="22">
        <f>IF(C971="","",INDEX(MERCADORIA!$B$5:$B$22,MATCH(C971,MERCADORIA!$A$5:$A$22,0)))</f>
        <v/>
      </c>
      <c r="E971" s="22">
        <f>IF(C971="","",INDEX(MERCADORIA!$C$5:$C$22,MATCH(C971,MERCADORIA!$A$5:$A$22,0)))</f>
        <v/>
      </c>
      <c r="F971" s="23" t="n"/>
      <c r="G971" s="24">
        <f>IF(D971="","",INDEX(VALOR!$B$5:$B$8,MATCH(D971,VALOR!$A$5:$A$8,0)))</f>
        <v/>
      </c>
      <c r="H971" s="15">
        <f>IF(OR(G971="",F971=""),0,F971*G971)</f>
        <v/>
      </c>
      <c r="I971" s="20" t="n"/>
      <c r="J971" s="20" t="n"/>
      <c r="K971" s="24">
        <f>IF(OR(O971=0,J971=""),0,INDEX(MAPA!$C$5:$C$14,MATCH(J971,MAPA!$A$5:$A$14,0)))</f>
        <v/>
      </c>
      <c r="L971" s="25">
        <f>H971+K971</f>
        <v/>
      </c>
      <c r="M971" s="20" t="n"/>
      <c r="N971" s="20" t="n"/>
      <c r="O971" s="14">
        <f>IF(A971="",0,IF(COUNTIF($A$5:A971,A971)=1,1,0))</f>
        <v/>
      </c>
    </row>
    <row r="972">
      <c r="A972" s="20" t="n"/>
      <c r="B972" s="21" t="n"/>
      <c r="C972" s="20" t="n"/>
      <c r="D972" s="22">
        <f>IF(C972="","",INDEX(MERCADORIA!$B$5:$B$22,MATCH(C972,MERCADORIA!$A$5:$A$22,0)))</f>
        <v/>
      </c>
      <c r="E972" s="22">
        <f>IF(C972="","",INDEX(MERCADORIA!$C$5:$C$22,MATCH(C972,MERCADORIA!$A$5:$A$22,0)))</f>
        <v/>
      </c>
      <c r="F972" s="23" t="n"/>
      <c r="G972" s="24">
        <f>IF(D972="","",INDEX(VALOR!$B$5:$B$8,MATCH(D972,VALOR!$A$5:$A$8,0)))</f>
        <v/>
      </c>
      <c r="H972" s="15">
        <f>IF(OR(G972="",F972=""),0,F972*G972)</f>
        <v/>
      </c>
      <c r="I972" s="20" t="n"/>
      <c r="J972" s="20" t="n"/>
      <c r="K972" s="24">
        <f>IF(OR(O972=0,J972=""),0,INDEX(MAPA!$C$5:$C$14,MATCH(J972,MAPA!$A$5:$A$14,0)))</f>
        <v/>
      </c>
      <c r="L972" s="25">
        <f>H972+K972</f>
        <v/>
      </c>
      <c r="M972" s="20" t="n"/>
      <c r="N972" s="20" t="n"/>
      <c r="O972" s="14">
        <f>IF(A972="",0,IF(COUNTIF($A$5:A972,A972)=1,1,0))</f>
        <v/>
      </c>
    </row>
    <row r="973">
      <c r="A973" s="20" t="n"/>
      <c r="B973" s="21" t="n"/>
      <c r="C973" s="20" t="n"/>
      <c r="D973" s="22">
        <f>IF(C973="","",INDEX(MERCADORIA!$B$5:$B$22,MATCH(C973,MERCADORIA!$A$5:$A$22,0)))</f>
        <v/>
      </c>
      <c r="E973" s="22">
        <f>IF(C973="","",INDEX(MERCADORIA!$C$5:$C$22,MATCH(C973,MERCADORIA!$A$5:$A$22,0)))</f>
        <v/>
      </c>
      <c r="F973" s="23" t="n"/>
      <c r="G973" s="24">
        <f>IF(D973="","",INDEX(VALOR!$B$5:$B$8,MATCH(D973,VALOR!$A$5:$A$8,0)))</f>
        <v/>
      </c>
      <c r="H973" s="15">
        <f>IF(OR(G973="",F973=""),0,F973*G973)</f>
        <v/>
      </c>
      <c r="I973" s="20" t="n"/>
      <c r="J973" s="20" t="n"/>
      <c r="K973" s="24">
        <f>IF(OR(O973=0,J973=""),0,INDEX(MAPA!$C$5:$C$14,MATCH(J973,MAPA!$A$5:$A$14,0)))</f>
        <v/>
      </c>
      <c r="L973" s="25">
        <f>H973+K973</f>
        <v/>
      </c>
      <c r="M973" s="20" t="n"/>
      <c r="N973" s="20" t="n"/>
      <c r="O973" s="14">
        <f>IF(A973="",0,IF(COUNTIF($A$5:A973,A973)=1,1,0))</f>
        <v/>
      </c>
    </row>
    <row r="974">
      <c r="A974" s="20" t="n"/>
      <c r="B974" s="21" t="n"/>
      <c r="C974" s="20" t="n"/>
      <c r="D974" s="22">
        <f>IF(C974="","",INDEX(MERCADORIA!$B$5:$B$22,MATCH(C974,MERCADORIA!$A$5:$A$22,0)))</f>
        <v/>
      </c>
      <c r="E974" s="22">
        <f>IF(C974="","",INDEX(MERCADORIA!$C$5:$C$22,MATCH(C974,MERCADORIA!$A$5:$A$22,0)))</f>
        <v/>
      </c>
      <c r="F974" s="23" t="n"/>
      <c r="G974" s="24">
        <f>IF(D974="","",INDEX(VALOR!$B$5:$B$8,MATCH(D974,VALOR!$A$5:$A$8,0)))</f>
        <v/>
      </c>
      <c r="H974" s="15">
        <f>IF(OR(G974="",F974=""),0,F974*G974)</f>
        <v/>
      </c>
      <c r="I974" s="20" t="n"/>
      <c r="J974" s="20" t="n"/>
      <c r="K974" s="24">
        <f>IF(OR(O974=0,J974=""),0,INDEX(MAPA!$C$5:$C$14,MATCH(J974,MAPA!$A$5:$A$14,0)))</f>
        <v/>
      </c>
      <c r="L974" s="25">
        <f>H974+K974</f>
        <v/>
      </c>
      <c r="M974" s="20" t="n"/>
      <c r="N974" s="20" t="n"/>
      <c r="O974" s="14">
        <f>IF(A974="",0,IF(COUNTIF($A$5:A974,A974)=1,1,0))</f>
        <v/>
      </c>
    </row>
    <row r="975">
      <c r="A975" s="20" t="n"/>
      <c r="B975" s="21" t="n"/>
      <c r="C975" s="20" t="n"/>
      <c r="D975" s="22">
        <f>IF(C975="","",INDEX(MERCADORIA!$B$5:$B$22,MATCH(C975,MERCADORIA!$A$5:$A$22,0)))</f>
        <v/>
      </c>
      <c r="E975" s="22">
        <f>IF(C975="","",INDEX(MERCADORIA!$C$5:$C$22,MATCH(C975,MERCADORIA!$A$5:$A$22,0)))</f>
        <v/>
      </c>
      <c r="F975" s="23" t="n"/>
      <c r="G975" s="24">
        <f>IF(D975="","",INDEX(VALOR!$B$5:$B$8,MATCH(D975,VALOR!$A$5:$A$8,0)))</f>
        <v/>
      </c>
      <c r="H975" s="15">
        <f>IF(OR(G975="",F975=""),0,F975*G975)</f>
        <v/>
      </c>
      <c r="I975" s="20" t="n"/>
      <c r="J975" s="20" t="n"/>
      <c r="K975" s="24">
        <f>IF(OR(O975=0,J975=""),0,INDEX(MAPA!$C$5:$C$14,MATCH(J975,MAPA!$A$5:$A$14,0)))</f>
        <v/>
      </c>
      <c r="L975" s="25">
        <f>H975+K975</f>
        <v/>
      </c>
      <c r="M975" s="20" t="n"/>
      <c r="N975" s="20" t="n"/>
      <c r="O975" s="14">
        <f>IF(A975="",0,IF(COUNTIF($A$5:A975,A975)=1,1,0))</f>
        <v/>
      </c>
    </row>
    <row r="976">
      <c r="A976" s="20" t="n"/>
      <c r="B976" s="21" t="n"/>
      <c r="C976" s="20" t="n"/>
      <c r="D976" s="22">
        <f>IF(C976="","",INDEX(MERCADORIA!$B$5:$B$22,MATCH(C976,MERCADORIA!$A$5:$A$22,0)))</f>
        <v/>
      </c>
      <c r="E976" s="22">
        <f>IF(C976="","",INDEX(MERCADORIA!$C$5:$C$22,MATCH(C976,MERCADORIA!$A$5:$A$22,0)))</f>
        <v/>
      </c>
      <c r="F976" s="23" t="n"/>
      <c r="G976" s="24">
        <f>IF(D976="","",INDEX(VALOR!$B$5:$B$8,MATCH(D976,VALOR!$A$5:$A$8,0)))</f>
        <v/>
      </c>
      <c r="H976" s="15">
        <f>IF(OR(G976="",F976=""),0,F976*G976)</f>
        <v/>
      </c>
      <c r="I976" s="20" t="n"/>
      <c r="J976" s="20" t="n"/>
      <c r="K976" s="24">
        <f>IF(OR(O976=0,J976=""),0,INDEX(MAPA!$C$5:$C$14,MATCH(J976,MAPA!$A$5:$A$14,0)))</f>
        <v/>
      </c>
      <c r="L976" s="25">
        <f>H976+K976</f>
        <v/>
      </c>
      <c r="M976" s="20" t="n"/>
      <c r="N976" s="20" t="n"/>
      <c r="O976" s="14">
        <f>IF(A976="",0,IF(COUNTIF($A$5:A976,A976)=1,1,0))</f>
        <v/>
      </c>
    </row>
    <row r="977">
      <c r="A977" s="20" t="n"/>
      <c r="B977" s="21" t="n"/>
      <c r="C977" s="20" t="n"/>
      <c r="D977" s="22">
        <f>IF(C977="","",INDEX(MERCADORIA!$B$5:$B$22,MATCH(C977,MERCADORIA!$A$5:$A$22,0)))</f>
        <v/>
      </c>
      <c r="E977" s="22">
        <f>IF(C977="","",INDEX(MERCADORIA!$C$5:$C$22,MATCH(C977,MERCADORIA!$A$5:$A$22,0)))</f>
        <v/>
      </c>
      <c r="F977" s="23" t="n"/>
      <c r="G977" s="24">
        <f>IF(D977="","",INDEX(VALOR!$B$5:$B$8,MATCH(D977,VALOR!$A$5:$A$8,0)))</f>
        <v/>
      </c>
      <c r="H977" s="15">
        <f>IF(OR(G977="",F977=""),0,F977*G977)</f>
        <v/>
      </c>
      <c r="I977" s="20" t="n"/>
      <c r="J977" s="20" t="n"/>
      <c r="K977" s="24">
        <f>IF(OR(O977=0,J977=""),0,INDEX(MAPA!$C$5:$C$14,MATCH(J977,MAPA!$A$5:$A$14,0)))</f>
        <v/>
      </c>
      <c r="L977" s="25">
        <f>H977+K977</f>
        <v/>
      </c>
      <c r="M977" s="20" t="n"/>
      <c r="N977" s="20" t="n"/>
      <c r="O977" s="14">
        <f>IF(A977="",0,IF(COUNTIF($A$5:A977,A977)=1,1,0))</f>
        <v/>
      </c>
    </row>
    <row r="978">
      <c r="A978" s="20" t="n"/>
      <c r="B978" s="21" t="n"/>
      <c r="C978" s="20" t="n"/>
      <c r="D978" s="22">
        <f>IF(C978="","",INDEX(MERCADORIA!$B$5:$B$22,MATCH(C978,MERCADORIA!$A$5:$A$22,0)))</f>
        <v/>
      </c>
      <c r="E978" s="22">
        <f>IF(C978="","",INDEX(MERCADORIA!$C$5:$C$22,MATCH(C978,MERCADORIA!$A$5:$A$22,0)))</f>
        <v/>
      </c>
      <c r="F978" s="23" t="n"/>
      <c r="G978" s="24">
        <f>IF(D978="","",INDEX(VALOR!$B$5:$B$8,MATCH(D978,VALOR!$A$5:$A$8,0)))</f>
        <v/>
      </c>
      <c r="H978" s="15">
        <f>IF(OR(G978="",F978=""),0,F978*G978)</f>
        <v/>
      </c>
      <c r="I978" s="20" t="n"/>
      <c r="J978" s="20" t="n"/>
      <c r="K978" s="24">
        <f>IF(OR(O978=0,J978=""),0,INDEX(MAPA!$C$5:$C$14,MATCH(J978,MAPA!$A$5:$A$14,0)))</f>
        <v/>
      </c>
      <c r="L978" s="25">
        <f>H978+K978</f>
        <v/>
      </c>
      <c r="M978" s="20" t="n"/>
      <c r="N978" s="20" t="n"/>
      <c r="O978" s="14">
        <f>IF(A978="",0,IF(COUNTIF($A$5:A978,A978)=1,1,0))</f>
        <v/>
      </c>
    </row>
    <row r="979">
      <c r="A979" s="20" t="n"/>
      <c r="B979" s="21" t="n"/>
      <c r="C979" s="20" t="n"/>
      <c r="D979" s="22">
        <f>IF(C979="","",INDEX(MERCADORIA!$B$5:$B$22,MATCH(C979,MERCADORIA!$A$5:$A$22,0)))</f>
        <v/>
      </c>
      <c r="E979" s="22">
        <f>IF(C979="","",INDEX(MERCADORIA!$C$5:$C$22,MATCH(C979,MERCADORIA!$A$5:$A$22,0)))</f>
        <v/>
      </c>
      <c r="F979" s="23" t="n"/>
      <c r="G979" s="24">
        <f>IF(D979="","",INDEX(VALOR!$B$5:$B$8,MATCH(D979,VALOR!$A$5:$A$8,0)))</f>
        <v/>
      </c>
      <c r="H979" s="15">
        <f>IF(OR(G979="",F979=""),0,F979*G979)</f>
        <v/>
      </c>
      <c r="I979" s="20" t="n"/>
      <c r="J979" s="20" t="n"/>
      <c r="K979" s="24">
        <f>IF(OR(O979=0,J979=""),0,INDEX(MAPA!$C$5:$C$14,MATCH(J979,MAPA!$A$5:$A$14,0)))</f>
        <v/>
      </c>
      <c r="L979" s="25">
        <f>H979+K979</f>
        <v/>
      </c>
      <c r="M979" s="20" t="n"/>
      <c r="N979" s="20" t="n"/>
      <c r="O979" s="14">
        <f>IF(A979="",0,IF(COUNTIF($A$5:A979,A979)=1,1,0))</f>
        <v/>
      </c>
    </row>
    <row r="980">
      <c r="A980" s="20" t="n"/>
      <c r="B980" s="21" t="n"/>
      <c r="C980" s="20" t="n"/>
      <c r="D980" s="22">
        <f>IF(C980="","",INDEX(MERCADORIA!$B$5:$B$22,MATCH(C980,MERCADORIA!$A$5:$A$22,0)))</f>
        <v/>
      </c>
      <c r="E980" s="22">
        <f>IF(C980="","",INDEX(MERCADORIA!$C$5:$C$22,MATCH(C980,MERCADORIA!$A$5:$A$22,0)))</f>
        <v/>
      </c>
      <c r="F980" s="23" t="n"/>
      <c r="G980" s="24">
        <f>IF(D980="","",INDEX(VALOR!$B$5:$B$8,MATCH(D980,VALOR!$A$5:$A$8,0)))</f>
        <v/>
      </c>
      <c r="H980" s="15">
        <f>IF(OR(G980="",F980=""),0,F980*G980)</f>
        <v/>
      </c>
      <c r="I980" s="20" t="n"/>
      <c r="J980" s="20" t="n"/>
      <c r="K980" s="24">
        <f>IF(OR(O980=0,J980=""),0,INDEX(MAPA!$C$5:$C$14,MATCH(J980,MAPA!$A$5:$A$14,0)))</f>
        <v/>
      </c>
      <c r="L980" s="25">
        <f>H980+K980</f>
        <v/>
      </c>
      <c r="M980" s="20" t="n"/>
      <c r="N980" s="20" t="n"/>
      <c r="O980" s="14">
        <f>IF(A980="",0,IF(COUNTIF($A$5:A980,A980)=1,1,0))</f>
        <v/>
      </c>
    </row>
    <row r="981">
      <c r="A981" s="20" t="n"/>
      <c r="B981" s="21" t="n"/>
      <c r="C981" s="20" t="n"/>
      <c r="D981" s="22">
        <f>IF(C981="","",INDEX(MERCADORIA!$B$5:$B$22,MATCH(C981,MERCADORIA!$A$5:$A$22,0)))</f>
        <v/>
      </c>
      <c r="E981" s="22">
        <f>IF(C981="","",INDEX(MERCADORIA!$C$5:$C$22,MATCH(C981,MERCADORIA!$A$5:$A$22,0)))</f>
        <v/>
      </c>
      <c r="F981" s="23" t="n"/>
      <c r="G981" s="24">
        <f>IF(D981="","",INDEX(VALOR!$B$5:$B$8,MATCH(D981,VALOR!$A$5:$A$8,0)))</f>
        <v/>
      </c>
      <c r="H981" s="15">
        <f>IF(OR(G981="",F981=""),0,F981*G981)</f>
        <v/>
      </c>
      <c r="I981" s="20" t="n"/>
      <c r="J981" s="20" t="n"/>
      <c r="K981" s="24">
        <f>IF(OR(O981=0,J981=""),0,INDEX(MAPA!$C$5:$C$14,MATCH(J981,MAPA!$A$5:$A$14,0)))</f>
        <v/>
      </c>
      <c r="L981" s="25">
        <f>H981+K981</f>
        <v/>
      </c>
      <c r="M981" s="20" t="n"/>
      <c r="N981" s="20" t="n"/>
      <c r="O981" s="14">
        <f>IF(A981="",0,IF(COUNTIF($A$5:A981,A981)=1,1,0))</f>
        <v/>
      </c>
    </row>
    <row r="982">
      <c r="A982" s="20" t="n"/>
      <c r="B982" s="21" t="n"/>
      <c r="C982" s="20" t="n"/>
      <c r="D982" s="22">
        <f>IF(C982="","",INDEX(MERCADORIA!$B$5:$B$22,MATCH(C982,MERCADORIA!$A$5:$A$22,0)))</f>
        <v/>
      </c>
      <c r="E982" s="22">
        <f>IF(C982="","",INDEX(MERCADORIA!$C$5:$C$22,MATCH(C982,MERCADORIA!$A$5:$A$22,0)))</f>
        <v/>
      </c>
      <c r="F982" s="23" t="n"/>
      <c r="G982" s="24">
        <f>IF(D982="","",INDEX(VALOR!$B$5:$B$8,MATCH(D982,VALOR!$A$5:$A$8,0)))</f>
        <v/>
      </c>
      <c r="H982" s="15">
        <f>IF(OR(G982="",F982=""),0,F982*G982)</f>
        <v/>
      </c>
      <c r="I982" s="20" t="n"/>
      <c r="J982" s="20" t="n"/>
      <c r="K982" s="24">
        <f>IF(OR(O982=0,J982=""),0,INDEX(MAPA!$C$5:$C$14,MATCH(J982,MAPA!$A$5:$A$14,0)))</f>
        <v/>
      </c>
      <c r="L982" s="25">
        <f>H982+K982</f>
        <v/>
      </c>
      <c r="M982" s="20" t="n"/>
      <c r="N982" s="20" t="n"/>
      <c r="O982" s="14">
        <f>IF(A982="",0,IF(COUNTIF($A$5:A982,A982)=1,1,0))</f>
        <v/>
      </c>
    </row>
    <row r="983">
      <c r="A983" s="20" t="n"/>
      <c r="B983" s="21" t="n"/>
      <c r="C983" s="20" t="n"/>
      <c r="D983" s="22">
        <f>IF(C983="","",INDEX(MERCADORIA!$B$5:$B$22,MATCH(C983,MERCADORIA!$A$5:$A$22,0)))</f>
        <v/>
      </c>
      <c r="E983" s="22">
        <f>IF(C983="","",INDEX(MERCADORIA!$C$5:$C$22,MATCH(C983,MERCADORIA!$A$5:$A$22,0)))</f>
        <v/>
      </c>
      <c r="F983" s="23" t="n"/>
      <c r="G983" s="24">
        <f>IF(D983="","",INDEX(VALOR!$B$5:$B$8,MATCH(D983,VALOR!$A$5:$A$8,0)))</f>
        <v/>
      </c>
      <c r="H983" s="15">
        <f>IF(OR(G983="",F983=""),0,F983*G983)</f>
        <v/>
      </c>
      <c r="I983" s="20" t="n"/>
      <c r="J983" s="20" t="n"/>
      <c r="K983" s="24">
        <f>IF(OR(O983=0,J983=""),0,INDEX(MAPA!$C$5:$C$14,MATCH(J983,MAPA!$A$5:$A$14,0)))</f>
        <v/>
      </c>
      <c r="L983" s="25">
        <f>H983+K983</f>
        <v/>
      </c>
      <c r="M983" s="20" t="n"/>
      <c r="N983" s="20" t="n"/>
      <c r="O983" s="14">
        <f>IF(A983="",0,IF(COUNTIF($A$5:A983,A983)=1,1,0))</f>
        <v/>
      </c>
    </row>
    <row r="984">
      <c r="A984" s="20" t="n"/>
      <c r="B984" s="21" t="n"/>
      <c r="C984" s="20" t="n"/>
      <c r="D984" s="22">
        <f>IF(C984="","",INDEX(MERCADORIA!$B$5:$B$22,MATCH(C984,MERCADORIA!$A$5:$A$22,0)))</f>
        <v/>
      </c>
      <c r="E984" s="22">
        <f>IF(C984="","",INDEX(MERCADORIA!$C$5:$C$22,MATCH(C984,MERCADORIA!$A$5:$A$22,0)))</f>
        <v/>
      </c>
      <c r="F984" s="23" t="n"/>
      <c r="G984" s="24">
        <f>IF(D984="","",INDEX(VALOR!$B$5:$B$8,MATCH(D984,VALOR!$A$5:$A$8,0)))</f>
        <v/>
      </c>
      <c r="H984" s="15">
        <f>IF(OR(G984="",F984=""),0,F984*G984)</f>
        <v/>
      </c>
      <c r="I984" s="20" t="n"/>
      <c r="J984" s="20" t="n"/>
      <c r="K984" s="24">
        <f>IF(OR(O984=0,J984=""),0,INDEX(MAPA!$C$5:$C$14,MATCH(J984,MAPA!$A$5:$A$14,0)))</f>
        <v/>
      </c>
      <c r="L984" s="25">
        <f>H984+K984</f>
        <v/>
      </c>
      <c r="M984" s="20" t="n"/>
      <c r="N984" s="20" t="n"/>
      <c r="O984" s="14">
        <f>IF(A984="",0,IF(COUNTIF($A$5:A984,A984)=1,1,0))</f>
        <v/>
      </c>
    </row>
    <row r="985">
      <c r="A985" s="20" t="n"/>
      <c r="B985" s="21" t="n"/>
      <c r="C985" s="20" t="n"/>
      <c r="D985" s="22">
        <f>IF(C985="","",INDEX(MERCADORIA!$B$5:$B$22,MATCH(C985,MERCADORIA!$A$5:$A$22,0)))</f>
        <v/>
      </c>
      <c r="E985" s="22">
        <f>IF(C985="","",INDEX(MERCADORIA!$C$5:$C$22,MATCH(C985,MERCADORIA!$A$5:$A$22,0)))</f>
        <v/>
      </c>
      <c r="F985" s="23" t="n"/>
      <c r="G985" s="24">
        <f>IF(D985="","",INDEX(VALOR!$B$5:$B$8,MATCH(D985,VALOR!$A$5:$A$8,0)))</f>
        <v/>
      </c>
      <c r="H985" s="15">
        <f>IF(OR(G985="",F985=""),0,F985*G985)</f>
        <v/>
      </c>
      <c r="I985" s="20" t="n"/>
      <c r="J985" s="20" t="n"/>
      <c r="K985" s="24">
        <f>IF(OR(O985=0,J985=""),0,INDEX(MAPA!$C$5:$C$14,MATCH(J985,MAPA!$A$5:$A$14,0)))</f>
        <v/>
      </c>
      <c r="L985" s="25">
        <f>H985+K985</f>
        <v/>
      </c>
      <c r="M985" s="20" t="n"/>
      <c r="N985" s="20" t="n"/>
      <c r="O985" s="14">
        <f>IF(A985="",0,IF(COUNTIF($A$5:A985,A985)=1,1,0))</f>
        <v/>
      </c>
    </row>
    <row r="986">
      <c r="A986" s="20" t="n"/>
      <c r="B986" s="21" t="n"/>
      <c r="C986" s="20" t="n"/>
      <c r="D986" s="22">
        <f>IF(C986="","",INDEX(MERCADORIA!$B$5:$B$22,MATCH(C986,MERCADORIA!$A$5:$A$22,0)))</f>
        <v/>
      </c>
      <c r="E986" s="22">
        <f>IF(C986="","",INDEX(MERCADORIA!$C$5:$C$22,MATCH(C986,MERCADORIA!$A$5:$A$22,0)))</f>
        <v/>
      </c>
      <c r="F986" s="23" t="n"/>
      <c r="G986" s="24">
        <f>IF(D986="","",INDEX(VALOR!$B$5:$B$8,MATCH(D986,VALOR!$A$5:$A$8,0)))</f>
        <v/>
      </c>
      <c r="H986" s="15">
        <f>IF(OR(G986="",F986=""),0,F986*G986)</f>
        <v/>
      </c>
      <c r="I986" s="20" t="n"/>
      <c r="J986" s="20" t="n"/>
      <c r="K986" s="24">
        <f>IF(OR(O986=0,J986=""),0,INDEX(MAPA!$C$5:$C$14,MATCH(J986,MAPA!$A$5:$A$14,0)))</f>
        <v/>
      </c>
      <c r="L986" s="25">
        <f>H986+K986</f>
        <v/>
      </c>
      <c r="M986" s="20" t="n"/>
      <c r="N986" s="20" t="n"/>
      <c r="O986" s="14">
        <f>IF(A986="",0,IF(COUNTIF($A$5:A986,A986)=1,1,0))</f>
        <v/>
      </c>
    </row>
    <row r="987">
      <c r="A987" s="20" t="n"/>
      <c r="B987" s="21" t="n"/>
      <c r="C987" s="20" t="n"/>
      <c r="D987" s="22">
        <f>IF(C987="","",INDEX(MERCADORIA!$B$5:$B$22,MATCH(C987,MERCADORIA!$A$5:$A$22,0)))</f>
        <v/>
      </c>
      <c r="E987" s="22">
        <f>IF(C987="","",INDEX(MERCADORIA!$C$5:$C$22,MATCH(C987,MERCADORIA!$A$5:$A$22,0)))</f>
        <v/>
      </c>
      <c r="F987" s="23" t="n"/>
      <c r="G987" s="24">
        <f>IF(D987="","",INDEX(VALOR!$B$5:$B$8,MATCH(D987,VALOR!$A$5:$A$8,0)))</f>
        <v/>
      </c>
      <c r="H987" s="15">
        <f>IF(OR(G987="",F987=""),0,F987*G987)</f>
        <v/>
      </c>
      <c r="I987" s="20" t="n"/>
      <c r="J987" s="20" t="n"/>
      <c r="K987" s="24">
        <f>IF(OR(O987=0,J987=""),0,INDEX(MAPA!$C$5:$C$14,MATCH(J987,MAPA!$A$5:$A$14,0)))</f>
        <v/>
      </c>
      <c r="L987" s="25">
        <f>H987+K987</f>
        <v/>
      </c>
      <c r="M987" s="20" t="n"/>
      <c r="N987" s="20" t="n"/>
      <c r="O987" s="14">
        <f>IF(A987="",0,IF(COUNTIF($A$5:A987,A987)=1,1,0))</f>
        <v/>
      </c>
    </row>
    <row r="988">
      <c r="A988" s="20" t="n"/>
      <c r="B988" s="21" t="n"/>
      <c r="C988" s="20" t="n"/>
      <c r="D988" s="22">
        <f>IF(C988="","",INDEX(MERCADORIA!$B$5:$B$22,MATCH(C988,MERCADORIA!$A$5:$A$22,0)))</f>
        <v/>
      </c>
      <c r="E988" s="22">
        <f>IF(C988="","",INDEX(MERCADORIA!$C$5:$C$22,MATCH(C988,MERCADORIA!$A$5:$A$22,0)))</f>
        <v/>
      </c>
      <c r="F988" s="23" t="n"/>
      <c r="G988" s="24">
        <f>IF(D988="","",INDEX(VALOR!$B$5:$B$8,MATCH(D988,VALOR!$A$5:$A$8,0)))</f>
        <v/>
      </c>
      <c r="H988" s="15">
        <f>IF(OR(G988="",F988=""),0,F988*G988)</f>
        <v/>
      </c>
      <c r="I988" s="20" t="n"/>
      <c r="J988" s="20" t="n"/>
      <c r="K988" s="24">
        <f>IF(OR(O988=0,J988=""),0,INDEX(MAPA!$C$5:$C$14,MATCH(J988,MAPA!$A$5:$A$14,0)))</f>
        <v/>
      </c>
      <c r="L988" s="25">
        <f>H988+K988</f>
        <v/>
      </c>
      <c r="M988" s="20" t="n"/>
      <c r="N988" s="20" t="n"/>
      <c r="O988" s="14">
        <f>IF(A988="",0,IF(COUNTIF($A$5:A988,A988)=1,1,0))</f>
        <v/>
      </c>
    </row>
    <row r="989">
      <c r="A989" s="20" t="n"/>
      <c r="B989" s="21" t="n"/>
      <c r="C989" s="20" t="n"/>
      <c r="D989" s="22">
        <f>IF(C989="","",INDEX(MERCADORIA!$B$5:$B$22,MATCH(C989,MERCADORIA!$A$5:$A$22,0)))</f>
        <v/>
      </c>
      <c r="E989" s="22">
        <f>IF(C989="","",INDEX(MERCADORIA!$C$5:$C$22,MATCH(C989,MERCADORIA!$A$5:$A$22,0)))</f>
        <v/>
      </c>
      <c r="F989" s="23" t="n"/>
      <c r="G989" s="24">
        <f>IF(D989="","",INDEX(VALOR!$B$5:$B$8,MATCH(D989,VALOR!$A$5:$A$8,0)))</f>
        <v/>
      </c>
      <c r="H989" s="15">
        <f>IF(OR(G989="",F989=""),0,F989*G989)</f>
        <v/>
      </c>
      <c r="I989" s="20" t="n"/>
      <c r="J989" s="20" t="n"/>
      <c r="K989" s="24">
        <f>IF(OR(O989=0,J989=""),0,INDEX(MAPA!$C$5:$C$14,MATCH(J989,MAPA!$A$5:$A$14,0)))</f>
        <v/>
      </c>
      <c r="L989" s="25">
        <f>H989+K989</f>
        <v/>
      </c>
      <c r="M989" s="20" t="n"/>
      <c r="N989" s="20" t="n"/>
      <c r="O989" s="14">
        <f>IF(A989="",0,IF(COUNTIF($A$5:A989,A989)=1,1,0))</f>
        <v/>
      </c>
    </row>
    <row r="990">
      <c r="A990" s="20" t="n"/>
      <c r="B990" s="21" t="n"/>
      <c r="C990" s="20" t="n"/>
      <c r="D990" s="22">
        <f>IF(C990="","",INDEX(MERCADORIA!$B$5:$B$22,MATCH(C990,MERCADORIA!$A$5:$A$22,0)))</f>
        <v/>
      </c>
      <c r="E990" s="22">
        <f>IF(C990="","",INDEX(MERCADORIA!$C$5:$C$22,MATCH(C990,MERCADORIA!$A$5:$A$22,0)))</f>
        <v/>
      </c>
      <c r="F990" s="23" t="n"/>
      <c r="G990" s="24">
        <f>IF(D990="","",INDEX(VALOR!$B$5:$B$8,MATCH(D990,VALOR!$A$5:$A$8,0)))</f>
        <v/>
      </c>
      <c r="H990" s="15">
        <f>IF(OR(G990="",F990=""),0,F990*G990)</f>
        <v/>
      </c>
      <c r="I990" s="20" t="n"/>
      <c r="J990" s="20" t="n"/>
      <c r="K990" s="24">
        <f>IF(OR(O990=0,J990=""),0,INDEX(MAPA!$C$5:$C$14,MATCH(J990,MAPA!$A$5:$A$14,0)))</f>
        <v/>
      </c>
      <c r="L990" s="25">
        <f>H990+K990</f>
        <v/>
      </c>
      <c r="M990" s="20" t="n"/>
      <c r="N990" s="20" t="n"/>
      <c r="O990" s="14">
        <f>IF(A990="",0,IF(COUNTIF($A$5:A990,A990)=1,1,0))</f>
        <v/>
      </c>
    </row>
    <row r="991">
      <c r="A991" s="20" t="n"/>
      <c r="B991" s="21" t="n"/>
      <c r="C991" s="20" t="n"/>
      <c r="D991" s="22">
        <f>IF(C991="","",INDEX(MERCADORIA!$B$5:$B$22,MATCH(C991,MERCADORIA!$A$5:$A$22,0)))</f>
        <v/>
      </c>
      <c r="E991" s="22">
        <f>IF(C991="","",INDEX(MERCADORIA!$C$5:$C$22,MATCH(C991,MERCADORIA!$A$5:$A$22,0)))</f>
        <v/>
      </c>
      <c r="F991" s="23" t="n"/>
      <c r="G991" s="24">
        <f>IF(D991="","",INDEX(VALOR!$B$5:$B$8,MATCH(D991,VALOR!$A$5:$A$8,0)))</f>
        <v/>
      </c>
      <c r="H991" s="15">
        <f>IF(OR(G991="",F991=""),0,F991*G991)</f>
        <v/>
      </c>
      <c r="I991" s="20" t="n"/>
      <c r="J991" s="20" t="n"/>
      <c r="K991" s="24">
        <f>IF(OR(O991=0,J991=""),0,INDEX(MAPA!$C$5:$C$14,MATCH(J991,MAPA!$A$5:$A$14,0)))</f>
        <v/>
      </c>
      <c r="L991" s="25">
        <f>H991+K991</f>
        <v/>
      </c>
      <c r="M991" s="20" t="n"/>
      <c r="N991" s="20" t="n"/>
      <c r="O991" s="14">
        <f>IF(A991="",0,IF(COUNTIF($A$5:A991,A991)=1,1,0))</f>
        <v/>
      </c>
    </row>
    <row r="992">
      <c r="A992" s="20" t="n"/>
      <c r="B992" s="21" t="n"/>
      <c r="C992" s="20" t="n"/>
      <c r="D992" s="22">
        <f>IF(C992="","",INDEX(MERCADORIA!$B$5:$B$22,MATCH(C992,MERCADORIA!$A$5:$A$22,0)))</f>
        <v/>
      </c>
      <c r="E992" s="22">
        <f>IF(C992="","",INDEX(MERCADORIA!$C$5:$C$22,MATCH(C992,MERCADORIA!$A$5:$A$22,0)))</f>
        <v/>
      </c>
      <c r="F992" s="23" t="n"/>
      <c r="G992" s="24">
        <f>IF(D992="","",INDEX(VALOR!$B$5:$B$8,MATCH(D992,VALOR!$A$5:$A$8,0)))</f>
        <v/>
      </c>
      <c r="H992" s="15">
        <f>IF(OR(G992="",F992=""),0,F992*G992)</f>
        <v/>
      </c>
      <c r="I992" s="20" t="n"/>
      <c r="J992" s="20" t="n"/>
      <c r="K992" s="24">
        <f>IF(OR(O992=0,J992=""),0,INDEX(MAPA!$C$5:$C$14,MATCH(J992,MAPA!$A$5:$A$14,0)))</f>
        <v/>
      </c>
      <c r="L992" s="25">
        <f>H992+K992</f>
        <v/>
      </c>
      <c r="M992" s="20" t="n"/>
      <c r="N992" s="20" t="n"/>
      <c r="O992" s="14">
        <f>IF(A992="",0,IF(COUNTIF($A$5:A992,A992)=1,1,0))</f>
        <v/>
      </c>
    </row>
    <row r="993">
      <c r="A993" s="20" t="n"/>
      <c r="B993" s="21" t="n"/>
      <c r="C993" s="20" t="n"/>
      <c r="D993" s="22">
        <f>IF(C993="","",INDEX(MERCADORIA!$B$5:$B$22,MATCH(C993,MERCADORIA!$A$5:$A$22,0)))</f>
        <v/>
      </c>
      <c r="E993" s="22">
        <f>IF(C993="","",INDEX(MERCADORIA!$C$5:$C$22,MATCH(C993,MERCADORIA!$A$5:$A$22,0)))</f>
        <v/>
      </c>
      <c r="F993" s="23" t="n"/>
      <c r="G993" s="24">
        <f>IF(D993="","",INDEX(VALOR!$B$5:$B$8,MATCH(D993,VALOR!$A$5:$A$8,0)))</f>
        <v/>
      </c>
      <c r="H993" s="15">
        <f>IF(OR(G993="",F993=""),0,F993*G993)</f>
        <v/>
      </c>
      <c r="I993" s="20" t="n"/>
      <c r="J993" s="20" t="n"/>
      <c r="K993" s="24">
        <f>IF(OR(O993=0,J993=""),0,INDEX(MAPA!$C$5:$C$14,MATCH(J993,MAPA!$A$5:$A$14,0)))</f>
        <v/>
      </c>
      <c r="L993" s="25">
        <f>H993+K993</f>
        <v/>
      </c>
      <c r="M993" s="20" t="n"/>
      <c r="N993" s="20" t="n"/>
      <c r="O993" s="14">
        <f>IF(A993="",0,IF(COUNTIF($A$5:A993,A993)=1,1,0))</f>
        <v/>
      </c>
    </row>
    <row r="994">
      <c r="A994" s="20" t="n"/>
      <c r="B994" s="21" t="n"/>
      <c r="C994" s="20" t="n"/>
      <c r="D994" s="22">
        <f>IF(C994="","",INDEX(MERCADORIA!$B$5:$B$22,MATCH(C994,MERCADORIA!$A$5:$A$22,0)))</f>
        <v/>
      </c>
      <c r="E994" s="22">
        <f>IF(C994="","",INDEX(MERCADORIA!$C$5:$C$22,MATCH(C994,MERCADORIA!$A$5:$A$22,0)))</f>
        <v/>
      </c>
      <c r="F994" s="23" t="n"/>
      <c r="G994" s="24">
        <f>IF(D994="","",INDEX(VALOR!$B$5:$B$8,MATCH(D994,VALOR!$A$5:$A$8,0)))</f>
        <v/>
      </c>
      <c r="H994" s="15">
        <f>IF(OR(G994="",F994=""),0,F994*G994)</f>
        <v/>
      </c>
      <c r="I994" s="20" t="n"/>
      <c r="J994" s="20" t="n"/>
      <c r="K994" s="24">
        <f>IF(OR(O994=0,J994=""),0,INDEX(MAPA!$C$5:$C$14,MATCH(J994,MAPA!$A$5:$A$14,0)))</f>
        <v/>
      </c>
      <c r="L994" s="25">
        <f>H994+K994</f>
        <v/>
      </c>
      <c r="M994" s="20" t="n"/>
      <c r="N994" s="20" t="n"/>
      <c r="O994" s="14">
        <f>IF(A994="",0,IF(COUNTIF($A$5:A994,A994)=1,1,0))</f>
        <v/>
      </c>
    </row>
    <row r="995">
      <c r="A995" s="20" t="n"/>
      <c r="B995" s="21" t="n"/>
      <c r="C995" s="20" t="n"/>
      <c r="D995" s="22">
        <f>IF(C995="","",INDEX(MERCADORIA!$B$5:$B$22,MATCH(C995,MERCADORIA!$A$5:$A$22,0)))</f>
        <v/>
      </c>
      <c r="E995" s="22">
        <f>IF(C995="","",INDEX(MERCADORIA!$C$5:$C$22,MATCH(C995,MERCADORIA!$A$5:$A$22,0)))</f>
        <v/>
      </c>
      <c r="F995" s="23" t="n"/>
      <c r="G995" s="24">
        <f>IF(D995="","",INDEX(VALOR!$B$5:$B$8,MATCH(D995,VALOR!$A$5:$A$8,0)))</f>
        <v/>
      </c>
      <c r="H995" s="15">
        <f>IF(OR(G995="",F995=""),0,F995*G995)</f>
        <v/>
      </c>
      <c r="I995" s="20" t="n"/>
      <c r="J995" s="20" t="n"/>
      <c r="K995" s="24">
        <f>IF(OR(O995=0,J995=""),0,INDEX(MAPA!$C$5:$C$14,MATCH(J995,MAPA!$A$5:$A$14,0)))</f>
        <v/>
      </c>
      <c r="L995" s="25">
        <f>H995+K995</f>
        <v/>
      </c>
      <c r="M995" s="20" t="n"/>
      <c r="N995" s="20" t="n"/>
      <c r="O995" s="14">
        <f>IF(A995="",0,IF(COUNTIF($A$5:A995,A995)=1,1,0))</f>
        <v/>
      </c>
    </row>
    <row r="996">
      <c r="A996" s="20" t="n"/>
      <c r="B996" s="21" t="n"/>
      <c r="C996" s="20" t="n"/>
      <c r="D996" s="22">
        <f>IF(C996="","",INDEX(MERCADORIA!$B$5:$B$22,MATCH(C996,MERCADORIA!$A$5:$A$22,0)))</f>
        <v/>
      </c>
      <c r="E996" s="22">
        <f>IF(C996="","",INDEX(MERCADORIA!$C$5:$C$22,MATCH(C996,MERCADORIA!$A$5:$A$22,0)))</f>
        <v/>
      </c>
      <c r="F996" s="23" t="n"/>
      <c r="G996" s="24">
        <f>IF(D996="","",INDEX(VALOR!$B$5:$B$8,MATCH(D996,VALOR!$A$5:$A$8,0)))</f>
        <v/>
      </c>
      <c r="H996" s="15">
        <f>IF(OR(G996="",F996=""),0,F996*G996)</f>
        <v/>
      </c>
      <c r="I996" s="20" t="n"/>
      <c r="J996" s="20" t="n"/>
      <c r="K996" s="24">
        <f>IF(OR(O996=0,J996=""),0,INDEX(MAPA!$C$5:$C$14,MATCH(J996,MAPA!$A$5:$A$14,0)))</f>
        <v/>
      </c>
      <c r="L996" s="25">
        <f>H996+K996</f>
        <v/>
      </c>
      <c r="M996" s="20" t="n"/>
      <c r="N996" s="20" t="n"/>
      <c r="O996" s="14">
        <f>IF(A996="",0,IF(COUNTIF($A$5:A996,A996)=1,1,0))</f>
        <v/>
      </c>
    </row>
    <row r="997">
      <c r="A997" s="20" t="n"/>
      <c r="B997" s="21" t="n"/>
      <c r="C997" s="20" t="n"/>
      <c r="D997" s="22">
        <f>IF(C997="","",INDEX(MERCADORIA!$B$5:$B$22,MATCH(C997,MERCADORIA!$A$5:$A$22,0)))</f>
        <v/>
      </c>
      <c r="E997" s="22">
        <f>IF(C997="","",INDEX(MERCADORIA!$C$5:$C$22,MATCH(C997,MERCADORIA!$A$5:$A$22,0)))</f>
        <v/>
      </c>
      <c r="F997" s="23" t="n"/>
      <c r="G997" s="24">
        <f>IF(D997="","",INDEX(VALOR!$B$5:$B$8,MATCH(D997,VALOR!$A$5:$A$8,0)))</f>
        <v/>
      </c>
      <c r="H997" s="15">
        <f>IF(OR(G997="",F997=""),0,F997*G997)</f>
        <v/>
      </c>
      <c r="I997" s="20" t="n"/>
      <c r="J997" s="20" t="n"/>
      <c r="K997" s="24">
        <f>IF(OR(O997=0,J997=""),0,INDEX(MAPA!$C$5:$C$14,MATCH(J997,MAPA!$A$5:$A$14,0)))</f>
        <v/>
      </c>
      <c r="L997" s="25">
        <f>H997+K997</f>
        <v/>
      </c>
      <c r="M997" s="20" t="n"/>
      <c r="N997" s="20" t="n"/>
      <c r="O997" s="14">
        <f>IF(A997="",0,IF(COUNTIF($A$5:A997,A997)=1,1,0))</f>
        <v/>
      </c>
    </row>
    <row r="998">
      <c r="A998" s="20" t="n"/>
      <c r="B998" s="21" t="n"/>
      <c r="C998" s="20" t="n"/>
      <c r="D998" s="22">
        <f>IF(C998="","",INDEX(MERCADORIA!$B$5:$B$22,MATCH(C998,MERCADORIA!$A$5:$A$22,0)))</f>
        <v/>
      </c>
      <c r="E998" s="22">
        <f>IF(C998="","",INDEX(MERCADORIA!$C$5:$C$22,MATCH(C998,MERCADORIA!$A$5:$A$22,0)))</f>
        <v/>
      </c>
      <c r="F998" s="23" t="n"/>
      <c r="G998" s="24">
        <f>IF(D998="","",INDEX(VALOR!$B$5:$B$8,MATCH(D998,VALOR!$A$5:$A$8,0)))</f>
        <v/>
      </c>
      <c r="H998" s="15">
        <f>IF(OR(G998="",F998=""),0,F998*G998)</f>
        <v/>
      </c>
      <c r="I998" s="20" t="n"/>
      <c r="J998" s="20" t="n"/>
      <c r="K998" s="24">
        <f>IF(OR(O998=0,J998=""),0,INDEX(MAPA!$C$5:$C$14,MATCH(J998,MAPA!$A$5:$A$14,0)))</f>
        <v/>
      </c>
      <c r="L998" s="25">
        <f>H998+K998</f>
        <v/>
      </c>
      <c r="M998" s="20" t="n"/>
      <c r="N998" s="20" t="n"/>
      <c r="O998" s="14">
        <f>IF(A998="",0,IF(COUNTIF($A$5:A998,A998)=1,1,0))</f>
        <v/>
      </c>
    </row>
    <row r="999">
      <c r="A999" s="20" t="n"/>
      <c r="B999" s="21" t="n"/>
      <c r="C999" s="20" t="n"/>
      <c r="D999" s="22">
        <f>IF(C999="","",INDEX(MERCADORIA!$B$5:$B$22,MATCH(C999,MERCADORIA!$A$5:$A$22,0)))</f>
        <v/>
      </c>
      <c r="E999" s="22">
        <f>IF(C999="","",INDEX(MERCADORIA!$C$5:$C$22,MATCH(C999,MERCADORIA!$A$5:$A$22,0)))</f>
        <v/>
      </c>
      <c r="F999" s="23" t="n"/>
      <c r="G999" s="24">
        <f>IF(D999="","",INDEX(VALOR!$B$5:$B$8,MATCH(D999,VALOR!$A$5:$A$8,0)))</f>
        <v/>
      </c>
      <c r="H999" s="15">
        <f>IF(OR(G999="",F999=""),0,F999*G999)</f>
        <v/>
      </c>
      <c r="I999" s="20" t="n"/>
      <c r="J999" s="20" t="n"/>
      <c r="K999" s="24">
        <f>IF(OR(O999=0,J999=""),0,INDEX(MAPA!$C$5:$C$14,MATCH(J999,MAPA!$A$5:$A$14,0)))</f>
        <v/>
      </c>
      <c r="L999" s="25">
        <f>H999+K999</f>
        <v/>
      </c>
      <c r="M999" s="20" t="n"/>
      <c r="N999" s="20" t="n"/>
      <c r="O999" s="14">
        <f>IF(A999="",0,IF(COUNTIF($A$5:A999,A999)=1,1,0))</f>
        <v/>
      </c>
    </row>
    <row r="1000">
      <c r="A1000" s="20" t="n"/>
      <c r="B1000" s="21" t="n"/>
      <c r="C1000" s="20" t="n"/>
      <c r="D1000" s="22">
        <f>IF(C1000="","",INDEX(MERCADORIA!$B$5:$B$22,MATCH(C1000,MERCADORIA!$A$5:$A$22,0)))</f>
        <v/>
      </c>
      <c r="E1000" s="22">
        <f>IF(C1000="","",INDEX(MERCADORIA!$C$5:$C$22,MATCH(C1000,MERCADORIA!$A$5:$A$22,0)))</f>
        <v/>
      </c>
      <c r="F1000" s="23" t="n"/>
      <c r="G1000" s="24">
        <f>IF(D1000="","",INDEX(VALOR!$B$5:$B$8,MATCH(D1000,VALOR!$A$5:$A$8,0)))</f>
        <v/>
      </c>
      <c r="H1000" s="15">
        <f>IF(OR(G1000="",F1000=""),0,F1000*G1000)</f>
        <v/>
      </c>
      <c r="I1000" s="20" t="n"/>
      <c r="J1000" s="20" t="n"/>
      <c r="K1000" s="24">
        <f>IF(OR(O1000=0,J1000=""),0,INDEX(MAPA!$C$5:$C$14,MATCH(J1000,MAPA!$A$5:$A$14,0)))</f>
        <v/>
      </c>
      <c r="L1000" s="25">
        <f>H1000+K1000</f>
        <v/>
      </c>
      <c r="M1000" s="20" t="n"/>
      <c r="N1000" s="20" t="n"/>
      <c r="O1000" s="14">
        <f>IF(A1000="",0,IF(COUNTIF($A$5:A1000,A1000)=1,1,0))</f>
        <v/>
      </c>
    </row>
    <row r="1001">
      <c r="A1001" s="20" t="n"/>
      <c r="B1001" s="21" t="n"/>
      <c r="C1001" s="20" t="n"/>
      <c r="D1001" s="22">
        <f>IF(C1001="","",INDEX(MERCADORIA!$B$5:$B$22,MATCH(C1001,MERCADORIA!$A$5:$A$22,0)))</f>
        <v/>
      </c>
      <c r="E1001" s="22">
        <f>IF(C1001="","",INDEX(MERCADORIA!$C$5:$C$22,MATCH(C1001,MERCADORIA!$A$5:$A$22,0)))</f>
        <v/>
      </c>
      <c r="F1001" s="23" t="n"/>
      <c r="G1001" s="24">
        <f>IF(D1001="","",INDEX(VALOR!$B$5:$B$8,MATCH(D1001,VALOR!$A$5:$A$8,0)))</f>
        <v/>
      </c>
      <c r="H1001" s="15">
        <f>IF(OR(G1001="",F1001=""),0,F1001*G1001)</f>
        <v/>
      </c>
      <c r="I1001" s="20" t="n"/>
      <c r="J1001" s="20" t="n"/>
      <c r="K1001" s="24">
        <f>IF(OR(O1001=0,J1001=""),0,INDEX(MAPA!$C$5:$C$14,MATCH(J1001,MAPA!$A$5:$A$14,0)))</f>
        <v/>
      </c>
      <c r="L1001" s="25">
        <f>H1001+K1001</f>
        <v/>
      </c>
      <c r="M1001" s="20" t="n"/>
      <c r="N1001" s="20" t="n"/>
      <c r="O1001" s="14">
        <f>IF(A1001="",0,IF(COUNTIF($A$5:A1001,A1001)=1,1,0))</f>
        <v/>
      </c>
    </row>
    <row r="1002">
      <c r="A1002" s="20" t="n"/>
      <c r="B1002" s="21" t="n"/>
      <c r="C1002" s="20" t="n"/>
      <c r="D1002" s="22">
        <f>IF(C1002="","",INDEX(MERCADORIA!$B$5:$B$22,MATCH(C1002,MERCADORIA!$A$5:$A$22,0)))</f>
        <v/>
      </c>
      <c r="E1002" s="22">
        <f>IF(C1002="","",INDEX(MERCADORIA!$C$5:$C$22,MATCH(C1002,MERCADORIA!$A$5:$A$22,0)))</f>
        <v/>
      </c>
      <c r="F1002" s="23" t="n"/>
      <c r="G1002" s="24">
        <f>IF(D1002="","",INDEX(VALOR!$B$5:$B$8,MATCH(D1002,VALOR!$A$5:$A$8,0)))</f>
        <v/>
      </c>
      <c r="H1002" s="15">
        <f>IF(OR(G1002="",F1002=""),0,F1002*G1002)</f>
        <v/>
      </c>
      <c r="I1002" s="20" t="n"/>
      <c r="J1002" s="20" t="n"/>
      <c r="K1002" s="24">
        <f>IF(OR(O1002=0,J1002=""),0,INDEX(MAPA!$C$5:$C$14,MATCH(J1002,MAPA!$A$5:$A$14,0)))</f>
        <v/>
      </c>
      <c r="L1002" s="25">
        <f>H1002+K1002</f>
        <v/>
      </c>
      <c r="M1002" s="20" t="n"/>
      <c r="N1002" s="20" t="n"/>
      <c r="O1002" s="14">
        <f>IF(A1002="",0,IF(COUNTIF($A$5:A1002,A1002)=1,1,0))</f>
        <v/>
      </c>
    </row>
    <row r="1003">
      <c r="A1003" s="20" t="n"/>
      <c r="B1003" s="21" t="n"/>
      <c r="C1003" s="20" t="n"/>
      <c r="D1003" s="22">
        <f>IF(C1003="","",INDEX(MERCADORIA!$B$5:$B$22,MATCH(C1003,MERCADORIA!$A$5:$A$22,0)))</f>
        <v/>
      </c>
      <c r="E1003" s="22">
        <f>IF(C1003="","",INDEX(MERCADORIA!$C$5:$C$22,MATCH(C1003,MERCADORIA!$A$5:$A$22,0)))</f>
        <v/>
      </c>
      <c r="F1003" s="23" t="n"/>
      <c r="G1003" s="24">
        <f>IF(D1003="","",INDEX(VALOR!$B$5:$B$8,MATCH(D1003,VALOR!$A$5:$A$8,0)))</f>
        <v/>
      </c>
      <c r="H1003" s="15">
        <f>IF(OR(G1003="",F1003=""),0,F1003*G1003)</f>
        <v/>
      </c>
      <c r="I1003" s="20" t="n"/>
      <c r="J1003" s="20" t="n"/>
      <c r="K1003" s="24">
        <f>IF(OR(O1003=0,J1003=""),0,INDEX(MAPA!$C$5:$C$14,MATCH(J1003,MAPA!$A$5:$A$14,0)))</f>
        <v/>
      </c>
      <c r="L1003" s="25">
        <f>H1003+K1003</f>
        <v/>
      </c>
      <c r="M1003" s="20" t="n"/>
      <c r="N1003" s="20" t="n"/>
      <c r="O1003" s="14">
        <f>IF(A1003="",0,IF(COUNTIF($A$5:A1003,A1003)=1,1,0))</f>
        <v/>
      </c>
    </row>
    <row r="1004">
      <c r="A1004" s="20" t="n"/>
      <c r="B1004" s="21" t="n"/>
      <c r="C1004" s="20" t="n"/>
      <c r="D1004" s="22">
        <f>IF(C1004="","",INDEX(MERCADORIA!$B$5:$B$22,MATCH(C1004,MERCADORIA!$A$5:$A$22,0)))</f>
        <v/>
      </c>
      <c r="E1004" s="22">
        <f>IF(C1004="","",INDEX(MERCADORIA!$C$5:$C$22,MATCH(C1004,MERCADORIA!$A$5:$A$22,0)))</f>
        <v/>
      </c>
      <c r="F1004" s="23" t="n"/>
      <c r="G1004" s="24">
        <f>IF(D1004="","",INDEX(VALOR!$B$5:$B$8,MATCH(D1004,VALOR!$A$5:$A$8,0)))</f>
        <v/>
      </c>
      <c r="H1004" s="15">
        <f>IF(OR(G1004="",F1004=""),0,F1004*G1004)</f>
        <v/>
      </c>
      <c r="I1004" s="20" t="n"/>
      <c r="J1004" s="20" t="n"/>
      <c r="K1004" s="24">
        <f>IF(OR(O1004=0,J1004=""),0,INDEX(MAPA!$C$5:$C$14,MATCH(J1004,MAPA!$A$5:$A$14,0)))</f>
        <v/>
      </c>
      <c r="L1004" s="25">
        <f>H1004+K1004</f>
        <v/>
      </c>
      <c r="M1004" s="20" t="n"/>
      <c r="N1004" s="20" t="n"/>
      <c r="O1004" s="14">
        <f>IF(A1004="",0,IF(COUNTIF($A$5:A1004,A1004)=1,1,0))</f>
        <v/>
      </c>
    </row>
  </sheetData>
  <autoFilter ref="A4:O1004"/>
  <mergeCells count="2">
    <mergeCell ref="A1:O1"/>
    <mergeCell ref="A2:O2"/>
  </mergeCells>
  <dataValidations count="5">
    <dataValidation sqref="C5:C1004" showDropDown="0" showInputMessage="0" showErrorMessage="1" allowBlank="1" errorTitle="Valor inválido" error="Escolha uma opção da lista." promptTitle="Escolha" prompt="Modelo - sabor" type="list">
      <formula1>MERCADORIA!$A$5:$A$22</formula1>
    </dataValidation>
    <dataValidation sqref="I5:I1004" showDropDown="0" showInputMessage="0" showErrorMessage="1" allowBlank="1" errorTitle="Valor inválido" error="Escolha uma opção da lista." promptTitle="Escolha" prompt="PIX, débito ou crédito" type="list">
      <formula1>"PIX,Cartão de débito,Cartão de crédito"</formula1>
    </dataValidation>
    <dataValidation sqref="J5:J1004" showDropDown="0" showInputMessage="0" showErrorMessage="1" allowBlank="1" errorTitle="Valor inválido" error="Escolha uma opção da lista." promptTitle="Escolha" prompt="Quadra/bairro da entrega" type="list">
      <formula1>MAPA!$A$5:$A$14</formula1>
    </dataValidation>
    <dataValidation sqref="M5:M1004" showDropDown="0" showInputMessage="0" showErrorMessage="1" allowBlank="1" errorTitle="Valor inválido" error="Escolha uma opção da lista." promptTitle="Escolha" prompt="Motoboy que levou o pedido" type="list">
      <formula1>ENTREGADOR!$A$5:$A$14</formula1>
    </dataValidation>
    <dataValidation sqref="F5:F1004" showDropDown="0" showInputMessage="0" showErrorMessage="1" allowBlank="0" error="Quantidade entre 1 e 100." type="whole" operator="between">
      <formula1>1</formula1>
      <formula2>100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E8DCC4"/>
    <outlinePr summaryBelow="1" summaryRight="1"/>
    <pageSetUpPr/>
  </sheetPr>
  <dimension ref="A1:I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8" customWidth="1" min="2" max="2"/>
    <col width="30" customWidth="1" min="3" max="3"/>
    <col width="14" customWidth="1" min="4" max="4"/>
    <col width="14" customWidth="1" min="5" max="5"/>
    <col width="16" customWidth="1" min="6" max="6"/>
    <col width="15" customWidth="1" min="7" max="7"/>
    <col width="19" customWidth="1" min="8" max="8"/>
    <col width="16" customWidth="1" min="9" max="9"/>
  </cols>
  <sheetData>
    <row r="1" ht="28" customHeight="1">
      <c r="A1" s="1" t="inlineStr">
        <is>
          <t>MERCADORIA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Estoque por modelo e sabor — vendido e saldo são automáticos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4" ht="30" customHeight="1">
      <c r="A4" s="10" t="inlineStr">
        <is>
          <t>Produto (código)</t>
        </is>
      </c>
      <c r="B4" s="10" t="inlineStr">
        <is>
          <t>Modelo</t>
        </is>
      </c>
      <c r="C4" s="10" t="inlineStr">
        <is>
          <t>Sabor</t>
        </is>
      </c>
      <c r="D4" s="10" t="inlineStr">
        <is>
          <t>Entradas (un.)</t>
        </is>
      </c>
      <c r="E4" s="10" t="inlineStr">
        <is>
          <t>Vendido (un.)</t>
        </is>
      </c>
      <c r="F4" s="10" t="inlineStr">
        <is>
          <t>Estoque atual (un.)</t>
        </is>
      </c>
      <c r="G4" s="10" t="inlineStr">
        <is>
          <t>Valor unit. (R$)</t>
        </is>
      </c>
      <c r="H4" s="10" t="inlineStr">
        <is>
          <t>Valor em estoque (R$)</t>
        </is>
      </c>
      <c r="I4" s="10" t="inlineStr">
        <is>
          <t>Faturado (R$)</t>
        </is>
      </c>
    </row>
    <row r="5">
      <c r="A5" s="13">
        <f>B5&amp;" - "&amp;C5</f>
        <v/>
      </c>
      <c r="B5" s="13" t="inlineStr">
        <is>
          <t>V55</t>
        </is>
      </c>
      <c r="C5" s="13" t="inlineStr">
        <is>
          <t>Pineapple Ice</t>
        </is>
      </c>
      <c r="D5" s="23" t="n"/>
      <c r="E5" s="26">
        <f>SUMIFS(VENDAS!$F$5:$F$1004,VENDAS!$C$5:$C$1004,A5)</f>
        <v/>
      </c>
      <c r="F5" s="14">
        <f>N(D5)-E5</f>
        <v/>
      </c>
      <c r="G5" s="24">
        <f>INDEX(VALOR!$B$5:$B$8,MATCH(B5,VALOR!$A$5:$A$8,0))</f>
        <v/>
      </c>
      <c r="H5" s="15">
        <f>MAX(F5,0)*G5</f>
        <v/>
      </c>
      <c r="I5" s="24">
        <f>SUMIFS(VENDAS!$H$5:$H$1004,VENDAS!$C$5:$C$1004,A5)</f>
        <v/>
      </c>
    </row>
    <row r="6">
      <c r="A6" s="13">
        <f>B6&amp;" - "&amp;C6</f>
        <v/>
      </c>
      <c r="B6" s="13" t="inlineStr">
        <is>
          <t>V55</t>
        </is>
      </c>
      <c r="C6" s="13" t="inlineStr">
        <is>
          <t>Uva Ice</t>
        </is>
      </c>
      <c r="D6" s="23" t="n"/>
      <c r="E6" s="26">
        <f>SUMIFS(VENDAS!$F$5:$F$1004,VENDAS!$C$5:$C$1004,A6)</f>
        <v/>
      </c>
      <c r="F6" s="14">
        <f>N(D6)-E6</f>
        <v/>
      </c>
      <c r="G6" s="24">
        <f>INDEX(VALOR!$B$5:$B$8,MATCH(B6,VALOR!$A$5:$A$8,0))</f>
        <v/>
      </c>
      <c r="H6" s="15">
        <f>MAX(F6,0)*G6</f>
        <v/>
      </c>
      <c r="I6" s="24">
        <f>SUMIFS(VENDAS!$H$5:$H$1004,VENDAS!$C$5:$C$1004,A6)</f>
        <v/>
      </c>
    </row>
    <row r="7">
      <c r="A7" s="13">
        <f>B7&amp;" - "&amp;C7</f>
        <v/>
      </c>
      <c r="B7" s="13" t="inlineStr">
        <is>
          <t>V55</t>
        </is>
      </c>
      <c r="C7" s="13" t="inlineStr">
        <is>
          <t>Icy Mint</t>
        </is>
      </c>
      <c r="D7" s="23" t="n"/>
      <c r="E7" s="26">
        <f>SUMIFS(VENDAS!$F$5:$F$1004,VENDAS!$C$5:$C$1004,A7)</f>
        <v/>
      </c>
      <c r="F7" s="14">
        <f>N(D7)-E7</f>
        <v/>
      </c>
      <c r="G7" s="24">
        <f>INDEX(VALOR!$B$5:$B$8,MATCH(B7,VALOR!$A$5:$A$8,0))</f>
        <v/>
      </c>
      <c r="H7" s="15">
        <f>MAX(F7,0)*G7</f>
        <v/>
      </c>
      <c r="I7" s="24">
        <f>SUMIFS(VENDAS!$H$5:$H$1004,VENDAS!$C$5:$C$1004,A7)</f>
        <v/>
      </c>
    </row>
    <row r="8">
      <c r="A8" s="13">
        <f>B8&amp;" - "&amp;C8</f>
        <v/>
      </c>
      <c r="B8" s="13" t="inlineStr">
        <is>
          <t>V155</t>
        </is>
      </c>
      <c r="C8" s="13" t="inlineStr">
        <is>
          <t>Pineapple Ice</t>
        </is>
      </c>
      <c r="D8" s="23" t="n"/>
      <c r="E8" s="26">
        <f>SUMIFS(VENDAS!$F$5:$F$1004,VENDAS!$C$5:$C$1004,A8)</f>
        <v/>
      </c>
      <c r="F8" s="14">
        <f>N(D8)-E8</f>
        <v/>
      </c>
      <c r="G8" s="24">
        <f>INDEX(VALOR!$B$5:$B$8,MATCH(B8,VALOR!$A$5:$A$8,0))</f>
        <v/>
      </c>
      <c r="H8" s="15">
        <f>MAX(F8,0)*G8</f>
        <v/>
      </c>
      <c r="I8" s="24">
        <f>SUMIFS(VENDAS!$H$5:$H$1004,VENDAS!$C$5:$C$1004,A8)</f>
        <v/>
      </c>
    </row>
    <row r="9">
      <c r="A9" s="13">
        <f>B9&amp;" - "&amp;C9</f>
        <v/>
      </c>
      <c r="B9" s="13" t="inlineStr">
        <is>
          <t>V155</t>
        </is>
      </c>
      <c r="C9" s="13" t="inlineStr">
        <is>
          <t>Menthol</t>
        </is>
      </c>
      <c r="D9" s="23" t="n"/>
      <c r="E9" s="26">
        <f>SUMIFS(VENDAS!$F$5:$F$1004,VENDAS!$C$5:$C$1004,A9)</f>
        <v/>
      </c>
      <c r="F9" s="14">
        <f>N(D9)-E9</f>
        <v/>
      </c>
      <c r="G9" s="24">
        <f>INDEX(VALOR!$B$5:$B$8,MATCH(B9,VALOR!$A$5:$A$8,0))</f>
        <v/>
      </c>
      <c r="H9" s="15">
        <f>MAX(F9,0)*G9</f>
        <v/>
      </c>
      <c r="I9" s="24">
        <f>SUMIFS(VENDAS!$H$5:$H$1004,VENDAS!$C$5:$C$1004,A9)</f>
        <v/>
      </c>
    </row>
    <row r="10">
      <c r="A10" s="13">
        <f>B10&amp;" - "&amp;C10</f>
        <v/>
      </c>
      <c r="B10" s="13" t="inlineStr">
        <is>
          <t>V155</t>
        </is>
      </c>
      <c r="C10" s="13" t="inlineStr">
        <is>
          <t>Grape Ice</t>
        </is>
      </c>
      <c r="D10" s="23" t="n"/>
      <c r="E10" s="26">
        <f>SUMIFS(VENDAS!$F$5:$F$1004,VENDAS!$C$5:$C$1004,A10)</f>
        <v/>
      </c>
      <c r="F10" s="14">
        <f>N(D10)-E10</f>
        <v/>
      </c>
      <c r="G10" s="24">
        <f>INDEX(VALOR!$B$5:$B$8,MATCH(B10,VALOR!$A$5:$A$8,0))</f>
        <v/>
      </c>
      <c r="H10" s="15">
        <f>MAX(F10,0)*G10</f>
        <v/>
      </c>
      <c r="I10" s="24">
        <f>SUMIFS(VENDAS!$H$5:$H$1004,VENDAS!$C$5:$C$1004,A10)</f>
        <v/>
      </c>
    </row>
    <row r="11">
      <c r="A11" s="13">
        <f>B11&amp;" - "&amp;C11</f>
        <v/>
      </c>
      <c r="B11" s="13" t="inlineStr">
        <is>
          <t>V155</t>
        </is>
      </c>
      <c r="C11" s="13" t="inlineStr">
        <is>
          <t>Watermelon Ice</t>
        </is>
      </c>
      <c r="D11" s="23" t="n"/>
      <c r="E11" s="26">
        <f>SUMIFS(VENDAS!$F$5:$F$1004,VENDAS!$C$5:$C$1004,A11)</f>
        <v/>
      </c>
      <c r="F11" s="14">
        <f>N(D11)-E11</f>
        <v/>
      </c>
      <c r="G11" s="24">
        <f>INDEX(VALOR!$B$5:$B$8,MATCH(B11,VALOR!$A$5:$A$8,0))</f>
        <v/>
      </c>
      <c r="H11" s="15">
        <f>MAX(F11,0)*G11</f>
        <v/>
      </c>
      <c r="I11" s="24">
        <f>SUMIFS(VENDAS!$H$5:$H$1004,VENDAS!$C$5:$C$1004,A11)</f>
        <v/>
      </c>
    </row>
    <row r="12">
      <c r="A12" s="13">
        <f>B12&amp;" - "&amp;C12</f>
        <v/>
      </c>
      <c r="B12" s="13" t="inlineStr">
        <is>
          <t>V155</t>
        </is>
      </c>
      <c r="C12" s="13" t="inlineStr">
        <is>
          <t>Icy Mint</t>
        </is>
      </c>
      <c r="D12" s="23" t="n"/>
      <c r="E12" s="26">
        <f>SUMIFS(VENDAS!$F$5:$F$1004,VENDAS!$C$5:$C$1004,A12)</f>
        <v/>
      </c>
      <c r="F12" s="14">
        <f>N(D12)-E12</f>
        <v/>
      </c>
      <c r="G12" s="24">
        <f>INDEX(VALOR!$B$5:$B$8,MATCH(B12,VALOR!$A$5:$A$8,0))</f>
        <v/>
      </c>
      <c r="H12" s="15">
        <f>MAX(F12,0)*G12</f>
        <v/>
      </c>
      <c r="I12" s="24">
        <f>SUMIFS(VENDAS!$H$5:$H$1004,VENDAS!$C$5:$C$1004,A12)</f>
        <v/>
      </c>
    </row>
    <row r="13">
      <c r="A13" s="13">
        <f>B13&amp;" - "&amp;C13</f>
        <v/>
      </c>
      <c r="B13" s="13" t="inlineStr">
        <is>
          <t>V400 Mix Slim</t>
        </is>
      </c>
      <c r="C13" s="13" t="inlineStr">
        <is>
          <t>Icy Mint + Peach Grape</t>
        </is>
      </c>
      <c r="D13" s="23" t="n"/>
      <c r="E13" s="26">
        <f>SUMIFS(VENDAS!$F$5:$F$1004,VENDAS!$C$5:$C$1004,A13)</f>
        <v/>
      </c>
      <c r="F13" s="14">
        <f>N(D13)-E13</f>
        <v/>
      </c>
      <c r="G13" s="24">
        <f>INDEX(VALOR!$B$5:$B$8,MATCH(B13,VALOR!$A$5:$A$8,0))</f>
        <v/>
      </c>
      <c r="H13" s="15">
        <f>MAX(F13,0)*G13</f>
        <v/>
      </c>
      <c r="I13" s="24">
        <f>SUMIFS(VENDAS!$H$5:$H$1004,VENDAS!$C$5:$C$1004,A13)</f>
        <v/>
      </c>
    </row>
    <row r="14">
      <c r="A14" s="13">
        <f>B14&amp;" - "&amp;C14</f>
        <v/>
      </c>
      <c r="B14" s="13" t="inlineStr">
        <is>
          <t>V400 Mix Slim</t>
        </is>
      </c>
      <c r="C14" s="13" t="inlineStr">
        <is>
          <t>Menthol + Mighty Melon</t>
        </is>
      </c>
      <c r="D14" s="23" t="n"/>
      <c r="E14" s="26">
        <f>SUMIFS(VENDAS!$F$5:$F$1004,VENDAS!$C$5:$C$1004,A14)</f>
        <v/>
      </c>
      <c r="F14" s="14">
        <f>N(D14)-E14</f>
        <v/>
      </c>
      <c r="G14" s="24">
        <f>INDEX(VALOR!$B$5:$B$8,MATCH(B14,VALOR!$A$5:$A$8,0))</f>
        <v/>
      </c>
      <c r="H14" s="15">
        <f>MAX(F14,0)*G14</f>
        <v/>
      </c>
      <c r="I14" s="24">
        <f>SUMIFS(VENDAS!$H$5:$H$1004,VENDAS!$C$5:$C$1004,A14)</f>
        <v/>
      </c>
    </row>
    <row r="15">
      <c r="A15" s="13">
        <f>B15&amp;" - "&amp;C15</f>
        <v/>
      </c>
      <c r="B15" s="13" t="inlineStr">
        <is>
          <t>V400 Mix Slim</t>
        </is>
      </c>
      <c r="C15" s="13" t="inlineStr">
        <is>
          <t>Mango + Passion Fruit Guava</t>
        </is>
      </c>
      <c r="D15" s="23" t="n"/>
      <c r="E15" s="26">
        <f>SUMIFS(VENDAS!$F$5:$F$1004,VENDAS!$C$5:$C$1004,A15)</f>
        <v/>
      </c>
      <c r="F15" s="14">
        <f>N(D15)-E15</f>
        <v/>
      </c>
      <c r="G15" s="24">
        <f>INDEX(VALOR!$B$5:$B$8,MATCH(B15,VALOR!$A$5:$A$8,0))</f>
        <v/>
      </c>
      <c r="H15" s="15">
        <f>MAX(F15,0)*G15</f>
        <v/>
      </c>
      <c r="I15" s="24">
        <f>SUMIFS(VENDAS!$H$5:$H$1004,VENDAS!$C$5:$C$1004,A15)</f>
        <v/>
      </c>
    </row>
    <row r="16">
      <c r="A16" s="13">
        <f>B16&amp;" - "&amp;C16</f>
        <v/>
      </c>
      <c r="B16" s="13" t="inlineStr">
        <is>
          <t>V400 Mix Slim</t>
        </is>
      </c>
      <c r="C16" s="13" t="inlineStr">
        <is>
          <t>Strawberry Grape Ice + Kiwi Watermelon</t>
        </is>
      </c>
      <c r="D16" s="23" t="n"/>
      <c r="E16" s="26">
        <f>SUMIFS(VENDAS!$F$5:$F$1004,VENDAS!$C$5:$C$1004,A16)</f>
        <v/>
      </c>
      <c r="F16" s="14">
        <f>N(D16)-E16</f>
        <v/>
      </c>
      <c r="G16" s="24">
        <f>INDEX(VALOR!$B$5:$B$8,MATCH(B16,VALOR!$A$5:$A$8,0))</f>
        <v/>
      </c>
      <c r="H16" s="15">
        <f>MAX(F16,0)*G16</f>
        <v/>
      </c>
      <c r="I16" s="24">
        <f>SUMIFS(VENDAS!$H$5:$H$1004,VENDAS!$C$5:$C$1004,A16)</f>
        <v/>
      </c>
    </row>
    <row r="17">
      <c r="A17" s="13">
        <f>B17&amp;" - "&amp;C17</f>
        <v/>
      </c>
      <c r="B17" s="13" t="inlineStr">
        <is>
          <t>V400 Mix Slim</t>
        </is>
      </c>
      <c r="C17" s="13" t="inlineStr">
        <is>
          <t>Cherry + Grape</t>
        </is>
      </c>
      <c r="D17" s="23" t="n"/>
      <c r="E17" s="26">
        <f>SUMIFS(VENDAS!$F$5:$F$1004,VENDAS!$C$5:$C$1004,A17)</f>
        <v/>
      </c>
      <c r="F17" s="14">
        <f>N(D17)-E17</f>
        <v/>
      </c>
      <c r="G17" s="24">
        <f>INDEX(VALOR!$B$5:$B$8,MATCH(B17,VALOR!$A$5:$A$8,0))</f>
        <v/>
      </c>
      <c r="H17" s="15">
        <f>MAX(F17,0)*G17</f>
        <v/>
      </c>
      <c r="I17" s="24">
        <f>SUMIFS(VENDAS!$H$5:$H$1004,VENDAS!$C$5:$C$1004,A17)</f>
        <v/>
      </c>
    </row>
    <row r="18">
      <c r="A18" s="13">
        <f>B18&amp;" - "&amp;C18</f>
        <v/>
      </c>
      <c r="B18" s="13" t="inlineStr">
        <is>
          <t>Elfbar Pro 40K</t>
        </is>
      </c>
      <c r="C18" s="13" t="inlineStr">
        <is>
          <t>Sour Apple Ice</t>
        </is>
      </c>
      <c r="D18" s="23" t="n"/>
      <c r="E18" s="26">
        <f>SUMIFS(VENDAS!$F$5:$F$1004,VENDAS!$C$5:$C$1004,A18)</f>
        <v/>
      </c>
      <c r="F18" s="14">
        <f>N(D18)-E18</f>
        <v/>
      </c>
      <c r="G18" s="24">
        <f>INDEX(VALOR!$B$5:$B$8,MATCH(B18,VALOR!$A$5:$A$8,0))</f>
        <v/>
      </c>
      <c r="H18" s="15">
        <f>MAX(F18,0)*G18</f>
        <v/>
      </c>
      <c r="I18" s="24">
        <f>SUMIFS(VENDAS!$H$5:$H$1004,VENDAS!$C$5:$C$1004,A18)</f>
        <v/>
      </c>
    </row>
    <row r="19">
      <c r="A19" s="13">
        <f>B19&amp;" - "&amp;C19</f>
        <v/>
      </c>
      <c r="B19" s="13" t="inlineStr">
        <is>
          <t>Elfbar Pro 40K</t>
        </is>
      </c>
      <c r="C19" s="13" t="inlineStr">
        <is>
          <t>Strawberry Blend</t>
        </is>
      </c>
      <c r="D19" s="23" t="n"/>
      <c r="E19" s="26">
        <f>SUMIFS(VENDAS!$F$5:$F$1004,VENDAS!$C$5:$C$1004,A19)</f>
        <v/>
      </c>
      <c r="F19" s="14">
        <f>N(D19)-E19</f>
        <v/>
      </c>
      <c r="G19" s="24">
        <f>INDEX(VALOR!$B$5:$B$8,MATCH(B19,VALOR!$A$5:$A$8,0))</f>
        <v/>
      </c>
      <c r="H19" s="15">
        <f>MAX(F19,0)*G19</f>
        <v/>
      </c>
      <c r="I19" s="24">
        <f>SUMIFS(VENDAS!$H$5:$H$1004,VENDAS!$C$5:$C$1004,A19)</f>
        <v/>
      </c>
    </row>
    <row r="20">
      <c r="A20" s="13">
        <f>B20&amp;" - "&amp;C20</f>
        <v/>
      </c>
      <c r="B20" s="13" t="inlineStr">
        <is>
          <t>Elfbar Pro 40K</t>
        </is>
      </c>
      <c r="C20" s="13" t="inlineStr">
        <is>
          <t>Pink Lemonade</t>
        </is>
      </c>
      <c r="D20" s="23" t="n"/>
      <c r="E20" s="26">
        <f>SUMIFS(VENDAS!$F$5:$F$1004,VENDAS!$C$5:$C$1004,A20)</f>
        <v/>
      </c>
      <c r="F20" s="14">
        <f>N(D20)-E20</f>
        <v/>
      </c>
      <c r="G20" s="24">
        <f>INDEX(VALOR!$B$5:$B$8,MATCH(B20,VALOR!$A$5:$A$8,0))</f>
        <v/>
      </c>
      <c r="H20" s="15">
        <f>MAX(F20,0)*G20</f>
        <v/>
      </c>
      <c r="I20" s="24">
        <f>SUMIFS(VENDAS!$H$5:$H$1004,VENDAS!$C$5:$C$1004,A20)</f>
        <v/>
      </c>
    </row>
    <row r="21">
      <c r="A21" s="13">
        <f>B21&amp;" - "&amp;C21</f>
        <v/>
      </c>
      <c r="B21" s="13" t="inlineStr">
        <is>
          <t>Elfbar Pro 40K</t>
        </is>
      </c>
      <c r="C21" s="13" t="inlineStr">
        <is>
          <t>Watermelon + Peach Frost</t>
        </is>
      </c>
      <c r="D21" s="23" t="n"/>
      <c r="E21" s="26">
        <f>SUMIFS(VENDAS!$F$5:$F$1004,VENDAS!$C$5:$C$1004,A21)</f>
        <v/>
      </c>
      <c r="F21" s="14">
        <f>N(D21)-E21</f>
        <v/>
      </c>
      <c r="G21" s="24">
        <f>INDEX(VALOR!$B$5:$B$8,MATCH(B21,VALOR!$A$5:$A$8,0))</f>
        <v/>
      </c>
      <c r="H21" s="15">
        <f>MAX(F21,0)*G21</f>
        <v/>
      </c>
      <c r="I21" s="24">
        <f>SUMIFS(VENDAS!$H$5:$H$1004,VENDAS!$C$5:$C$1004,A21)</f>
        <v/>
      </c>
    </row>
    <row r="22">
      <c r="A22" s="13">
        <f>B22&amp;" - "&amp;C22</f>
        <v/>
      </c>
      <c r="B22" s="13" t="inlineStr">
        <is>
          <t>Elfbar Pro 40K</t>
        </is>
      </c>
      <c r="C22" s="13" t="inlineStr">
        <is>
          <t>Tropical Baja</t>
        </is>
      </c>
      <c r="D22" s="23" t="n"/>
      <c r="E22" s="26">
        <f>SUMIFS(VENDAS!$F$5:$F$1004,VENDAS!$C$5:$C$1004,A22)</f>
        <v/>
      </c>
      <c r="F22" s="14">
        <f>N(D22)-E22</f>
        <v/>
      </c>
      <c r="G22" s="24">
        <f>INDEX(VALOR!$B$5:$B$8,MATCH(B22,VALOR!$A$5:$A$8,0))</f>
        <v/>
      </c>
      <c r="H22" s="15">
        <f>MAX(F22,0)*G22</f>
        <v/>
      </c>
      <c r="I22" s="24">
        <f>SUMIFS(VENDAS!$H$5:$H$1004,VENDAS!$C$5:$C$1004,A22)</f>
        <v/>
      </c>
    </row>
    <row r="23">
      <c r="A23" s="12" t="inlineStr">
        <is>
          <t>TOTAL</t>
        </is>
      </c>
      <c r="B23" s="27" t="n"/>
      <c r="C23" s="27" t="n"/>
      <c r="D23" s="12">
        <f>SUM(D5:D22)</f>
        <v/>
      </c>
      <c r="E23" s="12">
        <f>SUM(E5:E22)</f>
        <v/>
      </c>
      <c r="F23" s="12">
        <f>SUM(F5:F22)</f>
        <v/>
      </c>
      <c r="G23" s="27" t="n"/>
      <c r="H23" s="16">
        <f>SUM(H5:H22)</f>
        <v/>
      </c>
      <c r="I23" s="16">
        <f>SUM(I5:I22)</f>
        <v/>
      </c>
    </row>
    <row r="25">
      <c r="A25" s="19" t="inlineStr">
        <is>
          <t>Vermelho = estoque negativo (vendeu mais do que entrou). Amarelo = 3 unidades ou menos.</t>
        </is>
      </c>
    </row>
  </sheetData>
  <mergeCells count="2">
    <mergeCell ref="A1:I1"/>
    <mergeCell ref="A2:I2"/>
  </mergeCells>
  <conditionalFormatting sqref="F5:F22">
    <cfRule type="cellIs" priority="1" operator="lessThan" dxfId="1">
      <formula>0</formula>
    </cfRule>
    <cfRule type="expression" priority="2" dxfId="2">
      <formula>AND(F5&gt;=0,F5&lt;=3,N(D5)&gt;0)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8DCC4"/>
    <outlinePr summaryBelow="1" summaryRight="1"/>
    <pageSetUpPr/>
  </sheetPr>
  <dimension ref="A1:E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  <col width="16" customWidth="1" min="4" max="4"/>
    <col width="12" customWidth="1" min="5" max="5"/>
  </cols>
  <sheetData>
    <row r="1" ht="28" customHeight="1">
      <c r="A1" s="1" t="inlineStr">
        <is>
          <t>VALOR</t>
        </is>
      </c>
      <c r="B1" s="2" t="n"/>
      <c r="C1" s="2" t="n"/>
      <c r="D1" s="2" t="n"/>
      <c r="E1" s="2" t="n"/>
    </row>
    <row r="2">
      <c r="A2" s="3" t="inlineStr">
        <is>
          <t>Preço de cada unidade por modelo</t>
        </is>
      </c>
      <c r="B2" s="2" t="n"/>
      <c r="C2" s="2" t="n"/>
      <c r="D2" s="2" t="n"/>
      <c r="E2" s="2" t="n"/>
    </row>
    <row r="4" ht="30" customHeight="1">
      <c r="A4" s="10" t="inlineStr">
        <is>
          <t>Modelo</t>
        </is>
      </c>
      <c r="B4" s="10" t="inlineStr">
        <is>
          <t>Preço de venda (R$/un.)</t>
        </is>
      </c>
      <c r="C4" s="10" t="inlineStr">
        <is>
          <t>Custo (R$/un.)</t>
        </is>
      </c>
      <c r="D4" s="10" t="inlineStr">
        <is>
          <t>Lucro (R$/un.)</t>
        </is>
      </c>
      <c r="E4" s="10" t="inlineStr">
        <is>
          <t>Margem</t>
        </is>
      </c>
    </row>
    <row r="5">
      <c r="A5" s="13" t="inlineStr">
        <is>
          <t>V55</t>
        </is>
      </c>
      <c r="B5" s="28" t="n">
        <v>85</v>
      </c>
      <c r="C5" s="28" t="n"/>
      <c r="D5" s="15">
        <f>IF(C5="","",B5-C5)</f>
        <v/>
      </c>
      <c r="E5" s="29">
        <f>IF(OR(C5="",B5=0),"",D5/B5)</f>
        <v/>
      </c>
    </row>
    <row r="6">
      <c r="A6" s="13" t="inlineStr">
        <is>
          <t>V155</t>
        </is>
      </c>
      <c r="B6" s="28" t="n">
        <v>110</v>
      </c>
      <c r="C6" s="28" t="n"/>
      <c r="D6" s="15">
        <f>IF(C6="","",B6-C6)</f>
        <v/>
      </c>
      <c r="E6" s="29">
        <f>IF(OR(C6="",B6=0),"",D6/B6)</f>
        <v/>
      </c>
    </row>
    <row r="7">
      <c r="A7" s="13" t="inlineStr">
        <is>
          <t>V400 Mix Slim</t>
        </is>
      </c>
      <c r="B7" s="28" t="n">
        <v>140</v>
      </c>
      <c r="C7" s="28" t="n"/>
      <c r="D7" s="15">
        <f>IF(C7="","",B7-C7)</f>
        <v/>
      </c>
      <c r="E7" s="29">
        <f>IF(OR(C7="",B7=0),"",D7/B7)</f>
        <v/>
      </c>
    </row>
    <row r="8">
      <c r="A8" s="13" t="inlineStr">
        <is>
          <t>Elfbar Pro 40K</t>
        </is>
      </c>
      <c r="B8" s="28" t="n">
        <v>140</v>
      </c>
      <c r="C8" s="28" t="n"/>
      <c r="D8" s="15">
        <f>IF(C8="","",B8-C8)</f>
        <v/>
      </c>
      <c r="E8" s="29">
        <f>IF(OR(C8="",B8=0),"",D8/B8)</f>
        <v/>
      </c>
    </row>
  </sheetData>
  <mergeCells count="2">
    <mergeCell ref="A2:E2"/>
    <mergeCell ref="A1:E1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2A2C30"/>
    <outlinePr summaryBelow="1" summaryRight="1"/>
    <pageSetUpPr/>
  </sheetPr>
  <dimension ref="A1:T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1" customWidth="1" min="4" max="4"/>
    <col width="11" customWidth="1" min="5" max="5"/>
    <col width="13" customWidth="1" min="6" max="6"/>
    <col width="3" customWidth="1" min="7" max="7"/>
    <col width="10" customWidth="1" min="8" max="8"/>
    <col width="12" customWidth="1" min="9" max="9"/>
    <col width="14" customWidth="1" min="10" max="10"/>
    <col width="30" customWidth="1" min="11" max="11"/>
    <col width="10" customWidth="1" min="12" max="12"/>
    <col width="9" customWidth="1" min="13" max="13"/>
    <col width="9" customWidth="1" min="14" max="14"/>
    <col width="13" customWidth="1" min="15" max="15"/>
    <col width="14" customWidth="1" min="16" max="16"/>
    <col width="15" customWidth="1" min="17" max="17"/>
    <col width="15" customWidth="1" min="18" max="18"/>
    <col width="12" customWidth="1" min="19" max="19"/>
    <col width="13" customWidth="1" min="20" max="20"/>
  </cols>
  <sheetData>
    <row r="1" ht="28" customHeight="1">
      <c r="A1" s="1" t="inlineStr">
        <is>
          <t>ENTREGADOR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3" t="inlineStr">
        <is>
          <t>Motoboys, entregas e modelos entregues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4" ht="30" customHeight="1">
      <c r="A4" s="10" t="inlineStr">
        <is>
          <t>Motoboy</t>
        </is>
      </c>
      <c r="B4" s="10" t="inlineStr">
        <is>
          <t>Telefone</t>
        </is>
      </c>
      <c r="C4" s="10" t="inlineStr">
        <is>
          <t>Pedidos entregues</t>
        </is>
      </c>
      <c r="D4" s="10" t="inlineStr">
        <is>
          <t>Unidades</t>
        </is>
      </c>
      <c r="H4" s="10" t="inlineStr">
        <is>
          <t>Nº pedido</t>
        </is>
      </c>
      <c r="I4" s="10" t="inlineStr">
        <is>
          <t>Data</t>
        </is>
      </c>
      <c r="J4" s="10" t="inlineStr">
        <is>
          <t>Motoboy</t>
        </is>
      </c>
      <c r="K4" s="10" t="inlineStr">
        <is>
          <t>Região</t>
        </is>
      </c>
      <c r="L4" s="10" t="inlineStr">
        <is>
          <t>Unidades</t>
        </is>
      </c>
      <c r="M4" s="10" t="inlineStr">
        <is>
          <t>V55</t>
        </is>
      </c>
      <c r="N4" s="10" t="inlineStr">
        <is>
          <t>V155</t>
        </is>
      </c>
      <c r="O4" s="10" t="inlineStr">
        <is>
          <t>V400 Mix Slim</t>
        </is>
      </c>
      <c r="P4" s="10" t="inlineStr">
        <is>
          <t>Elfbar Pro 40K</t>
        </is>
      </c>
      <c r="Q4" s="10" t="inlineStr">
        <is>
          <t>Valor pedido (R$)</t>
        </is>
      </c>
      <c r="R4" s="10" t="inlineStr">
        <is>
          <t>Taxa entrega (R$)</t>
        </is>
      </c>
      <c r="S4" s="10" t="inlineStr">
        <is>
          <t>Status</t>
        </is>
      </c>
      <c r="T4" s="10" t="inlineStr">
        <is>
          <t>Horário entrega</t>
        </is>
      </c>
    </row>
    <row r="5">
      <c r="A5" s="20" t="inlineStr">
        <is>
          <t>Motoboy 1</t>
        </is>
      </c>
      <c r="B5" s="20" t="n"/>
      <c r="C5" s="14">
        <f>IF(A5="","",COUNTIFS($J$5:$J$504,A5,$S$5:$S$504,"Entregue"))</f>
        <v/>
      </c>
      <c r="D5" s="14">
        <f>IF(A5="","",SUMIFS($L$5:$L$504,$J$5:$J$504,A5,$S$5:$S$504,"Entregue"))</f>
        <v/>
      </c>
      <c r="H5" s="20" t="n">
        <v>1</v>
      </c>
      <c r="I5" s="30">
        <f>IF(H5="","",IFERROR(INDEX(VENDAS!$B$5:$B$1004,MATCH(H5,VENDAS!$A$5:$A$1004,0)),"não lançado"))</f>
        <v/>
      </c>
      <c r="J5" s="22">
        <f>IF(H5="","",IFERROR(INDEX(VENDAS!$M$5:$M$1004,MATCH(H5,VENDAS!$A$5:$A$1004,0))&amp;"",""))</f>
        <v/>
      </c>
      <c r="K5" s="22">
        <f>IF(H5="","",IFERROR(INDEX(VENDAS!$J$5:$J$1004,MATCH(H5,VENDAS!$A$5:$A$1004,0))&amp;"",""))</f>
        <v/>
      </c>
      <c r="L5" s="26">
        <f>IF(H5="","",SUMIFS(VENDAS!$F$5:$F$1004,VENDAS!$A$5:$A$1004,H5))</f>
        <v/>
      </c>
      <c r="M5" s="26">
        <f>IF(H5="","",SUMIFS(VENDAS!$F$5:$F$1004,VENDAS!$A$5:$A$1004,H5,VENDAS!$D$5:$D$1004,M$4))</f>
        <v/>
      </c>
      <c r="N5" s="26">
        <f>IF(H5="","",SUMIFS(VENDAS!$F$5:$F$1004,VENDAS!$A$5:$A$1004,H5,VENDAS!$D$5:$D$1004,N$4))</f>
        <v/>
      </c>
      <c r="O5" s="26">
        <f>IF(H5="","",SUMIFS(VENDAS!$F$5:$F$1004,VENDAS!$A$5:$A$1004,H5,VENDAS!$D$5:$D$1004,O$4))</f>
        <v/>
      </c>
      <c r="P5" s="26">
        <f>IF(H5="","",SUMIFS(VENDAS!$F$5:$F$1004,VENDAS!$A$5:$A$1004,H5,VENDAS!$D$5:$D$1004,P$4))</f>
        <v/>
      </c>
      <c r="Q5" s="24">
        <f>IF(H5="","",SUMIFS(VENDAS!$H$5:$H$1004,VENDAS!$A$5:$A$1004,H5))</f>
        <v/>
      </c>
      <c r="R5" s="24">
        <f>IF(H5="","",SUMIFS(VENDAS!$K$5:$K$1004,VENDAS!$A$5:$A$1004,H5))</f>
        <v/>
      </c>
      <c r="S5" s="20" t="inlineStr">
        <is>
          <t>Entregue</t>
        </is>
      </c>
      <c r="T5" s="31" t="n"/>
    </row>
    <row r="6">
      <c r="A6" s="20" t="inlineStr">
        <is>
          <t>Motoboy 2</t>
        </is>
      </c>
      <c r="B6" s="20" t="n"/>
      <c r="C6" s="14">
        <f>IF(A6="","",COUNTIFS($J$5:$J$504,A6,$S$5:$S$504,"Entregue"))</f>
        <v/>
      </c>
      <c r="D6" s="14">
        <f>IF(A6="","",SUMIFS($L$5:$L$504,$J$5:$J$504,A6,$S$5:$S$504,"Entregue"))</f>
        <v/>
      </c>
      <c r="H6" s="20" t="n"/>
      <c r="I6" s="30">
        <f>IF(H6="","",IFERROR(INDEX(VENDAS!$B$5:$B$1004,MATCH(H6,VENDAS!$A$5:$A$1004,0)),"não lançado"))</f>
        <v/>
      </c>
      <c r="J6" s="22">
        <f>IF(H6="","",IFERROR(INDEX(VENDAS!$M$5:$M$1004,MATCH(H6,VENDAS!$A$5:$A$1004,0))&amp;"",""))</f>
        <v/>
      </c>
      <c r="K6" s="22">
        <f>IF(H6="","",IFERROR(INDEX(VENDAS!$J$5:$J$1004,MATCH(H6,VENDAS!$A$5:$A$1004,0))&amp;"",""))</f>
        <v/>
      </c>
      <c r="L6" s="26">
        <f>IF(H6="","",SUMIFS(VENDAS!$F$5:$F$1004,VENDAS!$A$5:$A$1004,H6))</f>
        <v/>
      </c>
      <c r="M6" s="26">
        <f>IF(H6="","",SUMIFS(VENDAS!$F$5:$F$1004,VENDAS!$A$5:$A$1004,H6,VENDAS!$D$5:$D$1004,M$4))</f>
        <v/>
      </c>
      <c r="N6" s="26">
        <f>IF(H6="","",SUMIFS(VENDAS!$F$5:$F$1004,VENDAS!$A$5:$A$1004,H6,VENDAS!$D$5:$D$1004,N$4))</f>
        <v/>
      </c>
      <c r="O6" s="26">
        <f>IF(H6="","",SUMIFS(VENDAS!$F$5:$F$1004,VENDAS!$A$5:$A$1004,H6,VENDAS!$D$5:$D$1004,O$4))</f>
        <v/>
      </c>
      <c r="P6" s="26">
        <f>IF(H6="","",SUMIFS(VENDAS!$F$5:$F$1004,VENDAS!$A$5:$A$1004,H6,VENDAS!$D$5:$D$1004,P$4))</f>
        <v/>
      </c>
      <c r="Q6" s="24">
        <f>IF(H6="","",SUMIFS(VENDAS!$H$5:$H$1004,VENDAS!$A$5:$A$1004,H6))</f>
        <v/>
      </c>
      <c r="R6" s="24">
        <f>IF(H6="","",SUMIFS(VENDAS!$K$5:$K$1004,VENDAS!$A$5:$A$1004,H6))</f>
        <v/>
      </c>
      <c r="S6" s="20" t="n"/>
      <c r="T6" s="31" t="n"/>
    </row>
    <row r="7">
      <c r="A7" s="20" t="inlineStr">
        <is>
          <t>Motoboy 3</t>
        </is>
      </c>
      <c r="B7" s="20" t="n"/>
      <c r="C7" s="14">
        <f>IF(A7="","",COUNTIFS($J$5:$J$504,A7,$S$5:$S$504,"Entregue"))</f>
        <v/>
      </c>
      <c r="D7" s="14">
        <f>IF(A7="","",SUMIFS($L$5:$L$504,$J$5:$J$504,A7,$S$5:$S$504,"Entregue"))</f>
        <v/>
      </c>
      <c r="H7" s="20" t="n"/>
      <c r="I7" s="30">
        <f>IF(H7="","",IFERROR(INDEX(VENDAS!$B$5:$B$1004,MATCH(H7,VENDAS!$A$5:$A$1004,0)),"não lançado"))</f>
        <v/>
      </c>
      <c r="J7" s="22">
        <f>IF(H7="","",IFERROR(INDEX(VENDAS!$M$5:$M$1004,MATCH(H7,VENDAS!$A$5:$A$1004,0))&amp;"",""))</f>
        <v/>
      </c>
      <c r="K7" s="22">
        <f>IF(H7="","",IFERROR(INDEX(VENDAS!$J$5:$J$1004,MATCH(H7,VENDAS!$A$5:$A$1004,0))&amp;"",""))</f>
        <v/>
      </c>
      <c r="L7" s="26">
        <f>IF(H7="","",SUMIFS(VENDAS!$F$5:$F$1004,VENDAS!$A$5:$A$1004,H7))</f>
        <v/>
      </c>
      <c r="M7" s="26">
        <f>IF(H7="","",SUMIFS(VENDAS!$F$5:$F$1004,VENDAS!$A$5:$A$1004,H7,VENDAS!$D$5:$D$1004,M$4))</f>
        <v/>
      </c>
      <c r="N7" s="26">
        <f>IF(H7="","",SUMIFS(VENDAS!$F$5:$F$1004,VENDAS!$A$5:$A$1004,H7,VENDAS!$D$5:$D$1004,N$4))</f>
        <v/>
      </c>
      <c r="O7" s="26">
        <f>IF(H7="","",SUMIFS(VENDAS!$F$5:$F$1004,VENDAS!$A$5:$A$1004,H7,VENDAS!$D$5:$D$1004,O$4))</f>
        <v/>
      </c>
      <c r="P7" s="26">
        <f>IF(H7="","",SUMIFS(VENDAS!$F$5:$F$1004,VENDAS!$A$5:$A$1004,H7,VENDAS!$D$5:$D$1004,P$4))</f>
        <v/>
      </c>
      <c r="Q7" s="24">
        <f>IF(H7="","",SUMIFS(VENDAS!$H$5:$H$1004,VENDAS!$A$5:$A$1004,H7))</f>
        <v/>
      </c>
      <c r="R7" s="24">
        <f>IF(H7="","",SUMIFS(VENDAS!$K$5:$K$1004,VENDAS!$A$5:$A$1004,H7))</f>
        <v/>
      </c>
      <c r="S7" s="20" t="n"/>
      <c r="T7" s="31" t="n"/>
    </row>
    <row r="8">
      <c r="A8" s="20" t="n"/>
      <c r="B8" s="20" t="n"/>
      <c r="C8" s="14">
        <f>IF(A8="","",COUNTIFS($J$5:$J$504,A8,$S$5:$S$504,"Entregue"))</f>
        <v/>
      </c>
      <c r="D8" s="14">
        <f>IF(A8="","",SUMIFS($L$5:$L$504,$J$5:$J$504,A8,$S$5:$S$504,"Entregue"))</f>
        <v/>
      </c>
      <c r="H8" s="20" t="n"/>
      <c r="I8" s="30">
        <f>IF(H8="","",IFERROR(INDEX(VENDAS!$B$5:$B$1004,MATCH(H8,VENDAS!$A$5:$A$1004,0)),"não lançado"))</f>
        <v/>
      </c>
      <c r="J8" s="22">
        <f>IF(H8="","",IFERROR(INDEX(VENDAS!$M$5:$M$1004,MATCH(H8,VENDAS!$A$5:$A$1004,0))&amp;"",""))</f>
        <v/>
      </c>
      <c r="K8" s="22">
        <f>IF(H8="","",IFERROR(INDEX(VENDAS!$J$5:$J$1004,MATCH(H8,VENDAS!$A$5:$A$1004,0))&amp;"",""))</f>
        <v/>
      </c>
      <c r="L8" s="26">
        <f>IF(H8="","",SUMIFS(VENDAS!$F$5:$F$1004,VENDAS!$A$5:$A$1004,H8))</f>
        <v/>
      </c>
      <c r="M8" s="26">
        <f>IF(H8="","",SUMIFS(VENDAS!$F$5:$F$1004,VENDAS!$A$5:$A$1004,H8,VENDAS!$D$5:$D$1004,M$4))</f>
        <v/>
      </c>
      <c r="N8" s="26">
        <f>IF(H8="","",SUMIFS(VENDAS!$F$5:$F$1004,VENDAS!$A$5:$A$1004,H8,VENDAS!$D$5:$D$1004,N$4))</f>
        <v/>
      </c>
      <c r="O8" s="26">
        <f>IF(H8="","",SUMIFS(VENDAS!$F$5:$F$1004,VENDAS!$A$5:$A$1004,H8,VENDAS!$D$5:$D$1004,O$4))</f>
        <v/>
      </c>
      <c r="P8" s="26">
        <f>IF(H8="","",SUMIFS(VENDAS!$F$5:$F$1004,VENDAS!$A$5:$A$1004,H8,VENDAS!$D$5:$D$1004,P$4))</f>
        <v/>
      </c>
      <c r="Q8" s="24">
        <f>IF(H8="","",SUMIFS(VENDAS!$H$5:$H$1004,VENDAS!$A$5:$A$1004,H8))</f>
        <v/>
      </c>
      <c r="R8" s="24">
        <f>IF(H8="","",SUMIFS(VENDAS!$K$5:$K$1004,VENDAS!$A$5:$A$1004,H8))</f>
        <v/>
      </c>
      <c r="S8" s="20" t="n"/>
      <c r="T8" s="31" t="n"/>
    </row>
    <row r="9">
      <c r="A9" s="20" t="n"/>
      <c r="B9" s="20" t="n"/>
      <c r="C9" s="14">
        <f>IF(A9="","",COUNTIFS($J$5:$J$504,A9,$S$5:$S$504,"Entregue"))</f>
        <v/>
      </c>
      <c r="D9" s="14">
        <f>IF(A9="","",SUMIFS($L$5:$L$504,$J$5:$J$504,A9,$S$5:$S$504,"Entregue"))</f>
        <v/>
      </c>
      <c r="H9" s="20" t="n"/>
      <c r="I9" s="30">
        <f>IF(H9="","",IFERROR(INDEX(VENDAS!$B$5:$B$1004,MATCH(H9,VENDAS!$A$5:$A$1004,0)),"não lançado"))</f>
        <v/>
      </c>
      <c r="J9" s="22">
        <f>IF(H9="","",IFERROR(INDEX(VENDAS!$M$5:$M$1004,MATCH(H9,VENDAS!$A$5:$A$1004,0))&amp;"",""))</f>
        <v/>
      </c>
      <c r="K9" s="22">
        <f>IF(H9="","",IFERROR(INDEX(VENDAS!$J$5:$J$1004,MATCH(H9,VENDAS!$A$5:$A$1004,0))&amp;"",""))</f>
        <v/>
      </c>
      <c r="L9" s="26">
        <f>IF(H9="","",SUMIFS(VENDAS!$F$5:$F$1004,VENDAS!$A$5:$A$1004,H9))</f>
        <v/>
      </c>
      <c r="M9" s="26">
        <f>IF(H9="","",SUMIFS(VENDAS!$F$5:$F$1004,VENDAS!$A$5:$A$1004,H9,VENDAS!$D$5:$D$1004,M$4))</f>
        <v/>
      </c>
      <c r="N9" s="26">
        <f>IF(H9="","",SUMIFS(VENDAS!$F$5:$F$1004,VENDAS!$A$5:$A$1004,H9,VENDAS!$D$5:$D$1004,N$4))</f>
        <v/>
      </c>
      <c r="O9" s="26">
        <f>IF(H9="","",SUMIFS(VENDAS!$F$5:$F$1004,VENDAS!$A$5:$A$1004,H9,VENDAS!$D$5:$D$1004,O$4))</f>
        <v/>
      </c>
      <c r="P9" s="26">
        <f>IF(H9="","",SUMIFS(VENDAS!$F$5:$F$1004,VENDAS!$A$5:$A$1004,H9,VENDAS!$D$5:$D$1004,P$4))</f>
        <v/>
      </c>
      <c r="Q9" s="24">
        <f>IF(H9="","",SUMIFS(VENDAS!$H$5:$H$1004,VENDAS!$A$5:$A$1004,H9))</f>
        <v/>
      </c>
      <c r="R9" s="24">
        <f>IF(H9="","",SUMIFS(VENDAS!$K$5:$K$1004,VENDAS!$A$5:$A$1004,H9))</f>
        <v/>
      </c>
      <c r="S9" s="20" t="n"/>
      <c r="T9" s="31" t="n"/>
    </row>
    <row r="10">
      <c r="A10" s="20" t="n"/>
      <c r="B10" s="20" t="n"/>
      <c r="C10" s="14">
        <f>IF(A10="","",COUNTIFS($J$5:$J$504,A10,$S$5:$S$504,"Entregue"))</f>
        <v/>
      </c>
      <c r="D10" s="14">
        <f>IF(A10="","",SUMIFS($L$5:$L$504,$J$5:$J$504,A10,$S$5:$S$504,"Entregue"))</f>
        <v/>
      </c>
      <c r="H10" s="20" t="n"/>
      <c r="I10" s="30">
        <f>IF(H10="","",IFERROR(INDEX(VENDAS!$B$5:$B$1004,MATCH(H10,VENDAS!$A$5:$A$1004,0)),"não lançado"))</f>
        <v/>
      </c>
      <c r="J10" s="22">
        <f>IF(H10="","",IFERROR(INDEX(VENDAS!$M$5:$M$1004,MATCH(H10,VENDAS!$A$5:$A$1004,0))&amp;"",""))</f>
        <v/>
      </c>
      <c r="K10" s="22">
        <f>IF(H10="","",IFERROR(INDEX(VENDAS!$J$5:$J$1004,MATCH(H10,VENDAS!$A$5:$A$1004,0))&amp;"",""))</f>
        <v/>
      </c>
      <c r="L10" s="26">
        <f>IF(H10="","",SUMIFS(VENDAS!$F$5:$F$1004,VENDAS!$A$5:$A$1004,H10))</f>
        <v/>
      </c>
      <c r="M10" s="26">
        <f>IF(H10="","",SUMIFS(VENDAS!$F$5:$F$1004,VENDAS!$A$5:$A$1004,H10,VENDAS!$D$5:$D$1004,M$4))</f>
        <v/>
      </c>
      <c r="N10" s="26">
        <f>IF(H10="","",SUMIFS(VENDAS!$F$5:$F$1004,VENDAS!$A$5:$A$1004,H10,VENDAS!$D$5:$D$1004,N$4))</f>
        <v/>
      </c>
      <c r="O10" s="26">
        <f>IF(H10="","",SUMIFS(VENDAS!$F$5:$F$1004,VENDAS!$A$5:$A$1004,H10,VENDAS!$D$5:$D$1004,O$4))</f>
        <v/>
      </c>
      <c r="P10" s="26">
        <f>IF(H10="","",SUMIFS(VENDAS!$F$5:$F$1004,VENDAS!$A$5:$A$1004,H10,VENDAS!$D$5:$D$1004,P$4))</f>
        <v/>
      </c>
      <c r="Q10" s="24">
        <f>IF(H10="","",SUMIFS(VENDAS!$H$5:$H$1004,VENDAS!$A$5:$A$1004,H10))</f>
        <v/>
      </c>
      <c r="R10" s="24">
        <f>IF(H10="","",SUMIFS(VENDAS!$K$5:$K$1004,VENDAS!$A$5:$A$1004,H10))</f>
        <v/>
      </c>
      <c r="S10" s="20" t="n"/>
      <c r="T10" s="31" t="n"/>
    </row>
    <row r="11">
      <c r="A11" s="20" t="n"/>
      <c r="B11" s="20" t="n"/>
      <c r="C11" s="14">
        <f>IF(A11="","",COUNTIFS($J$5:$J$504,A11,$S$5:$S$504,"Entregue"))</f>
        <v/>
      </c>
      <c r="D11" s="14">
        <f>IF(A11="","",SUMIFS($L$5:$L$504,$J$5:$J$504,A11,$S$5:$S$504,"Entregue"))</f>
        <v/>
      </c>
      <c r="H11" s="20" t="n"/>
      <c r="I11" s="30">
        <f>IF(H11="","",IFERROR(INDEX(VENDAS!$B$5:$B$1004,MATCH(H11,VENDAS!$A$5:$A$1004,0)),"não lançado"))</f>
        <v/>
      </c>
      <c r="J11" s="22">
        <f>IF(H11="","",IFERROR(INDEX(VENDAS!$M$5:$M$1004,MATCH(H11,VENDAS!$A$5:$A$1004,0))&amp;"",""))</f>
        <v/>
      </c>
      <c r="K11" s="22">
        <f>IF(H11="","",IFERROR(INDEX(VENDAS!$J$5:$J$1004,MATCH(H11,VENDAS!$A$5:$A$1004,0))&amp;"",""))</f>
        <v/>
      </c>
      <c r="L11" s="26">
        <f>IF(H11="","",SUMIFS(VENDAS!$F$5:$F$1004,VENDAS!$A$5:$A$1004,H11))</f>
        <v/>
      </c>
      <c r="M11" s="26">
        <f>IF(H11="","",SUMIFS(VENDAS!$F$5:$F$1004,VENDAS!$A$5:$A$1004,H11,VENDAS!$D$5:$D$1004,M$4))</f>
        <v/>
      </c>
      <c r="N11" s="26">
        <f>IF(H11="","",SUMIFS(VENDAS!$F$5:$F$1004,VENDAS!$A$5:$A$1004,H11,VENDAS!$D$5:$D$1004,N$4))</f>
        <v/>
      </c>
      <c r="O11" s="26">
        <f>IF(H11="","",SUMIFS(VENDAS!$F$5:$F$1004,VENDAS!$A$5:$A$1004,H11,VENDAS!$D$5:$D$1004,O$4))</f>
        <v/>
      </c>
      <c r="P11" s="26">
        <f>IF(H11="","",SUMIFS(VENDAS!$F$5:$F$1004,VENDAS!$A$5:$A$1004,H11,VENDAS!$D$5:$D$1004,P$4))</f>
        <v/>
      </c>
      <c r="Q11" s="24">
        <f>IF(H11="","",SUMIFS(VENDAS!$H$5:$H$1004,VENDAS!$A$5:$A$1004,H11))</f>
        <v/>
      </c>
      <c r="R11" s="24">
        <f>IF(H11="","",SUMIFS(VENDAS!$K$5:$K$1004,VENDAS!$A$5:$A$1004,H11))</f>
        <v/>
      </c>
      <c r="S11" s="20" t="n"/>
      <c r="T11" s="31" t="n"/>
    </row>
    <row r="12">
      <c r="A12" s="20" t="n"/>
      <c r="B12" s="20" t="n"/>
      <c r="C12" s="14">
        <f>IF(A12="","",COUNTIFS($J$5:$J$504,A12,$S$5:$S$504,"Entregue"))</f>
        <v/>
      </c>
      <c r="D12" s="14">
        <f>IF(A12="","",SUMIFS($L$5:$L$504,$J$5:$J$504,A12,$S$5:$S$504,"Entregue"))</f>
        <v/>
      </c>
      <c r="H12" s="20" t="n"/>
      <c r="I12" s="30">
        <f>IF(H12="","",IFERROR(INDEX(VENDAS!$B$5:$B$1004,MATCH(H12,VENDAS!$A$5:$A$1004,0)),"não lançado"))</f>
        <v/>
      </c>
      <c r="J12" s="22">
        <f>IF(H12="","",IFERROR(INDEX(VENDAS!$M$5:$M$1004,MATCH(H12,VENDAS!$A$5:$A$1004,0))&amp;"",""))</f>
        <v/>
      </c>
      <c r="K12" s="22">
        <f>IF(H12="","",IFERROR(INDEX(VENDAS!$J$5:$J$1004,MATCH(H12,VENDAS!$A$5:$A$1004,0))&amp;"",""))</f>
        <v/>
      </c>
      <c r="L12" s="26">
        <f>IF(H12="","",SUMIFS(VENDAS!$F$5:$F$1004,VENDAS!$A$5:$A$1004,H12))</f>
        <v/>
      </c>
      <c r="M12" s="26">
        <f>IF(H12="","",SUMIFS(VENDAS!$F$5:$F$1004,VENDAS!$A$5:$A$1004,H12,VENDAS!$D$5:$D$1004,M$4))</f>
        <v/>
      </c>
      <c r="N12" s="26">
        <f>IF(H12="","",SUMIFS(VENDAS!$F$5:$F$1004,VENDAS!$A$5:$A$1004,H12,VENDAS!$D$5:$D$1004,N$4))</f>
        <v/>
      </c>
      <c r="O12" s="26">
        <f>IF(H12="","",SUMIFS(VENDAS!$F$5:$F$1004,VENDAS!$A$5:$A$1004,H12,VENDAS!$D$5:$D$1004,O$4))</f>
        <v/>
      </c>
      <c r="P12" s="26">
        <f>IF(H12="","",SUMIFS(VENDAS!$F$5:$F$1004,VENDAS!$A$5:$A$1004,H12,VENDAS!$D$5:$D$1004,P$4))</f>
        <v/>
      </c>
      <c r="Q12" s="24">
        <f>IF(H12="","",SUMIFS(VENDAS!$H$5:$H$1004,VENDAS!$A$5:$A$1004,H12))</f>
        <v/>
      </c>
      <c r="R12" s="24">
        <f>IF(H12="","",SUMIFS(VENDAS!$K$5:$K$1004,VENDAS!$A$5:$A$1004,H12))</f>
        <v/>
      </c>
      <c r="S12" s="20" t="n"/>
      <c r="T12" s="31" t="n"/>
    </row>
    <row r="13">
      <c r="A13" s="20" t="n"/>
      <c r="B13" s="20" t="n"/>
      <c r="C13" s="14">
        <f>IF(A13="","",COUNTIFS($J$5:$J$504,A13,$S$5:$S$504,"Entregue"))</f>
        <v/>
      </c>
      <c r="D13" s="14">
        <f>IF(A13="","",SUMIFS($L$5:$L$504,$J$5:$J$504,A13,$S$5:$S$504,"Entregue"))</f>
        <v/>
      </c>
      <c r="H13" s="20" t="n"/>
      <c r="I13" s="30">
        <f>IF(H13="","",IFERROR(INDEX(VENDAS!$B$5:$B$1004,MATCH(H13,VENDAS!$A$5:$A$1004,0)),"não lançado"))</f>
        <v/>
      </c>
      <c r="J13" s="22">
        <f>IF(H13="","",IFERROR(INDEX(VENDAS!$M$5:$M$1004,MATCH(H13,VENDAS!$A$5:$A$1004,0))&amp;"",""))</f>
        <v/>
      </c>
      <c r="K13" s="22">
        <f>IF(H13="","",IFERROR(INDEX(VENDAS!$J$5:$J$1004,MATCH(H13,VENDAS!$A$5:$A$1004,0))&amp;"",""))</f>
        <v/>
      </c>
      <c r="L13" s="26">
        <f>IF(H13="","",SUMIFS(VENDAS!$F$5:$F$1004,VENDAS!$A$5:$A$1004,H13))</f>
        <v/>
      </c>
      <c r="M13" s="26">
        <f>IF(H13="","",SUMIFS(VENDAS!$F$5:$F$1004,VENDAS!$A$5:$A$1004,H13,VENDAS!$D$5:$D$1004,M$4))</f>
        <v/>
      </c>
      <c r="N13" s="26">
        <f>IF(H13="","",SUMIFS(VENDAS!$F$5:$F$1004,VENDAS!$A$5:$A$1004,H13,VENDAS!$D$5:$D$1004,N$4))</f>
        <v/>
      </c>
      <c r="O13" s="26">
        <f>IF(H13="","",SUMIFS(VENDAS!$F$5:$F$1004,VENDAS!$A$5:$A$1004,H13,VENDAS!$D$5:$D$1004,O$4))</f>
        <v/>
      </c>
      <c r="P13" s="26">
        <f>IF(H13="","",SUMIFS(VENDAS!$F$5:$F$1004,VENDAS!$A$5:$A$1004,H13,VENDAS!$D$5:$D$1004,P$4))</f>
        <v/>
      </c>
      <c r="Q13" s="24">
        <f>IF(H13="","",SUMIFS(VENDAS!$H$5:$H$1004,VENDAS!$A$5:$A$1004,H13))</f>
        <v/>
      </c>
      <c r="R13" s="24">
        <f>IF(H13="","",SUMIFS(VENDAS!$K$5:$K$1004,VENDAS!$A$5:$A$1004,H13))</f>
        <v/>
      </c>
      <c r="S13" s="20" t="n"/>
      <c r="T13" s="31" t="n"/>
    </row>
    <row r="14">
      <c r="A14" s="20" t="n"/>
      <c r="B14" s="20" t="n"/>
      <c r="C14" s="14">
        <f>IF(A14="","",COUNTIFS($J$5:$J$504,A14,$S$5:$S$504,"Entregue"))</f>
        <v/>
      </c>
      <c r="D14" s="14">
        <f>IF(A14="","",SUMIFS($L$5:$L$504,$J$5:$J$504,A14,$S$5:$S$504,"Entregue"))</f>
        <v/>
      </c>
      <c r="H14" s="20" t="n"/>
      <c r="I14" s="30">
        <f>IF(H14="","",IFERROR(INDEX(VENDAS!$B$5:$B$1004,MATCH(H14,VENDAS!$A$5:$A$1004,0)),"não lançado"))</f>
        <v/>
      </c>
      <c r="J14" s="22">
        <f>IF(H14="","",IFERROR(INDEX(VENDAS!$M$5:$M$1004,MATCH(H14,VENDAS!$A$5:$A$1004,0))&amp;"",""))</f>
        <v/>
      </c>
      <c r="K14" s="22">
        <f>IF(H14="","",IFERROR(INDEX(VENDAS!$J$5:$J$1004,MATCH(H14,VENDAS!$A$5:$A$1004,0))&amp;"",""))</f>
        <v/>
      </c>
      <c r="L14" s="26">
        <f>IF(H14="","",SUMIFS(VENDAS!$F$5:$F$1004,VENDAS!$A$5:$A$1004,H14))</f>
        <v/>
      </c>
      <c r="M14" s="26">
        <f>IF(H14="","",SUMIFS(VENDAS!$F$5:$F$1004,VENDAS!$A$5:$A$1004,H14,VENDAS!$D$5:$D$1004,M$4))</f>
        <v/>
      </c>
      <c r="N14" s="26">
        <f>IF(H14="","",SUMIFS(VENDAS!$F$5:$F$1004,VENDAS!$A$5:$A$1004,H14,VENDAS!$D$5:$D$1004,N$4))</f>
        <v/>
      </c>
      <c r="O14" s="26">
        <f>IF(H14="","",SUMIFS(VENDAS!$F$5:$F$1004,VENDAS!$A$5:$A$1004,H14,VENDAS!$D$5:$D$1004,O$4))</f>
        <v/>
      </c>
      <c r="P14" s="26">
        <f>IF(H14="","",SUMIFS(VENDAS!$F$5:$F$1004,VENDAS!$A$5:$A$1004,H14,VENDAS!$D$5:$D$1004,P$4))</f>
        <v/>
      </c>
      <c r="Q14" s="24">
        <f>IF(H14="","",SUMIFS(VENDAS!$H$5:$H$1004,VENDAS!$A$5:$A$1004,H14))</f>
        <v/>
      </c>
      <c r="R14" s="24">
        <f>IF(H14="","",SUMIFS(VENDAS!$K$5:$K$1004,VENDAS!$A$5:$A$1004,H14))</f>
        <v/>
      </c>
      <c r="S14" s="20" t="n"/>
      <c r="T14" s="31" t="n"/>
    </row>
    <row r="15">
      <c r="H15" s="20" t="n"/>
      <c r="I15" s="30">
        <f>IF(H15="","",IFERROR(INDEX(VENDAS!$B$5:$B$1004,MATCH(H15,VENDAS!$A$5:$A$1004,0)),"não lançado"))</f>
        <v/>
      </c>
      <c r="J15" s="22">
        <f>IF(H15="","",IFERROR(INDEX(VENDAS!$M$5:$M$1004,MATCH(H15,VENDAS!$A$5:$A$1004,0))&amp;"",""))</f>
        <v/>
      </c>
      <c r="K15" s="22">
        <f>IF(H15="","",IFERROR(INDEX(VENDAS!$J$5:$J$1004,MATCH(H15,VENDAS!$A$5:$A$1004,0))&amp;"",""))</f>
        <v/>
      </c>
      <c r="L15" s="26">
        <f>IF(H15="","",SUMIFS(VENDAS!$F$5:$F$1004,VENDAS!$A$5:$A$1004,H15))</f>
        <v/>
      </c>
      <c r="M15" s="26">
        <f>IF(H15="","",SUMIFS(VENDAS!$F$5:$F$1004,VENDAS!$A$5:$A$1004,H15,VENDAS!$D$5:$D$1004,M$4))</f>
        <v/>
      </c>
      <c r="N15" s="26">
        <f>IF(H15="","",SUMIFS(VENDAS!$F$5:$F$1004,VENDAS!$A$5:$A$1004,H15,VENDAS!$D$5:$D$1004,N$4))</f>
        <v/>
      </c>
      <c r="O15" s="26">
        <f>IF(H15="","",SUMIFS(VENDAS!$F$5:$F$1004,VENDAS!$A$5:$A$1004,H15,VENDAS!$D$5:$D$1004,O$4))</f>
        <v/>
      </c>
      <c r="P15" s="26">
        <f>IF(H15="","",SUMIFS(VENDAS!$F$5:$F$1004,VENDAS!$A$5:$A$1004,H15,VENDAS!$D$5:$D$1004,P$4))</f>
        <v/>
      </c>
      <c r="Q15" s="24">
        <f>IF(H15="","",SUMIFS(VENDAS!$H$5:$H$1004,VENDAS!$A$5:$A$1004,H15))</f>
        <v/>
      </c>
      <c r="R15" s="24">
        <f>IF(H15="","",SUMIFS(VENDAS!$K$5:$K$1004,VENDAS!$A$5:$A$1004,H15))</f>
        <v/>
      </c>
      <c r="S15" s="20" t="n"/>
      <c r="T15" s="31" t="n"/>
    </row>
    <row r="16">
      <c r="A16" s="19" t="inlineStr">
        <is>
          <t>Troque 'Motoboy 1/2/3' pelos nomes reais — as listas de VENDAS se atualizam.</t>
        </is>
      </c>
      <c r="H16" s="20" t="n"/>
      <c r="I16" s="30">
        <f>IF(H16="","",IFERROR(INDEX(VENDAS!$B$5:$B$1004,MATCH(H16,VENDAS!$A$5:$A$1004,0)),"não lançado"))</f>
        <v/>
      </c>
      <c r="J16" s="22">
        <f>IF(H16="","",IFERROR(INDEX(VENDAS!$M$5:$M$1004,MATCH(H16,VENDAS!$A$5:$A$1004,0))&amp;"",""))</f>
        <v/>
      </c>
      <c r="K16" s="22">
        <f>IF(H16="","",IFERROR(INDEX(VENDAS!$J$5:$J$1004,MATCH(H16,VENDAS!$A$5:$A$1004,0))&amp;"",""))</f>
        <v/>
      </c>
      <c r="L16" s="26">
        <f>IF(H16="","",SUMIFS(VENDAS!$F$5:$F$1004,VENDAS!$A$5:$A$1004,H16))</f>
        <v/>
      </c>
      <c r="M16" s="26">
        <f>IF(H16="","",SUMIFS(VENDAS!$F$5:$F$1004,VENDAS!$A$5:$A$1004,H16,VENDAS!$D$5:$D$1004,M$4))</f>
        <v/>
      </c>
      <c r="N16" s="26">
        <f>IF(H16="","",SUMIFS(VENDAS!$F$5:$F$1004,VENDAS!$A$5:$A$1004,H16,VENDAS!$D$5:$D$1004,N$4))</f>
        <v/>
      </c>
      <c r="O16" s="26">
        <f>IF(H16="","",SUMIFS(VENDAS!$F$5:$F$1004,VENDAS!$A$5:$A$1004,H16,VENDAS!$D$5:$D$1004,O$4))</f>
        <v/>
      </c>
      <c r="P16" s="26">
        <f>IF(H16="","",SUMIFS(VENDAS!$F$5:$F$1004,VENDAS!$A$5:$A$1004,H16,VENDAS!$D$5:$D$1004,P$4))</f>
        <v/>
      </c>
      <c r="Q16" s="24">
        <f>IF(H16="","",SUMIFS(VENDAS!$H$5:$H$1004,VENDAS!$A$5:$A$1004,H16))</f>
        <v/>
      </c>
      <c r="R16" s="24">
        <f>IF(H16="","",SUMIFS(VENDAS!$K$5:$K$1004,VENDAS!$A$5:$A$1004,H16))</f>
        <v/>
      </c>
      <c r="S16" s="20" t="n"/>
      <c r="T16" s="31" t="n"/>
    </row>
    <row r="17">
      <c r="H17" s="20" t="n"/>
      <c r="I17" s="30">
        <f>IF(H17="","",IFERROR(INDEX(VENDAS!$B$5:$B$1004,MATCH(H17,VENDAS!$A$5:$A$1004,0)),"não lançado"))</f>
        <v/>
      </c>
      <c r="J17" s="22">
        <f>IF(H17="","",IFERROR(INDEX(VENDAS!$M$5:$M$1004,MATCH(H17,VENDAS!$A$5:$A$1004,0))&amp;"",""))</f>
        <v/>
      </c>
      <c r="K17" s="22">
        <f>IF(H17="","",IFERROR(INDEX(VENDAS!$J$5:$J$1004,MATCH(H17,VENDAS!$A$5:$A$1004,0))&amp;"",""))</f>
        <v/>
      </c>
      <c r="L17" s="26">
        <f>IF(H17="","",SUMIFS(VENDAS!$F$5:$F$1004,VENDAS!$A$5:$A$1004,H17))</f>
        <v/>
      </c>
      <c r="M17" s="26">
        <f>IF(H17="","",SUMIFS(VENDAS!$F$5:$F$1004,VENDAS!$A$5:$A$1004,H17,VENDAS!$D$5:$D$1004,M$4))</f>
        <v/>
      </c>
      <c r="N17" s="26">
        <f>IF(H17="","",SUMIFS(VENDAS!$F$5:$F$1004,VENDAS!$A$5:$A$1004,H17,VENDAS!$D$5:$D$1004,N$4))</f>
        <v/>
      </c>
      <c r="O17" s="26">
        <f>IF(H17="","",SUMIFS(VENDAS!$F$5:$F$1004,VENDAS!$A$5:$A$1004,H17,VENDAS!$D$5:$D$1004,O$4))</f>
        <v/>
      </c>
      <c r="P17" s="26">
        <f>IF(H17="","",SUMIFS(VENDAS!$F$5:$F$1004,VENDAS!$A$5:$A$1004,H17,VENDAS!$D$5:$D$1004,P$4))</f>
        <v/>
      </c>
      <c r="Q17" s="24">
        <f>IF(H17="","",SUMIFS(VENDAS!$H$5:$H$1004,VENDAS!$A$5:$A$1004,H17))</f>
        <v/>
      </c>
      <c r="R17" s="24">
        <f>IF(H17="","",SUMIFS(VENDAS!$K$5:$K$1004,VENDAS!$A$5:$A$1004,H17))</f>
        <v/>
      </c>
      <c r="S17" s="20" t="n"/>
      <c r="T17" s="31" t="n"/>
    </row>
    <row r="18">
      <c r="A18" s="4" t="inlineStr">
        <is>
          <t>UNIDADES ENTREGUES POR MODELO</t>
        </is>
      </c>
      <c r="H18" s="20" t="n"/>
      <c r="I18" s="30">
        <f>IF(H18="","",IFERROR(INDEX(VENDAS!$B$5:$B$1004,MATCH(H18,VENDAS!$A$5:$A$1004,0)),"não lançado"))</f>
        <v/>
      </c>
      <c r="J18" s="22">
        <f>IF(H18="","",IFERROR(INDEX(VENDAS!$M$5:$M$1004,MATCH(H18,VENDAS!$A$5:$A$1004,0))&amp;"",""))</f>
        <v/>
      </c>
      <c r="K18" s="22">
        <f>IF(H18="","",IFERROR(INDEX(VENDAS!$J$5:$J$1004,MATCH(H18,VENDAS!$A$5:$A$1004,0))&amp;"",""))</f>
        <v/>
      </c>
      <c r="L18" s="26">
        <f>IF(H18="","",SUMIFS(VENDAS!$F$5:$F$1004,VENDAS!$A$5:$A$1004,H18))</f>
        <v/>
      </c>
      <c r="M18" s="26">
        <f>IF(H18="","",SUMIFS(VENDAS!$F$5:$F$1004,VENDAS!$A$5:$A$1004,H18,VENDAS!$D$5:$D$1004,M$4))</f>
        <v/>
      </c>
      <c r="N18" s="26">
        <f>IF(H18="","",SUMIFS(VENDAS!$F$5:$F$1004,VENDAS!$A$5:$A$1004,H18,VENDAS!$D$5:$D$1004,N$4))</f>
        <v/>
      </c>
      <c r="O18" s="26">
        <f>IF(H18="","",SUMIFS(VENDAS!$F$5:$F$1004,VENDAS!$A$5:$A$1004,H18,VENDAS!$D$5:$D$1004,O$4))</f>
        <v/>
      </c>
      <c r="P18" s="26">
        <f>IF(H18="","",SUMIFS(VENDAS!$F$5:$F$1004,VENDAS!$A$5:$A$1004,H18,VENDAS!$D$5:$D$1004,P$4))</f>
        <v/>
      </c>
      <c r="Q18" s="24">
        <f>IF(H18="","",SUMIFS(VENDAS!$H$5:$H$1004,VENDAS!$A$5:$A$1004,H18))</f>
        <v/>
      </c>
      <c r="R18" s="24">
        <f>IF(H18="","",SUMIFS(VENDAS!$K$5:$K$1004,VENDAS!$A$5:$A$1004,H18))</f>
        <v/>
      </c>
      <c r="S18" s="20" t="n"/>
      <c r="T18" s="31" t="n"/>
    </row>
    <row r="19" ht="30" customHeight="1">
      <c r="A19" s="10" t="inlineStr">
        <is>
          <t>Motoboy</t>
        </is>
      </c>
      <c r="B19" s="10" t="inlineStr">
        <is>
          <t>V55</t>
        </is>
      </c>
      <c r="C19" s="10" t="inlineStr">
        <is>
          <t>V155</t>
        </is>
      </c>
      <c r="D19" s="10" t="inlineStr">
        <is>
          <t>V400 Mix Slim</t>
        </is>
      </c>
      <c r="E19" s="10" t="inlineStr">
        <is>
          <t>Elfbar Pro 40K</t>
        </is>
      </c>
      <c r="F19" s="10" t="inlineStr">
        <is>
          <t>Taxas (R$)</t>
        </is>
      </c>
      <c r="H19" s="20" t="n"/>
      <c r="I19" s="30">
        <f>IF(H19="","",IFERROR(INDEX(VENDAS!$B$5:$B$1004,MATCH(H19,VENDAS!$A$5:$A$1004,0)),"não lançado"))</f>
        <v/>
      </c>
      <c r="J19" s="22">
        <f>IF(H19="","",IFERROR(INDEX(VENDAS!$M$5:$M$1004,MATCH(H19,VENDAS!$A$5:$A$1004,0))&amp;"",""))</f>
        <v/>
      </c>
      <c r="K19" s="22">
        <f>IF(H19="","",IFERROR(INDEX(VENDAS!$J$5:$J$1004,MATCH(H19,VENDAS!$A$5:$A$1004,0))&amp;"",""))</f>
        <v/>
      </c>
      <c r="L19" s="26">
        <f>IF(H19="","",SUMIFS(VENDAS!$F$5:$F$1004,VENDAS!$A$5:$A$1004,H19))</f>
        <v/>
      </c>
      <c r="M19" s="26">
        <f>IF(H19="","",SUMIFS(VENDAS!$F$5:$F$1004,VENDAS!$A$5:$A$1004,H19,VENDAS!$D$5:$D$1004,M$4))</f>
        <v/>
      </c>
      <c r="N19" s="26">
        <f>IF(H19="","",SUMIFS(VENDAS!$F$5:$F$1004,VENDAS!$A$5:$A$1004,H19,VENDAS!$D$5:$D$1004,N$4))</f>
        <v/>
      </c>
      <c r="O19" s="26">
        <f>IF(H19="","",SUMIFS(VENDAS!$F$5:$F$1004,VENDAS!$A$5:$A$1004,H19,VENDAS!$D$5:$D$1004,O$4))</f>
        <v/>
      </c>
      <c r="P19" s="26">
        <f>IF(H19="","",SUMIFS(VENDAS!$F$5:$F$1004,VENDAS!$A$5:$A$1004,H19,VENDAS!$D$5:$D$1004,P$4))</f>
        <v/>
      </c>
      <c r="Q19" s="24">
        <f>IF(H19="","",SUMIFS(VENDAS!$H$5:$H$1004,VENDAS!$A$5:$A$1004,H19))</f>
        <v/>
      </c>
      <c r="R19" s="24">
        <f>IF(H19="","",SUMIFS(VENDAS!$K$5:$K$1004,VENDAS!$A$5:$A$1004,H19))</f>
        <v/>
      </c>
      <c r="S19" s="20" t="n"/>
      <c r="T19" s="31" t="n"/>
    </row>
    <row r="20">
      <c r="A20" s="22">
        <f>IF(A5="","",A5)</f>
        <v/>
      </c>
      <c r="B20" s="14">
        <f>IF($A20="","",SUMIFS($M$5:$M$504,$J$5:$J$504,$A20,$S$5:$S$504,"Entregue"))</f>
        <v/>
      </c>
      <c r="C20" s="14">
        <f>IF($A20="","",SUMIFS($N$5:$N$504,$J$5:$J$504,$A20,$S$5:$S$504,"Entregue"))</f>
        <v/>
      </c>
      <c r="D20" s="14">
        <f>IF($A20="","",SUMIFS($O$5:$O$504,$J$5:$J$504,$A20,$S$5:$S$504,"Entregue"))</f>
        <v/>
      </c>
      <c r="E20" s="14">
        <f>IF($A20="","",SUMIFS($P$5:$P$504,$J$5:$J$504,$A20,$S$5:$S$504,"Entregue"))</f>
        <v/>
      </c>
      <c r="F20" s="15">
        <f>IF($A20="","",SUMIFS($R$5:$R$504,$J$5:$J$504,$A20,$S$5:$S$504,"Entregue"))</f>
        <v/>
      </c>
      <c r="H20" s="20" t="n"/>
      <c r="I20" s="30">
        <f>IF(H20="","",IFERROR(INDEX(VENDAS!$B$5:$B$1004,MATCH(H20,VENDAS!$A$5:$A$1004,0)),"não lançado"))</f>
        <v/>
      </c>
      <c r="J20" s="22">
        <f>IF(H20="","",IFERROR(INDEX(VENDAS!$M$5:$M$1004,MATCH(H20,VENDAS!$A$5:$A$1004,0))&amp;"",""))</f>
        <v/>
      </c>
      <c r="K20" s="22">
        <f>IF(H20="","",IFERROR(INDEX(VENDAS!$J$5:$J$1004,MATCH(H20,VENDAS!$A$5:$A$1004,0))&amp;"",""))</f>
        <v/>
      </c>
      <c r="L20" s="26">
        <f>IF(H20="","",SUMIFS(VENDAS!$F$5:$F$1004,VENDAS!$A$5:$A$1004,H20))</f>
        <v/>
      </c>
      <c r="M20" s="26">
        <f>IF(H20="","",SUMIFS(VENDAS!$F$5:$F$1004,VENDAS!$A$5:$A$1004,H20,VENDAS!$D$5:$D$1004,M$4))</f>
        <v/>
      </c>
      <c r="N20" s="26">
        <f>IF(H20="","",SUMIFS(VENDAS!$F$5:$F$1004,VENDAS!$A$5:$A$1004,H20,VENDAS!$D$5:$D$1004,N$4))</f>
        <v/>
      </c>
      <c r="O20" s="26">
        <f>IF(H20="","",SUMIFS(VENDAS!$F$5:$F$1004,VENDAS!$A$5:$A$1004,H20,VENDAS!$D$5:$D$1004,O$4))</f>
        <v/>
      </c>
      <c r="P20" s="26">
        <f>IF(H20="","",SUMIFS(VENDAS!$F$5:$F$1004,VENDAS!$A$5:$A$1004,H20,VENDAS!$D$5:$D$1004,P$4))</f>
        <v/>
      </c>
      <c r="Q20" s="24">
        <f>IF(H20="","",SUMIFS(VENDAS!$H$5:$H$1004,VENDAS!$A$5:$A$1004,H20))</f>
        <v/>
      </c>
      <c r="R20" s="24">
        <f>IF(H20="","",SUMIFS(VENDAS!$K$5:$K$1004,VENDAS!$A$5:$A$1004,H20))</f>
        <v/>
      </c>
      <c r="S20" s="20" t="n"/>
      <c r="T20" s="31" t="n"/>
    </row>
    <row r="21">
      <c r="A21" s="22">
        <f>IF(A6="","",A6)</f>
        <v/>
      </c>
      <c r="B21" s="14">
        <f>IF($A21="","",SUMIFS($M$5:$M$504,$J$5:$J$504,$A21,$S$5:$S$504,"Entregue"))</f>
        <v/>
      </c>
      <c r="C21" s="14">
        <f>IF($A21="","",SUMIFS($N$5:$N$504,$J$5:$J$504,$A21,$S$5:$S$504,"Entregue"))</f>
        <v/>
      </c>
      <c r="D21" s="14">
        <f>IF($A21="","",SUMIFS($O$5:$O$504,$J$5:$J$504,$A21,$S$5:$S$504,"Entregue"))</f>
        <v/>
      </c>
      <c r="E21" s="14">
        <f>IF($A21="","",SUMIFS($P$5:$P$504,$J$5:$J$504,$A21,$S$5:$S$504,"Entregue"))</f>
        <v/>
      </c>
      <c r="F21" s="15">
        <f>IF($A21="","",SUMIFS($R$5:$R$504,$J$5:$J$504,$A21,$S$5:$S$504,"Entregue"))</f>
        <v/>
      </c>
      <c r="H21" s="20" t="n"/>
      <c r="I21" s="30">
        <f>IF(H21="","",IFERROR(INDEX(VENDAS!$B$5:$B$1004,MATCH(H21,VENDAS!$A$5:$A$1004,0)),"não lançado"))</f>
        <v/>
      </c>
      <c r="J21" s="22">
        <f>IF(H21="","",IFERROR(INDEX(VENDAS!$M$5:$M$1004,MATCH(H21,VENDAS!$A$5:$A$1004,0))&amp;"",""))</f>
        <v/>
      </c>
      <c r="K21" s="22">
        <f>IF(H21="","",IFERROR(INDEX(VENDAS!$J$5:$J$1004,MATCH(H21,VENDAS!$A$5:$A$1004,0))&amp;"",""))</f>
        <v/>
      </c>
      <c r="L21" s="26">
        <f>IF(H21="","",SUMIFS(VENDAS!$F$5:$F$1004,VENDAS!$A$5:$A$1004,H21))</f>
        <v/>
      </c>
      <c r="M21" s="26">
        <f>IF(H21="","",SUMIFS(VENDAS!$F$5:$F$1004,VENDAS!$A$5:$A$1004,H21,VENDAS!$D$5:$D$1004,M$4))</f>
        <v/>
      </c>
      <c r="N21" s="26">
        <f>IF(H21="","",SUMIFS(VENDAS!$F$5:$F$1004,VENDAS!$A$5:$A$1004,H21,VENDAS!$D$5:$D$1004,N$4))</f>
        <v/>
      </c>
      <c r="O21" s="26">
        <f>IF(H21="","",SUMIFS(VENDAS!$F$5:$F$1004,VENDAS!$A$5:$A$1004,H21,VENDAS!$D$5:$D$1004,O$4))</f>
        <v/>
      </c>
      <c r="P21" s="26">
        <f>IF(H21="","",SUMIFS(VENDAS!$F$5:$F$1004,VENDAS!$A$5:$A$1004,H21,VENDAS!$D$5:$D$1004,P$4))</f>
        <v/>
      </c>
      <c r="Q21" s="24">
        <f>IF(H21="","",SUMIFS(VENDAS!$H$5:$H$1004,VENDAS!$A$5:$A$1004,H21))</f>
        <v/>
      </c>
      <c r="R21" s="24">
        <f>IF(H21="","",SUMIFS(VENDAS!$K$5:$K$1004,VENDAS!$A$5:$A$1004,H21))</f>
        <v/>
      </c>
      <c r="S21" s="20" t="n"/>
      <c r="T21" s="31" t="n"/>
    </row>
    <row r="22">
      <c r="A22" s="22">
        <f>IF(A7="","",A7)</f>
        <v/>
      </c>
      <c r="B22" s="14">
        <f>IF($A22="","",SUMIFS($M$5:$M$504,$J$5:$J$504,$A22,$S$5:$S$504,"Entregue"))</f>
        <v/>
      </c>
      <c r="C22" s="14">
        <f>IF($A22="","",SUMIFS($N$5:$N$504,$J$5:$J$504,$A22,$S$5:$S$504,"Entregue"))</f>
        <v/>
      </c>
      <c r="D22" s="14">
        <f>IF($A22="","",SUMIFS($O$5:$O$504,$J$5:$J$504,$A22,$S$5:$S$504,"Entregue"))</f>
        <v/>
      </c>
      <c r="E22" s="14">
        <f>IF($A22="","",SUMIFS($P$5:$P$504,$J$5:$J$504,$A22,$S$5:$S$504,"Entregue"))</f>
        <v/>
      </c>
      <c r="F22" s="15">
        <f>IF($A22="","",SUMIFS($R$5:$R$504,$J$5:$J$504,$A22,$S$5:$S$504,"Entregue"))</f>
        <v/>
      </c>
      <c r="H22" s="20" t="n"/>
      <c r="I22" s="30">
        <f>IF(H22="","",IFERROR(INDEX(VENDAS!$B$5:$B$1004,MATCH(H22,VENDAS!$A$5:$A$1004,0)),"não lançado"))</f>
        <v/>
      </c>
      <c r="J22" s="22">
        <f>IF(H22="","",IFERROR(INDEX(VENDAS!$M$5:$M$1004,MATCH(H22,VENDAS!$A$5:$A$1004,0))&amp;"",""))</f>
        <v/>
      </c>
      <c r="K22" s="22">
        <f>IF(H22="","",IFERROR(INDEX(VENDAS!$J$5:$J$1004,MATCH(H22,VENDAS!$A$5:$A$1004,0))&amp;"",""))</f>
        <v/>
      </c>
      <c r="L22" s="26">
        <f>IF(H22="","",SUMIFS(VENDAS!$F$5:$F$1004,VENDAS!$A$5:$A$1004,H22))</f>
        <v/>
      </c>
      <c r="M22" s="26">
        <f>IF(H22="","",SUMIFS(VENDAS!$F$5:$F$1004,VENDAS!$A$5:$A$1004,H22,VENDAS!$D$5:$D$1004,M$4))</f>
        <v/>
      </c>
      <c r="N22" s="26">
        <f>IF(H22="","",SUMIFS(VENDAS!$F$5:$F$1004,VENDAS!$A$5:$A$1004,H22,VENDAS!$D$5:$D$1004,N$4))</f>
        <v/>
      </c>
      <c r="O22" s="26">
        <f>IF(H22="","",SUMIFS(VENDAS!$F$5:$F$1004,VENDAS!$A$5:$A$1004,H22,VENDAS!$D$5:$D$1004,O$4))</f>
        <v/>
      </c>
      <c r="P22" s="26">
        <f>IF(H22="","",SUMIFS(VENDAS!$F$5:$F$1004,VENDAS!$A$5:$A$1004,H22,VENDAS!$D$5:$D$1004,P$4))</f>
        <v/>
      </c>
      <c r="Q22" s="24">
        <f>IF(H22="","",SUMIFS(VENDAS!$H$5:$H$1004,VENDAS!$A$5:$A$1004,H22))</f>
        <v/>
      </c>
      <c r="R22" s="24">
        <f>IF(H22="","",SUMIFS(VENDAS!$K$5:$K$1004,VENDAS!$A$5:$A$1004,H22))</f>
        <v/>
      </c>
      <c r="S22" s="20" t="n"/>
      <c r="T22" s="31" t="n"/>
    </row>
    <row r="23">
      <c r="A23" s="22">
        <f>IF(A8="","",A8)</f>
        <v/>
      </c>
      <c r="B23" s="14">
        <f>IF($A23="","",SUMIFS($M$5:$M$504,$J$5:$J$504,$A23,$S$5:$S$504,"Entregue"))</f>
        <v/>
      </c>
      <c r="C23" s="14">
        <f>IF($A23="","",SUMIFS($N$5:$N$504,$J$5:$J$504,$A23,$S$5:$S$504,"Entregue"))</f>
        <v/>
      </c>
      <c r="D23" s="14">
        <f>IF($A23="","",SUMIFS($O$5:$O$504,$J$5:$J$504,$A23,$S$5:$S$504,"Entregue"))</f>
        <v/>
      </c>
      <c r="E23" s="14">
        <f>IF($A23="","",SUMIFS($P$5:$P$504,$J$5:$J$504,$A23,$S$5:$S$504,"Entregue"))</f>
        <v/>
      </c>
      <c r="F23" s="15">
        <f>IF($A23="","",SUMIFS($R$5:$R$504,$J$5:$J$504,$A23,$S$5:$S$504,"Entregue"))</f>
        <v/>
      </c>
      <c r="H23" s="20" t="n"/>
      <c r="I23" s="30">
        <f>IF(H23="","",IFERROR(INDEX(VENDAS!$B$5:$B$1004,MATCH(H23,VENDAS!$A$5:$A$1004,0)),"não lançado"))</f>
        <v/>
      </c>
      <c r="J23" s="22">
        <f>IF(H23="","",IFERROR(INDEX(VENDAS!$M$5:$M$1004,MATCH(H23,VENDAS!$A$5:$A$1004,0))&amp;"",""))</f>
        <v/>
      </c>
      <c r="K23" s="22">
        <f>IF(H23="","",IFERROR(INDEX(VENDAS!$J$5:$J$1004,MATCH(H23,VENDAS!$A$5:$A$1004,0))&amp;"",""))</f>
        <v/>
      </c>
      <c r="L23" s="26">
        <f>IF(H23="","",SUMIFS(VENDAS!$F$5:$F$1004,VENDAS!$A$5:$A$1004,H23))</f>
        <v/>
      </c>
      <c r="M23" s="26">
        <f>IF(H23="","",SUMIFS(VENDAS!$F$5:$F$1004,VENDAS!$A$5:$A$1004,H23,VENDAS!$D$5:$D$1004,M$4))</f>
        <v/>
      </c>
      <c r="N23" s="26">
        <f>IF(H23="","",SUMIFS(VENDAS!$F$5:$F$1004,VENDAS!$A$5:$A$1004,H23,VENDAS!$D$5:$D$1004,N$4))</f>
        <v/>
      </c>
      <c r="O23" s="26">
        <f>IF(H23="","",SUMIFS(VENDAS!$F$5:$F$1004,VENDAS!$A$5:$A$1004,H23,VENDAS!$D$5:$D$1004,O$4))</f>
        <v/>
      </c>
      <c r="P23" s="26">
        <f>IF(H23="","",SUMIFS(VENDAS!$F$5:$F$1004,VENDAS!$A$5:$A$1004,H23,VENDAS!$D$5:$D$1004,P$4))</f>
        <v/>
      </c>
      <c r="Q23" s="24">
        <f>IF(H23="","",SUMIFS(VENDAS!$H$5:$H$1004,VENDAS!$A$5:$A$1004,H23))</f>
        <v/>
      </c>
      <c r="R23" s="24">
        <f>IF(H23="","",SUMIFS(VENDAS!$K$5:$K$1004,VENDAS!$A$5:$A$1004,H23))</f>
        <v/>
      </c>
      <c r="S23" s="20" t="n"/>
      <c r="T23" s="31" t="n"/>
    </row>
    <row r="24">
      <c r="A24" s="22">
        <f>IF(A9="","",A9)</f>
        <v/>
      </c>
      <c r="B24" s="14">
        <f>IF($A24="","",SUMIFS($M$5:$M$504,$J$5:$J$504,$A24,$S$5:$S$504,"Entregue"))</f>
        <v/>
      </c>
      <c r="C24" s="14">
        <f>IF($A24="","",SUMIFS($N$5:$N$504,$J$5:$J$504,$A24,$S$5:$S$504,"Entregue"))</f>
        <v/>
      </c>
      <c r="D24" s="14">
        <f>IF($A24="","",SUMIFS($O$5:$O$504,$J$5:$J$504,$A24,$S$5:$S$504,"Entregue"))</f>
        <v/>
      </c>
      <c r="E24" s="14">
        <f>IF($A24="","",SUMIFS($P$5:$P$504,$J$5:$J$504,$A24,$S$5:$S$504,"Entregue"))</f>
        <v/>
      </c>
      <c r="F24" s="15">
        <f>IF($A24="","",SUMIFS($R$5:$R$504,$J$5:$J$504,$A24,$S$5:$S$504,"Entregue"))</f>
        <v/>
      </c>
      <c r="H24" s="20" t="n"/>
      <c r="I24" s="30">
        <f>IF(H24="","",IFERROR(INDEX(VENDAS!$B$5:$B$1004,MATCH(H24,VENDAS!$A$5:$A$1004,0)),"não lançado"))</f>
        <v/>
      </c>
      <c r="J24" s="22">
        <f>IF(H24="","",IFERROR(INDEX(VENDAS!$M$5:$M$1004,MATCH(H24,VENDAS!$A$5:$A$1004,0))&amp;"",""))</f>
        <v/>
      </c>
      <c r="K24" s="22">
        <f>IF(H24="","",IFERROR(INDEX(VENDAS!$J$5:$J$1004,MATCH(H24,VENDAS!$A$5:$A$1004,0))&amp;"",""))</f>
        <v/>
      </c>
      <c r="L24" s="26">
        <f>IF(H24="","",SUMIFS(VENDAS!$F$5:$F$1004,VENDAS!$A$5:$A$1004,H24))</f>
        <v/>
      </c>
      <c r="M24" s="26">
        <f>IF(H24="","",SUMIFS(VENDAS!$F$5:$F$1004,VENDAS!$A$5:$A$1004,H24,VENDAS!$D$5:$D$1004,M$4))</f>
        <v/>
      </c>
      <c r="N24" s="26">
        <f>IF(H24="","",SUMIFS(VENDAS!$F$5:$F$1004,VENDAS!$A$5:$A$1004,H24,VENDAS!$D$5:$D$1004,N$4))</f>
        <v/>
      </c>
      <c r="O24" s="26">
        <f>IF(H24="","",SUMIFS(VENDAS!$F$5:$F$1004,VENDAS!$A$5:$A$1004,H24,VENDAS!$D$5:$D$1004,O$4))</f>
        <v/>
      </c>
      <c r="P24" s="26">
        <f>IF(H24="","",SUMIFS(VENDAS!$F$5:$F$1004,VENDAS!$A$5:$A$1004,H24,VENDAS!$D$5:$D$1004,P$4))</f>
        <v/>
      </c>
      <c r="Q24" s="24">
        <f>IF(H24="","",SUMIFS(VENDAS!$H$5:$H$1004,VENDAS!$A$5:$A$1004,H24))</f>
        <v/>
      </c>
      <c r="R24" s="24">
        <f>IF(H24="","",SUMIFS(VENDAS!$K$5:$K$1004,VENDAS!$A$5:$A$1004,H24))</f>
        <v/>
      </c>
      <c r="S24" s="20" t="n"/>
      <c r="T24" s="31" t="n"/>
    </row>
    <row r="25">
      <c r="A25" s="22">
        <f>IF(A10="","",A10)</f>
        <v/>
      </c>
      <c r="B25" s="14">
        <f>IF($A25="","",SUMIFS($M$5:$M$504,$J$5:$J$504,$A25,$S$5:$S$504,"Entregue"))</f>
        <v/>
      </c>
      <c r="C25" s="14">
        <f>IF($A25="","",SUMIFS($N$5:$N$504,$J$5:$J$504,$A25,$S$5:$S$504,"Entregue"))</f>
        <v/>
      </c>
      <c r="D25" s="14">
        <f>IF($A25="","",SUMIFS($O$5:$O$504,$J$5:$J$504,$A25,$S$5:$S$504,"Entregue"))</f>
        <v/>
      </c>
      <c r="E25" s="14">
        <f>IF($A25="","",SUMIFS($P$5:$P$504,$J$5:$J$504,$A25,$S$5:$S$504,"Entregue"))</f>
        <v/>
      </c>
      <c r="F25" s="15">
        <f>IF($A25="","",SUMIFS($R$5:$R$504,$J$5:$J$504,$A25,$S$5:$S$504,"Entregue"))</f>
        <v/>
      </c>
      <c r="H25" s="20" t="n"/>
      <c r="I25" s="30">
        <f>IF(H25="","",IFERROR(INDEX(VENDAS!$B$5:$B$1004,MATCH(H25,VENDAS!$A$5:$A$1004,0)),"não lançado"))</f>
        <v/>
      </c>
      <c r="J25" s="22">
        <f>IF(H25="","",IFERROR(INDEX(VENDAS!$M$5:$M$1004,MATCH(H25,VENDAS!$A$5:$A$1004,0))&amp;"",""))</f>
        <v/>
      </c>
      <c r="K25" s="22">
        <f>IF(H25="","",IFERROR(INDEX(VENDAS!$J$5:$J$1004,MATCH(H25,VENDAS!$A$5:$A$1004,0))&amp;"",""))</f>
        <v/>
      </c>
      <c r="L25" s="26">
        <f>IF(H25="","",SUMIFS(VENDAS!$F$5:$F$1004,VENDAS!$A$5:$A$1004,H25))</f>
        <v/>
      </c>
      <c r="M25" s="26">
        <f>IF(H25="","",SUMIFS(VENDAS!$F$5:$F$1004,VENDAS!$A$5:$A$1004,H25,VENDAS!$D$5:$D$1004,M$4))</f>
        <v/>
      </c>
      <c r="N25" s="26">
        <f>IF(H25="","",SUMIFS(VENDAS!$F$5:$F$1004,VENDAS!$A$5:$A$1004,H25,VENDAS!$D$5:$D$1004,N$4))</f>
        <v/>
      </c>
      <c r="O25" s="26">
        <f>IF(H25="","",SUMIFS(VENDAS!$F$5:$F$1004,VENDAS!$A$5:$A$1004,H25,VENDAS!$D$5:$D$1004,O$4))</f>
        <v/>
      </c>
      <c r="P25" s="26">
        <f>IF(H25="","",SUMIFS(VENDAS!$F$5:$F$1004,VENDAS!$A$5:$A$1004,H25,VENDAS!$D$5:$D$1004,P$4))</f>
        <v/>
      </c>
      <c r="Q25" s="24">
        <f>IF(H25="","",SUMIFS(VENDAS!$H$5:$H$1004,VENDAS!$A$5:$A$1004,H25))</f>
        <v/>
      </c>
      <c r="R25" s="24">
        <f>IF(H25="","",SUMIFS(VENDAS!$K$5:$K$1004,VENDAS!$A$5:$A$1004,H25))</f>
        <v/>
      </c>
      <c r="S25" s="20" t="n"/>
      <c r="T25" s="31" t="n"/>
    </row>
    <row r="26">
      <c r="A26" s="22">
        <f>IF(A11="","",A11)</f>
        <v/>
      </c>
      <c r="B26" s="14">
        <f>IF($A26="","",SUMIFS($M$5:$M$504,$J$5:$J$504,$A26,$S$5:$S$504,"Entregue"))</f>
        <v/>
      </c>
      <c r="C26" s="14">
        <f>IF($A26="","",SUMIFS($N$5:$N$504,$J$5:$J$504,$A26,$S$5:$S$504,"Entregue"))</f>
        <v/>
      </c>
      <c r="D26" s="14">
        <f>IF($A26="","",SUMIFS($O$5:$O$504,$J$5:$J$504,$A26,$S$5:$S$504,"Entregue"))</f>
        <v/>
      </c>
      <c r="E26" s="14">
        <f>IF($A26="","",SUMIFS($P$5:$P$504,$J$5:$J$504,$A26,$S$5:$S$504,"Entregue"))</f>
        <v/>
      </c>
      <c r="F26" s="15">
        <f>IF($A26="","",SUMIFS($R$5:$R$504,$J$5:$J$504,$A26,$S$5:$S$504,"Entregue"))</f>
        <v/>
      </c>
      <c r="H26" s="20" t="n"/>
      <c r="I26" s="30">
        <f>IF(H26="","",IFERROR(INDEX(VENDAS!$B$5:$B$1004,MATCH(H26,VENDAS!$A$5:$A$1004,0)),"não lançado"))</f>
        <v/>
      </c>
      <c r="J26" s="22">
        <f>IF(H26="","",IFERROR(INDEX(VENDAS!$M$5:$M$1004,MATCH(H26,VENDAS!$A$5:$A$1004,0))&amp;"",""))</f>
        <v/>
      </c>
      <c r="K26" s="22">
        <f>IF(H26="","",IFERROR(INDEX(VENDAS!$J$5:$J$1004,MATCH(H26,VENDAS!$A$5:$A$1004,0))&amp;"",""))</f>
        <v/>
      </c>
      <c r="L26" s="26">
        <f>IF(H26="","",SUMIFS(VENDAS!$F$5:$F$1004,VENDAS!$A$5:$A$1004,H26))</f>
        <v/>
      </c>
      <c r="M26" s="26">
        <f>IF(H26="","",SUMIFS(VENDAS!$F$5:$F$1004,VENDAS!$A$5:$A$1004,H26,VENDAS!$D$5:$D$1004,M$4))</f>
        <v/>
      </c>
      <c r="N26" s="26">
        <f>IF(H26="","",SUMIFS(VENDAS!$F$5:$F$1004,VENDAS!$A$5:$A$1004,H26,VENDAS!$D$5:$D$1004,N$4))</f>
        <v/>
      </c>
      <c r="O26" s="26">
        <f>IF(H26="","",SUMIFS(VENDAS!$F$5:$F$1004,VENDAS!$A$5:$A$1004,H26,VENDAS!$D$5:$D$1004,O$4))</f>
        <v/>
      </c>
      <c r="P26" s="26">
        <f>IF(H26="","",SUMIFS(VENDAS!$F$5:$F$1004,VENDAS!$A$5:$A$1004,H26,VENDAS!$D$5:$D$1004,P$4))</f>
        <v/>
      </c>
      <c r="Q26" s="24">
        <f>IF(H26="","",SUMIFS(VENDAS!$H$5:$H$1004,VENDAS!$A$5:$A$1004,H26))</f>
        <v/>
      </c>
      <c r="R26" s="24">
        <f>IF(H26="","",SUMIFS(VENDAS!$K$5:$K$1004,VENDAS!$A$5:$A$1004,H26))</f>
        <v/>
      </c>
      <c r="S26" s="20" t="n"/>
      <c r="T26" s="31" t="n"/>
    </row>
    <row r="27">
      <c r="A27" s="22">
        <f>IF(A12="","",A12)</f>
        <v/>
      </c>
      <c r="B27" s="14">
        <f>IF($A27="","",SUMIFS($M$5:$M$504,$J$5:$J$504,$A27,$S$5:$S$504,"Entregue"))</f>
        <v/>
      </c>
      <c r="C27" s="14">
        <f>IF($A27="","",SUMIFS($N$5:$N$504,$J$5:$J$504,$A27,$S$5:$S$504,"Entregue"))</f>
        <v/>
      </c>
      <c r="D27" s="14">
        <f>IF($A27="","",SUMIFS($O$5:$O$504,$J$5:$J$504,$A27,$S$5:$S$504,"Entregue"))</f>
        <v/>
      </c>
      <c r="E27" s="14">
        <f>IF($A27="","",SUMIFS($P$5:$P$504,$J$5:$J$504,$A27,$S$5:$S$504,"Entregue"))</f>
        <v/>
      </c>
      <c r="F27" s="15">
        <f>IF($A27="","",SUMIFS($R$5:$R$504,$J$5:$J$504,$A27,$S$5:$S$504,"Entregue"))</f>
        <v/>
      </c>
      <c r="H27" s="20" t="n"/>
      <c r="I27" s="30">
        <f>IF(H27="","",IFERROR(INDEX(VENDAS!$B$5:$B$1004,MATCH(H27,VENDAS!$A$5:$A$1004,0)),"não lançado"))</f>
        <v/>
      </c>
      <c r="J27" s="22">
        <f>IF(H27="","",IFERROR(INDEX(VENDAS!$M$5:$M$1004,MATCH(H27,VENDAS!$A$5:$A$1004,0))&amp;"",""))</f>
        <v/>
      </c>
      <c r="K27" s="22">
        <f>IF(H27="","",IFERROR(INDEX(VENDAS!$J$5:$J$1004,MATCH(H27,VENDAS!$A$5:$A$1004,0))&amp;"",""))</f>
        <v/>
      </c>
      <c r="L27" s="26">
        <f>IF(H27="","",SUMIFS(VENDAS!$F$5:$F$1004,VENDAS!$A$5:$A$1004,H27))</f>
        <v/>
      </c>
      <c r="M27" s="26">
        <f>IF(H27="","",SUMIFS(VENDAS!$F$5:$F$1004,VENDAS!$A$5:$A$1004,H27,VENDAS!$D$5:$D$1004,M$4))</f>
        <v/>
      </c>
      <c r="N27" s="26">
        <f>IF(H27="","",SUMIFS(VENDAS!$F$5:$F$1004,VENDAS!$A$5:$A$1004,H27,VENDAS!$D$5:$D$1004,N$4))</f>
        <v/>
      </c>
      <c r="O27" s="26">
        <f>IF(H27="","",SUMIFS(VENDAS!$F$5:$F$1004,VENDAS!$A$5:$A$1004,H27,VENDAS!$D$5:$D$1004,O$4))</f>
        <v/>
      </c>
      <c r="P27" s="26">
        <f>IF(H27="","",SUMIFS(VENDAS!$F$5:$F$1004,VENDAS!$A$5:$A$1004,H27,VENDAS!$D$5:$D$1004,P$4))</f>
        <v/>
      </c>
      <c r="Q27" s="24">
        <f>IF(H27="","",SUMIFS(VENDAS!$H$5:$H$1004,VENDAS!$A$5:$A$1004,H27))</f>
        <v/>
      </c>
      <c r="R27" s="24">
        <f>IF(H27="","",SUMIFS(VENDAS!$K$5:$K$1004,VENDAS!$A$5:$A$1004,H27))</f>
        <v/>
      </c>
      <c r="S27" s="20" t="n"/>
      <c r="T27" s="31" t="n"/>
    </row>
    <row r="28">
      <c r="A28" s="22">
        <f>IF(A13="","",A13)</f>
        <v/>
      </c>
      <c r="B28" s="14">
        <f>IF($A28="","",SUMIFS($M$5:$M$504,$J$5:$J$504,$A28,$S$5:$S$504,"Entregue"))</f>
        <v/>
      </c>
      <c r="C28" s="14">
        <f>IF($A28="","",SUMIFS($N$5:$N$504,$J$5:$J$504,$A28,$S$5:$S$504,"Entregue"))</f>
        <v/>
      </c>
      <c r="D28" s="14">
        <f>IF($A28="","",SUMIFS($O$5:$O$504,$J$5:$J$504,$A28,$S$5:$S$504,"Entregue"))</f>
        <v/>
      </c>
      <c r="E28" s="14">
        <f>IF($A28="","",SUMIFS($P$5:$P$504,$J$5:$J$504,$A28,$S$5:$S$504,"Entregue"))</f>
        <v/>
      </c>
      <c r="F28" s="15">
        <f>IF($A28="","",SUMIFS($R$5:$R$504,$J$5:$J$504,$A28,$S$5:$S$504,"Entregue"))</f>
        <v/>
      </c>
      <c r="H28" s="20" t="n"/>
      <c r="I28" s="30">
        <f>IF(H28="","",IFERROR(INDEX(VENDAS!$B$5:$B$1004,MATCH(H28,VENDAS!$A$5:$A$1004,0)),"não lançado"))</f>
        <v/>
      </c>
      <c r="J28" s="22">
        <f>IF(H28="","",IFERROR(INDEX(VENDAS!$M$5:$M$1004,MATCH(H28,VENDAS!$A$5:$A$1004,0))&amp;"",""))</f>
        <v/>
      </c>
      <c r="K28" s="22">
        <f>IF(H28="","",IFERROR(INDEX(VENDAS!$J$5:$J$1004,MATCH(H28,VENDAS!$A$5:$A$1004,0))&amp;"",""))</f>
        <v/>
      </c>
      <c r="L28" s="26">
        <f>IF(H28="","",SUMIFS(VENDAS!$F$5:$F$1004,VENDAS!$A$5:$A$1004,H28))</f>
        <v/>
      </c>
      <c r="M28" s="26">
        <f>IF(H28="","",SUMIFS(VENDAS!$F$5:$F$1004,VENDAS!$A$5:$A$1004,H28,VENDAS!$D$5:$D$1004,M$4))</f>
        <v/>
      </c>
      <c r="N28" s="26">
        <f>IF(H28="","",SUMIFS(VENDAS!$F$5:$F$1004,VENDAS!$A$5:$A$1004,H28,VENDAS!$D$5:$D$1004,N$4))</f>
        <v/>
      </c>
      <c r="O28" s="26">
        <f>IF(H28="","",SUMIFS(VENDAS!$F$5:$F$1004,VENDAS!$A$5:$A$1004,H28,VENDAS!$D$5:$D$1004,O$4))</f>
        <v/>
      </c>
      <c r="P28" s="26">
        <f>IF(H28="","",SUMIFS(VENDAS!$F$5:$F$1004,VENDAS!$A$5:$A$1004,H28,VENDAS!$D$5:$D$1004,P$4))</f>
        <v/>
      </c>
      <c r="Q28" s="24">
        <f>IF(H28="","",SUMIFS(VENDAS!$H$5:$H$1004,VENDAS!$A$5:$A$1004,H28))</f>
        <v/>
      </c>
      <c r="R28" s="24">
        <f>IF(H28="","",SUMIFS(VENDAS!$K$5:$K$1004,VENDAS!$A$5:$A$1004,H28))</f>
        <v/>
      </c>
      <c r="S28" s="20" t="n"/>
      <c r="T28" s="31" t="n"/>
    </row>
    <row r="29">
      <c r="A29" s="22">
        <f>IF(A14="","",A14)</f>
        <v/>
      </c>
      <c r="B29" s="14">
        <f>IF($A29="","",SUMIFS($M$5:$M$504,$J$5:$J$504,$A29,$S$5:$S$504,"Entregue"))</f>
        <v/>
      </c>
      <c r="C29" s="14">
        <f>IF($A29="","",SUMIFS($N$5:$N$504,$J$5:$J$504,$A29,$S$5:$S$504,"Entregue"))</f>
        <v/>
      </c>
      <c r="D29" s="14">
        <f>IF($A29="","",SUMIFS($O$5:$O$504,$J$5:$J$504,$A29,$S$5:$S$504,"Entregue"))</f>
        <v/>
      </c>
      <c r="E29" s="14">
        <f>IF($A29="","",SUMIFS($P$5:$P$504,$J$5:$J$504,$A29,$S$5:$S$504,"Entregue"))</f>
        <v/>
      </c>
      <c r="F29" s="15">
        <f>IF($A29="","",SUMIFS($R$5:$R$504,$J$5:$J$504,$A29,$S$5:$S$504,"Entregue"))</f>
        <v/>
      </c>
      <c r="H29" s="20" t="n"/>
      <c r="I29" s="30">
        <f>IF(H29="","",IFERROR(INDEX(VENDAS!$B$5:$B$1004,MATCH(H29,VENDAS!$A$5:$A$1004,0)),"não lançado"))</f>
        <v/>
      </c>
      <c r="J29" s="22">
        <f>IF(H29="","",IFERROR(INDEX(VENDAS!$M$5:$M$1004,MATCH(H29,VENDAS!$A$5:$A$1004,0))&amp;"",""))</f>
        <v/>
      </c>
      <c r="K29" s="22">
        <f>IF(H29="","",IFERROR(INDEX(VENDAS!$J$5:$J$1004,MATCH(H29,VENDAS!$A$5:$A$1004,0))&amp;"",""))</f>
        <v/>
      </c>
      <c r="L29" s="26">
        <f>IF(H29="","",SUMIFS(VENDAS!$F$5:$F$1004,VENDAS!$A$5:$A$1004,H29))</f>
        <v/>
      </c>
      <c r="M29" s="26">
        <f>IF(H29="","",SUMIFS(VENDAS!$F$5:$F$1004,VENDAS!$A$5:$A$1004,H29,VENDAS!$D$5:$D$1004,M$4))</f>
        <v/>
      </c>
      <c r="N29" s="26">
        <f>IF(H29="","",SUMIFS(VENDAS!$F$5:$F$1004,VENDAS!$A$5:$A$1004,H29,VENDAS!$D$5:$D$1004,N$4))</f>
        <v/>
      </c>
      <c r="O29" s="26">
        <f>IF(H29="","",SUMIFS(VENDAS!$F$5:$F$1004,VENDAS!$A$5:$A$1004,H29,VENDAS!$D$5:$D$1004,O$4))</f>
        <v/>
      </c>
      <c r="P29" s="26">
        <f>IF(H29="","",SUMIFS(VENDAS!$F$5:$F$1004,VENDAS!$A$5:$A$1004,H29,VENDAS!$D$5:$D$1004,P$4))</f>
        <v/>
      </c>
      <c r="Q29" s="24">
        <f>IF(H29="","",SUMIFS(VENDAS!$H$5:$H$1004,VENDAS!$A$5:$A$1004,H29))</f>
        <v/>
      </c>
      <c r="R29" s="24">
        <f>IF(H29="","",SUMIFS(VENDAS!$K$5:$K$1004,VENDAS!$A$5:$A$1004,H29))</f>
        <v/>
      </c>
      <c r="S29" s="20" t="n"/>
      <c r="T29" s="31" t="n"/>
    </row>
    <row r="30">
      <c r="H30" s="20" t="n"/>
      <c r="I30" s="30">
        <f>IF(H30="","",IFERROR(INDEX(VENDAS!$B$5:$B$1004,MATCH(H30,VENDAS!$A$5:$A$1004,0)),"não lançado"))</f>
        <v/>
      </c>
      <c r="J30" s="22">
        <f>IF(H30="","",IFERROR(INDEX(VENDAS!$M$5:$M$1004,MATCH(H30,VENDAS!$A$5:$A$1004,0))&amp;"",""))</f>
        <v/>
      </c>
      <c r="K30" s="22">
        <f>IF(H30="","",IFERROR(INDEX(VENDAS!$J$5:$J$1004,MATCH(H30,VENDAS!$A$5:$A$1004,0))&amp;"",""))</f>
        <v/>
      </c>
      <c r="L30" s="26">
        <f>IF(H30="","",SUMIFS(VENDAS!$F$5:$F$1004,VENDAS!$A$5:$A$1004,H30))</f>
        <v/>
      </c>
      <c r="M30" s="26">
        <f>IF(H30="","",SUMIFS(VENDAS!$F$5:$F$1004,VENDAS!$A$5:$A$1004,H30,VENDAS!$D$5:$D$1004,M$4))</f>
        <v/>
      </c>
      <c r="N30" s="26">
        <f>IF(H30="","",SUMIFS(VENDAS!$F$5:$F$1004,VENDAS!$A$5:$A$1004,H30,VENDAS!$D$5:$D$1004,N$4))</f>
        <v/>
      </c>
      <c r="O30" s="26">
        <f>IF(H30="","",SUMIFS(VENDAS!$F$5:$F$1004,VENDAS!$A$5:$A$1004,H30,VENDAS!$D$5:$D$1004,O$4))</f>
        <v/>
      </c>
      <c r="P30" s="26">
        <f>IF(H30="","",SUMIFS(VENDAS!$F$5:$F$1004,VENDAS!$A$5:$A$1004,H30,VENDAS!$D$5:$D$1004,P$4))</f>
        <v/>
      </c>
      <c r="Q30" s="24">
        <f>IF(H30="","",SUMIFS(VENDAS!$H$5:$H$1004,VENDAS!$A$5:$A$1004,H30))</f>
        <v/>
      </c>
      <c r="R30" s="24">
        <f>IF(H30="","",SUMIFS(VENDAS!$K$5:$K$1004,VENDAS!$A$5:$A$1004,H30))</f>
        <v/>
      </c>
      <c r="S30" s="20" t="n"/>
      <c r="T30" s="31" t="n"/>
    </row>
    <row r="31">
      <c r="A31" s="19" t="inlineStr">
        <is>
          <t>Taxas = soma das taxas de entrega dos pedidos com status 'Entregue' (base para o repasse ao motoboy).</t>
        </is>
      </c>
      <c r="H31" s="20" t="n"/>
      <c r="I31" s="30">
        <f>IF(H31="","",IFERROR(INDEX(VENDAS!$B$5:$B$1004,MATCH(H31,VENDAS!$A$5:$A$1004,0)),"não lançado"))</f>
        <v/>
      </c>
      <c r="J31" s="22">
        <f>IF(H31="","",IFERROR(INDEX(VENDAS!$M$5:$M$1004,MATCH(H31,VENDAS!$A$5:$A$1004,0))&amp;"",""))</f>
        <v/>
      </c>
      <c r="K31" s="22">
        <f>IF(H31="","",IFERROR(INDEX(VENDAS!$J$5:$J$1004,MATCH(H31,VENDAS!$A$5:$A$1004,0))&amp;"",""))</f>
        <v/>
      </c>
      <c r="L31" s="26">
        <f>IF(H31="","",SUMIFS(VENDAS!$F$5:$F$1004,VENDAS!$A$5:$A$1004,H31))</f>
        <v/>
      </c>
      <c r="M31" s="26">
        <f>IF(H31="","",SUMIFS(VENDAS!$F$5:$F$1004,VENDAS!$A$5:$A$1004,H31,VENDAS!$D$5:$D$1004,M$4))</f>
        <v/>
      </c>
      <c r="N31" s="26">
        <f>IF(H31="","",SUMIFS(VENDAS!$F$5:$F$1004,VENDAS!$A$5:$A$1004,H31,VENDAS!$D$5:$D$1004,N$4))</f>
        <v/>
      </c>
      <c r="O31" s="26">
        <f>IF(H31="","",SUMIFS(VENDAS!$F$5:$F$1004,VENDAS!$A$5:$A$1004,H31,VENDAS!$D$5:$D$1004,O$4))</f>
        <v/>
      </c>
      <c r="P31" s="26">
        <f>IF(H31="","",SUMIFS(VENDAS!$F$5:$F$1004,VENDAS!$A$5:$A$1004,H31,VENDAS!$D$5:$D$1004,P$4))</f>
        <v/>
      </c>
      <c r="Q31" s="24">
        <f>IF(H31="","",SUMIFS(VENDAS!$H$5:$H$1004,VENDAS!$A$5:$A$1004,H31))</f>
        <v/>
      </c>
      <c r="R31" s="24">
        <f>IF(H31="","",SUMIFS(VENDAS!$K$5:$K$1004,VENDAS!$A$5:$A$1004,H31))</f>
        <v/>
      </c>
      <c r="S31" s="20" t="n"/>
      <c r="T31" s="31" t="n"/>
    </row>
    <row r="32">
      <c r="H32" s="20" t="n"/>
      <c r="I32" s="30">
        <f>IF(H32="","",IFERROR(INDEX(VENDAS!$B$5:$B$1004,MATCH(H32,VENDAS!$A$5:$A$1004,0)),"não lançado"))</f>
        <v/>
      </c>
      <c r="J32" s="22">
        <f>IF(H32="","",IFERROR(INDEX(VENDAS!$M$5:$M$1004,MATCH(H32,VENDAS!$A$5:$A$1004,0))&amp;"",""))</f>
        <v/>
      </c>
      <c r="K32" s="22">
        <f>IF(H32="","",IFERROR(INDEX(VENDAS!$J$5:$J$1004,MATCH(H32,VENDAS!$A$5:$A$1004,0))&amp;"",""))</f>
        <v/>
      </c>
      <c r="L32" s="26">
        <f>IF(H32="","",SUMIFS(VENDAS!$F$5:$F$1004,VENDAS!$A$5:$A$1004,H32))</f>
        <v/>
      </c>
      <c r="M32" s="26">
        <f>IF(H32="","",SUMIFS(VENDAS!$F$5:$F$1004,VENDAS!$A$5:$A$1004,H32,VENDAS!$D$5:$D$1004,M$4))</f>
        <v/>
      </c>
      <c r="N32" s="26">
        <f>IF(H32="","",SUMIFS(VENDAS!$F$5:$F$1004,VENDAS!$A$5:$A$1004,H32,VENDAS!$D$5:$D$1004,N$4))</f>
        <v/>
      </c>
      <c r="O32" s="26">
        <f>IF(H32="","",SUMIFS(VENDAS!$F$5:$F$1004,VENDAS!$A$5:$A$1004,H32,VENDAS!$D$5:$D$1004,O$4))</f>
        <v/>
      </c>
      <c r="P32" s="26">
        <f>IF(H32="","",SUMIFS(VENDAS!$F$5:$F$1004,VENDAS!$A$5:$A$1004,H32,VENDAS!$D$5:$D$1004,P$4))</f>
        <v/>
      </c>
      <c r="Q32" s="24">
        <f>IF(H32="","",SUMIFS(VENDAS!$H$5:$H$1004,VENDAS!$A$5:$A$1004,H32))</f>
        <v/>
      </c>
      <c r="R32" s="24">
        <f>IF(H32="","",SUMIFS(VENDAS!$K$5:$K$1004,VENDAS!$A$5:$A$1004,H32))</f>
        <v/>
      </c>
      <c r="S32" s="20" t="n"/>
      <c r="T32" s="31" t="n"/>
    </row>
    <row r="33">
      <c r="H33" s="20" t="n"/>
      <c r="I33" s="30">
        <f>IF(H33="","",IFERROR(INDEX(VENDAS!$B$5:$B$1004,MATCH(H33,VENDAS!$A$5:$A$1004,0)),"não lançado"))</f>
        <v/>
      </c>
      <c r="J33" s="22">
        <f>IF(H33="","",IFERROR(INDEX(VENDAS!$M$5:$M$1004,MATCH(H33,VENDAS!$A$5:$A$1004,0))&amp;"",""))</f>
        <v/>
      </c>
      <c r="K33" s="22">
        <f>IF(H33="","",IFERROR(INDEX(VENDAS!$J$5:$J$1004,MATCH(H33,VENDAS!$A$5:$A$1004,0))&amp;"",""))</f>
        <v/>
      </c>
      <c r="L33" s="26">
        <f>IF(H33="","",SUMIFS(VENDAS!$F$5:$F$1004,VENDAS!$A$5:$A$1004,H33))</f>
        <v/>
      </c>
      <c r="M33" s="26">
        <f>IF(H33="","",SUMIFS(VENDAS!$F$5:$F$1004,VENDAS!$A$5:$A$1004,H33,VENDAS!$D$5:$D$1004,M$4))</f>
        <v/>
      </c>
      <c r="N33" s="26">
        <f>IF(H33="","",SUMIFS(VENDAS!$F$5:$F$1004,VENDAS!$A$5:$A$1004,H33,VENDAS!$D$5:$D$1004,N$4))</f>
        <v/>
      </c>
      <c r="O33" s="26">
        <f>IF(H33="","",SUMIFS(VENDAS!$F$5:$F$1004,VENDAS!$A$5:$A$1004,H33,VENDAS!$D$5:$D$1004,O$4))</f>
        <v/>
      </c>
      <c r="P33" s="26">
        <f>IF(H33="","",SUMIFS(VENDAS!$F$5:$F$1004,VENDAS!$A$5:$A$1004,H33,VENDAS!$D$5:$D$1004,P$4))</f>
        <v/>
      </c>
      <c r="Q33" s="24">
        <f>IF(H33="","",SUMIFS(VENDAS!$H$5:$H$1004,VENDAS!$A$5:$A$1004,H33))</f>
        <v/>
      </c>
      <c r="R33" s="24">
        <f>IF(H33="","",SUMIFS(VENDAS!$K$5:$K$1004,VENDAS!$A$5:$A$1004,H33))</f>
        <v/>
      </c>
      <c r="S33" s="20" t="n"/>
      <c r="T33" s="31" t="n"/>
    </row>
    <row r="34">
      <c r="H34" s="20" t="n"/>
      <c r="I34" s="30">
        <f>IF(H34="","",IFERROR(INDEX(VENDAS!$B$5:$B$1004,MATCH(H34,VENDAS!$A$5:$A$1004,0)),"não lançado"))</f>
        <v/>
      </c>
      <c r="J34" s="22">
        <f>IF(H34="","",IFERROR(INDEX(VENDAS!$M$5:$M$1004,MATCH(H34,VENDAS!$A$5:$A$1004,0))&amp;"",""))</f>
        <v/>
      </c>
      <c r="K34" s="22">
        <f>IF(H34="","",IFERROR(INDEX(VENDAS!$J$5:$J$1004,MATCH(H34,VENDAS!$A$5:$A$1004,0))&amp;"",""))</f>
        <v/>
      </c>
      <c r="L34" s="26">
        <f>IF(H34="","",SUMIFS(VENDAS!$F$5:$F$1004,VENDAS!$A$5:$A$1004,H34))</f>
        <v/>
      </c>
      <c r="M34" s="26">
        <f>IF(H34="","",SUMIFS(VENDAS!$F$5:$F$1004,VENDAS!$A$5:$A$1004,H34,VENDAS!$D$5:$D$1004,M$4))</f>
        <v/>
      </c>
      <c r="N34" s="26">
        <f>IF(H34="","",SUMIFS(VENDAS!$F$5:$F$1004,VENDAS!$A$5:$A$1004,H34,VENDAS!$D$5:$D$1004,N$4))</f>
        <v/>
      </c>
      <c r="O34" s="26">
        <f>IF(H34="","",SUMIFS(VENDAS!$F$5:$F$1004,VENDAS!$A$5:$A$1004,H34,VENDAS!$D$5:$D$1004,O$4))</f>
        <v/>
      </c>
      <c r="P34" s="26">
        <f>IF(H34="","",SUMIFS(VENDAS!$F$5:$F$1004,VENDAS!$A$5:$A$1004,H34,VENDAS!$D$5:$D$1004,P$4))</f>
        <v/>
      </c>
      <c r="Q34" s="24">
        <f>IF(H34="","",SUMIFS(VENDAS!$H$5:$H$1004,VENDAS!$A$5:$A$1004,H34))</f>
        <v/>
      </c>
      <c r="R34" s="24">
        <f>IF(H34="","",SUMIFS(VENDAS!$K$5:$K$1004,VENDAS!$A$5:$A$1004,H34))</f>
        <v/>
      </c>
      <c r="S34" s="20" t="n"/>
      <c r="T34" s="31" t="n"/>
    </row>
    <row r="35">
      <c r="H35" s="20" t="n"/>
      <c r="I35" s="30">
        <f>IF(H35="","",IFERROR(INDEX(VENDAS!$B$5:$B$1004,MATCH(H35,VENDAS!$A$5:$A$1004,0)),"não lançado"))</f>
        <v/>
      </c>
      <c r="J35" s="22">
        <f>IF(H35="","",IFERROR(INDEX(VENDAS!$M$5:$M$1004,MATCH(H35,VENDAS!$A$5:$A$1004,0))&amp;"",""))</f>
        <v/>
      </c>
      <c r="K35" s="22">
        <f>IF(H35="","",IFERROR(INDEX(VENDAS!$J$5:$J$1004,MATCH(H35,VENDAS!$A$5:$A$1004,0))&amp;"",""))</f>
        <v/>
      </c>
      <c r="L35" s="26">
        <f>IF(H35="","",SUMIFS(VENDAS!$F$5:$F$1004,VENDAS!$A$5:$A$1004,H35))</f>
        <v/>
      </c>
      <c r="M35" s="26">
        <f>IF(H35="","",SUMIFS(VENDAS!$F$5:$F$1004,VENDAS!$A$5:$A$1004,H35,VENDAS!$D$5:$D$1004,M$4))</f>
        <v/>
      </c>
      <c r="N35" s="26">
        <f>IF(H35="","",SUMIFS(VENDAS!$F$5:$F$1004,VENDAS!$A$5:$A$1004,H35,VENDAS!$D$5:$D$1004,N$4))</f>
        <v/>
      </c>
      <c r="O35" s="26">
        <f>IF(H35="","",SUMIFS(VENDAS!$F$5:$F$1004,VENDAS!$A$5:$A$1004,H35,VENDAS!$D$5:$D$1004,O$4))</f>
        <v/>
      </c>
      <c r="P35" s="26">
        <f>IF(H35="","",SUMIFS(VENDAS!$F$5:$F$1004,VENDAS!$A$5:$A$1004,H35,VENDAS!$D$5:$D$1004,P$4))</f>
        <v/>
      </c>
      <c r="Q35" s="24">
        <f>IF(H35="","",SUMIFS(VENDAS!$H$5:$H$1004,VENDAS!$A$5:$A$1004,H35))</f>
        <v/>
      </c>
      <c r="R35" s="24">
        <f>IF(H35="","",SUMIFS(VENDAS!$K$5:$K$1004,VENDAS!$A$5:$A$1004,H35))</f>
        <v/>
      </c>
      <c r="S35" s="20" t="n"/>
      <c r="T35" s="31" t="n"/>
    </row>
    <row r="36">
      <c r="H36" s="20" t="n"/>
      <c r="I36" s="30">
        <f>IF(H36="","",IFERROR(INDEX(VENDAS!$B$5:$B$1004,MATCH(H36,VENDAS!$A$5:$A$1004,0)),"não lançado"))</f>
        <v/>
      </c>
      <c r="J36" s="22">
        <f>IF(H36="","",IFERROR(INDEX(VENDAS!$M$5:$M$1004,MATCH(H36,VENDAS!$A$5:$A$1004,0))&amp;"",""))</f>
        <v/>
      </c>
      <c r="K36" s="22">
        <f>IF(H36="","",IFERROR(INDEX(VENDAS!$J$5:$J$1004,MATCH(H36,VENDAS!$A$5:$A$1004,0))&amp;"",""))</f>
        <v/>
      </c>
      <c r="L36" s="26">
        <f>IF(H36="","",SUMIFS(VENDAS!$F$5:$F$1004,VENDAS!$A$5:$A$1004,H36))</f>
        <v/>
      </c>
      <c r="M36" s="26">
        <f>IF(H36="","",SUMIFS(VENDAS!$F$5:$F$1004,VENDAS!$A$5:$A$1004,H36,VENDAS!$D$5:$D$1004,M$4))</f>
        <v/>
      </c>
      <c r="N36" s="26">
        <f>IF(H36="","",SUMIFS(VENDAS!$F$5:$F$1004,VENDAS!$A$5:$A$1004,H36,VENDAS!$D$5:$D$1004,N$4))</f>
        <v/>
      </c>
      <c r="O36" s="26">
        <f>IF(H36="","",SUMIFS(VENDAS!$F$5:$F$1004,VENDAS!$A$5:$A$1004,H36,VENDAS!$D$5:$D$1004,O$4))</f>
        <v/>
      </c>
      <c r="P36" s="26">
        <f>IF(H36="","",SUMIFS(VENDAS!$F$5:$F$1004,VENDAS!$A$5:$A$1004,H36,VENDAS!$D$5:$D$1004,P$4))</f>
        <v/>
      </c>
      <c r="Q36" s="24">
        <f>IF(H36="","",SUMIFS(VENDAS!$H$5:$H$1004,VENDAS!$A$5:$A$1004,H36))</f>
        <v/>
      </c>
      <c r="R36" s="24">
        <f>IF(H36="","",SUMIFS(VENDAS!$K$5:$K$1004,VENDAS!$A$5:$A$1004,H36))</f>
        <v/>
      </c>
      <c r="S36" s="20" t="n"/>
      <c r="T36" s="31" t="n"/>
    </row>
    <row r="37">
      <c r="H37" s="20" t="n"/>
      <c r="I37" s="30">
        <f>IF(H37="","",IFERROR(INDEX(VENDAS!$B$5:$B$1004,MATCH(H37,VENDAS!$A$5:$A$1004,0)),"não lançado"))</f>
        <v/>
      </c>
      <c r="J37" s="22">
        <f>IF(H37="","",IFERROR(INDEX(VENDAS!$M$5:$M$1004,MATCH(H37,VENDAS!$A$5:$A$1004,0))&amp;"",""))</f>
        <v/>
      </c>
      <c r="K37" s="22">
        <f>IF(H37="","",IFERROR(INDEX(VENDAS!$J$5:$J$1004,MATCH(H37,VENDAS!$A$5:$A$1004,0))&amp;"",""))</f>
        <v/>
      </c>
      <c r="L37" s="26">
        <f>IF(H37="","",SUMIFS(VENDAS!$F$5:$F$1004,VENDAS!$A$5:$A$1004,H37))</f>
        <v/>
      </c>
      <c r="M37" s="26">
        <f>IF(H37="","",SUMIFS(VENDAS!$F$5:$F$1004,VENDAS!$A$5:$A$1004,H37,VENDAS!$D$5:$D$1004,M$4))</f>
        <v/>
      </c>
      <c r="N37" s="26">
        <f>IF(H37="","",SUMIFS(VENDAS!$F$5:$F$1004,VENDAS!$A$5:$A$1004,H37,VENDAS!$D$5:$D$1004,N$4))</f>
        <v/>
      </c>
      <c r="O37" s="26">
        <f>IF(H37="","",SUMIFS(VENDAS!$F$5:$F$1004,VENDAS!$A$5:$A$1004,H37,VENDAS!$D$5:$D$1004,O$4))</f>
        <v/>
      </c>
      <c r="P37" s="26">
        <f>IF(H37="","",SUMIFS(VENDAS!$F$5:$F$1004,VENDAS!$A$5:$A$1004,H37,VENDAS!$D$5:$D$1004,P$4))</f>
        <v/>
      </c>
      <c r="Q37" s="24">
        <f>IF(H37="","",SUMIFS(VENDAS!$H$5:$H$1004,VENDAS!$A$5:$A$1004,H37))</f>
        <v/>
      </c>
      <c r="R37" s="24">
        <f>IF(H37="","",SUMIFS(VENDAS!$K$5:$K$1004,VENDAS!$A$5:$A$1004,H37))</f>
        <v/>
      </c>
      <c r="S37" s="20" t="n"/>
      <c r="T37" s="31" t="n"/>
    </row>
    <row r="38">
      <c r="H38" s="20" t="n"/>
      <c r="I38" s="30">
        <f>IF(H38="","",IFERROR(INDEX(VENDAS!$B$5:$B$1004,MATCH(H38,VENDAS!$A$5:$A$1004,0)),"não lançado"))</f>
        <v/>
      </c>
      <c r="J38" s="22">
        <f>IF(H38="","",IFERROR(INDEX(VENDAS!$M$5:$M$1004,MATCH(H38,VENDAS!$A$5:$A$1004,0))&amp;"",""))</f>
        <v/>
      </c>
      <c r="K38" s="22">
        <f>IF(H38="","",IFERROR(INDEX(VENDAS!$J$5:$J$1004,MATCH(H38,VENDAS!$A$5:$A$1004,0))&amp;"",""))</f>
        <v/>
      </c>
      <c r="L38" s="26">
        <f>IF(H38="","",SUMIFS(VENDAS!$F$5:$F$1004,VENDAS!$A$5:$A$1004,H38))</f>
        <v/>
      </c>
      <c r="M38" s="26">
        <f>IF(H38="","",SUMIFS(VENDAS!$F$5:$F$1004,VENDAS!$A$5:$A$1004,H38,VENDAS!$D$5:$D$1004,M$4))</f>
        <v/>
      </c>
      <c r="N38" s="26">
        <f>IF(H38="","",SUMIFS(VENDAS!$F$5:$F$1004,VENDAS!$A$5:$A$1004,H38,VENDAS!$D$5:$D$1004,N$4))</f>
        <v/>
      </c>
      <c r="O38" s="26">
        <f>IF(H38="","",SUMIFS(VENDAS!$F$5:$F$1004,VENDAS!$A$5:$A$1004,H38,VENDAS!$D$5:$D$1004,O$4))</f>
        <v/>
      </c>
      <c r="P38" s="26">
        <f>IF(H38="","",SUMIFS(VENDAS!$F$5:$F$1004,VENDAS!$A$5:$A$1004,H38,VENDAS!$D$5:$D$1004,P$4))</f>
        <v/>
      </c>
      <c r="Q38" s="24">
        <f>IF(H38="","",SUMIFS(VENDAS!$H$5:$H$1004,VENDAS!$A$5:$A$1004,H38))</f>
        <v/>
      </c>
      <c r="R38" s="24">
        <f>IF(H38="","",SUMIFS(VENDAS!$K$5:$K$1004,VENDAS!$A$5:$A$1004,H38))</f>
        <v/>
      </c>
      <c r="S38" s="20" t="n"/>
      <c r="T38" s="31" t="n"/>
    </row>
    <row r="39">
      <c r="H39" s="20" t="n"/>
      <c r="I39" s="30">
        <f>IF(H39="","",IFERROR(INDEX(VENDAS!$B$5:$B$1004,MATCH(H39,VENDAS!$A$5:$A$1004,0)),"não lançado"))</f>
        <v/>
      </c>
      <c r="J39" s="22">
        <f>IF(H39="","",IFERROR(INDEX(VENDAS!$M$5:$M$1004,MATCH(H39,VENDAS!$A$5:$A$1004,0))&amp;"",""))</f>
        <v/>
      </c>
      <c r="K39" s="22">
        <f>IF(H39="","",IFERROR(INDEX(VENDAS!$J$5:$J$1004,MATCH(H39,VENDAS!$A$5:$A$1004,0))&amp;"",""))</f>
        <v/>
      </c>
      <c r="L39" s="26">
        <f>IF(H39="","",SUMIFS(VENDAS!$F$5:$F$1004,VENDAS!$A$5:$A$1004,H39))</f>
        <v/>
      </c>
      <c r="M39" s="26">
        <f>IF(H39="","",SUMIFS(VENDAS!$F$5:$F$1004,VENDAS!$A$5:$A$1004,H39,VENDAS!$D$5:$D$1004,M$4))</f>
        <v/>
      </c>
      <c r="N39" s="26">
        <f>IF(H39="","",SUMIFS(VENDAS!$F$5:$F$1004,VENDAS!$A$5:$A$1004,H39,VENDAS!$D$5:$D$1004,N$4))</f>
        <v/>
      </c>
      <c r="O39" s="26">
        <f>IF(H39="","",SUMIFS(VENDAS!$F$5:$F$1004,VENDAS!$A$5:$A$1004,H39,VENDAS!$D$5:$D$1004,O$4))</f>
        <v/>
      </c>
      <c r="P39" s="26">
        <f>IF(H39="","",SUMIFS(VENDAS!$F$5:$F$1004,VENDAS!$A$5:$A$1004,H39,VENDAS!$D$5:$D$1004,P$4))</f>
        <v/>
      </c>
      <c r="Q39" s="24">
        <f>IF(H39="","",SUMIFS(VENDAS!$H$5:$H$1004,VENDAS!$A$5:$A$1004,H39))</f>
        <v/>
      </c>
      <c r="R39" s="24">
        <f>IF(H39="","",SUMIFS(VENDAS!$K$5:$K$1004,VENDAS!$A$5:$A$1004,H39))</f>
        <v/>
      </c>
      <c r="S39" s="20" t="n"/>
      <c r="T39" s="31" t="n"/>
    </row>
    <row r="40">
      <c r="H40" s="20" t="n"/>
      <c r="I40" s="30">
        <f>IF(H40="","",IFERROR(INDEX(VENDAS!$B$5:$B$1004,MATCH(H40,VENDAS!$A$5:$A$1004,0)),"não lançado"))</f>
        <v/>
      </c>
      <c r="J40" s="22">
        <f>IF(H40="","",IFERROR(INDEX(VENDAS!$M$5:$M$1004,MATCH(H40,VENDAS!$A$5:$A$1004,0))&amp;"",""))</f>
        <v/>
      </c>
      <c r="K40" s="22">
        <f>IF(H40="","",IFERROR(INDEX(VENDAS!$J$5:$J$1004,MATCH(H40,VENDAS!$A$5:$A$1004,0))&amp;"",""))</f>
        <v/>
      </c>
      <c r="L40" s="26">
        <f>IF(H40="","",SUMIFS(VENDAS!$F$5:$F$1004,VENDAS!$A$5:$A$1004,H40))</f>
        <v/>
      </c>
      <c r="M40" s="26">
        <f>IF(H40="","",SUMIFS(VENDAS!$F$5:$F$1004,VENDAS!$A$5:$A$1004,H40,VENDAS!$D$5:$D$1004,M$4))</f>
        <v/>
      </c>
      <c r="N40" s="26">
        <f>IF(H40="","",SUMIFS(VENDAS!$F$5:$F$1004,VENDAS!$A$5:$A$1004,H40,VENDAS!$D$5:$D$1004,N$4))</f>
        <v/>
      </c>
      <c r="O40" s="26">
        <f>IF(H40="","",SUMIFS(VENDAS!$F$5:$F$1004,VENDAS!$A$5:$A$1004,H40,VENDAS!$D$5:$D$1004,O$4))</f>
        <v/>
      </c>
      <c r="P40" s="26">
        <f>IF(H40="","",SUMIFS(VENDAS!$F$5:$F$1004,VENDAS!$A$5:$A$1004,H40,VENDAS!$D$5:$D$1004,P$4))</f>
        <v/>
      </c>
      <c r="Q40" s="24">
        <f>IF(H40="","",SUMIFS(VENDAS!$H$5:$H$1004,VENDAS!$A$5:$A$1004,H40))</f>
        <v/>
      </c>
      <c r="R40" s="24">
        <f>IF(H40="","",SUMIFS(VENDAS!$K$5:$K$1004,VENDAS!$A$5:$A$1004,H40))</f>
        <v/>
      </c>
      <c r="S40" s="20" t="n"/>
      <c r="T40" s="31" t="n"/>
    </row>
    <row r="41">
      <c r="H41" s="20" t="n"/>
      <c r="I41" s="30">
        <f>IF(H41="","",IFERROR(INDEX(VENDAS!$B$5:$B$1004,MATCH(H41,VENDAS!$A$5:$A$1004,0)),"não lançado"))</f>
        <v/>
      </c>
      <c r="J41" s="22">
        <f>IF(H41="","",IFERROR(INDEX(VENDAS!$M$5:$M$1004,MATCH(H41,VENDAS!$A$5:$A$1004,0))&amp;"",""))</f>
        <v/>
      </c>
      <c r="K41" s="22">
        <f>IF(H41="","",IFERROR(INDEX(VENDAS!$J$5:$J$1004,MATCH(H41,VENDAS!$A$5:$A$1004,0))&amp;"",""))</f>
        <v/>
      </c>
      <c r="L41" s="26">
        <f>IF(H41="","",SUMIFS(VENDAS!$F$5:$F$1004,VENDAS!$A$5:$A$1004,H41))</f>
        <v/>
      </c>
      <c r="M41" s="26">
        <f>IF(H41="","",SUMIFS(VENDAS!$F$5:$F$1004,VENDAS!$A$5:$A$1004,H41,VENDAS!$D$5:$D$1004,M$4))</f>
        <v/>
      </c>
      <c r="N41" s="26">
        <f>IF(H41="","",SUMIFS(VENDAS!$F$5:$F$1004,VENDAS!$A$5:$A$1004,H41,VENDAS!$D$5:$D$1004,N$4))</f>
        <v/>
      </c>
      <c r="O41" s="26">
        <f>IF(H41="","",SUMIFS(VENDAS!$F$5:$F$1004,VENDAS!$A$5:$A$1004,H41,VENDAS!$D$5:$D$1004,O$4))</f>
        <v/>
      </c>
      <c r="P41" s="26">
        <f>IF(H41="","",SUMIFS(VENDAS!$F$5:$F$1004,VENDAS!$A$5:$A$1004,H41,VENDAS!$D$5:$D$1004,P$4))</f>
        <v/>
      </c>
      <c r="Q41" s="24">
        <f>IF(H41="","",SUMIFS(VENDAS!$H$5:$H$1004,VENDAS!$A$5:$A$1004,H41))</f>
        <v/>
      </c>
      <c r="R41" s="24">
        <f>IF(H41="","",SUMIFS(VENDAS!$K$5:$K$1004,VENDAS!$A$5:$A$1004,H41))</f>
        <v/>
      </c>
      <c r="S41" s="20" t="n"/>
      <c r="T41" s="31" t="n"/>
    </row>
    <row r="42">
      <c r="H42" s="20" t="n"/>
      <c r="I42" s="30">
        <f>IF(H42="","",IFERROR(INDEX(VENDAS!$B$5:$B$1004,MATCH(H42,VENDAS!$A$5:$A$1004,0)),"não lançado"))</f>
        <v/>
      </c>
      <c r="J42" s="22">
        <f>IF(H42="","",IFERROR(INDEX(VENDAS!$M$5:$M$1004,MATCH(H42,VENDAS!$A$5:$A$1004,0))&amp;"",""))</f>
        <v/>
      </c>
      <c r="K42" s="22">
        <f>IF(H42="","",IFERROR(INDEX(VENDAS!$J$5:$J$1004,MATCH(H42,VENDAS!$A$5:$A$1004,0))&amp;"",""))</f>
        <v/>
      </c>
      <c r="L42" s="26">
        <f>IF(H42="","",SUMIFS(VENDAS!$F$5:$F$1004,VENDAS!$A$5:$A$1004,H42))</f>
        <v/>
      </c>
      <c r="M42" s="26">
        <f>IF(H42="","",SUMIFS(VENDAS!$F$5:$F$1004,VENDAS!$A$5:$A$1004,H42,VENDAS!$D$5:$D$1004,M$4))</f>
        <v/>
      </c>
      <c r="N42" s="26">
        <f>IF(H42="","",SUMIFS(VENDAS!$F$5:$F$1004,VENDAS!$A$5:$A$1004,H42,VENDAS!$D$5:$D$1004,N$4))</f>
        <v/>
      </c>
      <c r="O42" s="26">
        <f>IF(H42="","",SUMIFS(VENDAS!$F$5:$F$1004,VENDAS!$A$5:$A$1004,H42,VENDAS!$D$5:$D$1004,O$4))</f>
        <v/>
      </c>
      <c r="P42" s="26">
        <f>IF(H42="","",SUMIFS(VENDAS!$F$5:$F$1004,VENDAS!$A$5:$A$1004,H42,VENDAS!$D$5:$D$1004,P$4))</f>
        <v/>
      </c>
      <c r="Q42" s="24">
        <f>IF(H42="","",SUMIFS(VENDAS!$H$5:$H$1004,VENDAS!$A$5:$A$1004,H42))</f>
        <v/>
      </c>
      <c r="R42" s="24">
        <f>IF(H42="","",SUMIFS(VENDAS!$K$5:$K$1004,VENDAS!$A$5:$A$1004,H42))</f>
        <v/>
      </c>
      <c r="S42" s="20" t="n"/>
      <c r="T42" s="31" t="n"/>
    </row>
    <row r="43">
      <c r="H43" s="20" t="n"/>
      <c r="I43" s="30">
        <f>IF(H43="","",IFERROR(INDEX(VENDAS!$B$5:$B$1004,MATCH(H43,VENDAS!$A$5:$A$1004,0)),"não lançado"))</f>
        <v/>
      </c>
      <c r="J43" s="22">
        <f>IF(H43="","",IFERROR(INDEX(VENDAS!$M$5:$M$1004,MATCH(H43,VENDAS!$A$5:$A$1004,0))&amp;"",""))</f>
        <v/>
      </c>
      <c r="K43" s="22">
        <f>IF(H43="","",IFERROR(INDEX(VENDAS!$J$5:$J$1004,MATCH(H43,VENDAS!$A$5:$A$1004,0))&amp;"",""))</f>
        <v/>
      </c>
      <c r="L43" s="26">
        <f>IF(H43="","",SUMIFS(VENDAS!$F$5:$F$1004,VENDAS!$A$5:$A$1004,H43))</f>
        <v/>
      </c>
      <c r="M43" s="26">
        <f>IF(H43="","",SUMIFS(VENDAS!$F$5:$F$1004,VENDAS!$A$5:$A$1004,H43,VENDAS!$D$5:$D$1004,M$4))</f>
        <v/>
      </c>
      <c r="N43" s="26">
        <f>IF(H43="","",SUMIFS(VENDAS!$F$5:$F$1004,VENDAS!$A$5:$A$1004,H43,VENDAS!$D$5:$D$1004,N$4))</f>
        <v/>
      </c>
      <c r="O43" s="26">
        <f>IF(H43="","",SUMIFS(VENDAS!$F$5:$F$1004,VENDAS!$A$5:$A$1004,H43,VENDAS!$D$5:$D$1004,O$4))</f>
        <v/>
      </c>
      <c r="P43" s="26">
        <f>IF(H43="","",SUMIFS(VENDAS!$F$5:$F$1004,VENDAS!$A$5:$A$1004,H43,VENDAS!$D$5:$D$1004,P$4))</f>
        <v/>
      </c>
      <c r="Q43" s="24">
        <f>IF(H43="","",SUMIFS(VENDAS!$H$5:$H$1004,VENDAS!$A$5:$A$1004,H43))</f>
        <v/>
      </c>
      <c r="R43" s="24">
        <f>IF(H43="","",SUMIFS(VENDAS!$K$5:$K$1004,VENDAS!$A$5:$A$1004,H43))</f>
        <v/>
      </c>
      <c r="S43" s="20" t="n"/>
      <c r="T43" s="31" t="n"/>
    </row>
    <row r="44">
      <c r="H44" s="20" t="n"/>
      <c r="I44" s="30">
        <f>IF(H44="","",IFERROR(INDEX(VENDAS!$B$5:$B$1004,MATCH(H44,VENDAS!$A$5:$A$1004,0)),"não lançado"))</f>
        <v/>
      </c>
      <c r="J44" s="22">
        <f>IF(H44="","",IFERROR(INDEX(VENDAS!$M$5:$M$1004,MATCH(H44,VENDAS!$A$5:$A$1004,0))&amp;"",""))</f>
        <v/>
      </c>
      <c r="K44" s="22">
        <f>IF(H44="","",IFERROR(INDEX(VENDAS!$J$5:$J$1004,MATCH(H44,VENDAS!$A$5:$A$1004,0))&amp;"",""))</f>
        <v/>
      </c>
      <c r="L44" s="26">
        <f>IF(H44="","",SUMIFS(VENDAS!$F$5:$F$1004,VENDAS!$A$5:$A$1004,H44))</f>
        <v/>
      </c>
      <c r="M44" s="26">
        <f>IF(H44="","",SUMIFS(VENDAS!$F$5:$F$1004,VENDAS!$A$5:$A$1004,H44,VENDAS!$D$5:$D$1004,M$4))</f>
        <v/>
      </c>
      <c r="N44" s="26">
        <f>IF(H44="","",SUMIFS(VENDAS!$F$5:$F$1004,VENDAS!$A$5:$A$1004,H44,VENDAS!$D$5:$D$1004,N$4))</f>
        <v/>
      </c>
      <c r="O44" s="26">
        <f>IF(H44="","",SUMIFS(VENDAS!$F$5:$F$1004,VENDAS!$A$5:$A$1004,H44,VENDAS!$D$5:$D$1004,O$4))</f>
        <v/>
      </c>
      <c r="P44" s="26">
        <f>IF(H44="","",SUMIFS(VENDAS!$F$5:$F$1004,VENDAS!$A$5:$A$1004,H44,VENDAS!$D$5:$D$1004,P$4))</f>
        <v/>
      </c>
      <c r="Q44" s="24">
        <f>IF(H44="","",SUMIFS(VENDAS!$H$5:$H$1004,VENDAS!$A$5:$A$1004,H44))</f>
        <v/>
      </c>
      <c r="R44" s="24">
        <f>IF(H44="","",SUMIFS(VENDAS!$K$5:$K$1004,VENDAS!$A$5:$A$1004,H44))</f>
        <v/>
      </c>
      <c r="S44" s="20" t="n"/>
      <c r="T44" s="31" t="n"/>
    </row>
    <row r="45">
      <c r="H45" s="20" t="n"/>
      <c r="I45" s="30">
        <f>IF(H45="","",IFERROR(INDEX(VENDAS!$B$5:$B$1004,MATCH(H45,VENDAS!$A$5:$A$1004,0)),"não lançado"))</f>
        <v/>
      </c>
      <c r="J45" s="22">
        <f>IF(H45="","",IFERROR(INDEX(VENDAS!$M$5:$M$1004,MATCH(H45,VENDAS!$A$5:$A$1004,0))&amp;"",""))</f>
        <v/>
      </c>
      <c r="K45" s="22">
        <f>IF(H45="","",IFERROR(INDEX(VENDAS!$J$5:$J$1004,MATCH(H45,VENDAS!$A$5:$A$1004,0))&amp;"",""))</f>
        <v/>
      </c>
      <c r="L45" s="26">
        <f>IF(H45="","",SUMIFS(VENDAS!$F$5:$F$1004,VENDAS!$A$5:$A$1004,H45))</f>
        <v/>
      </c>
      <c r="M45" s="26">
        <f>IF(H45="","",SUMIFS(VENDAS!$F$5:$F$1004,VENDAS!$A$5:$A$1004,H45,VENDAS!$D$5:$D$1004,M$4))</f>
        <v/>
      </c>
      <c r="N45" s="26">
        <f>IF(H45="","",SUMIFS(VENDAS!$F$5:$F$1004,VENDAS!$A$5:$A$1004,H45,VENDAS!$D$5:$D$1004,N$4))</f>
        <v/>
      </c>
      <c r="O45" s="26">
        <f>IF(H45="","",SUMIFS(VENDAS!$F$5:$F$1004,VENDAS!$A$5:$A$1004,H45,VENDAS!$D$5:$D$1004,O$4))</f>
        <v/>
      </c>
      <c r="P45" s="26">
        <f>IF(H45="","",SUMIFS(VENDAS!$F$5:$F$1004,VENDAS!$A$5:$A$1004,H45,VENDAS!$D$5:$D$1004,P$4))</f>
        <v/>
      </c>
      <c r="Q45" s="24">
        <f>IF(H45="","",SUMIFS(VENDAS!$H$5:$H$1004,VENDAS!$A$5:$A$1004,H45))</f>
        <v/>
      </c>
      <c r="R45" s="24">
        <f>IF(H45="","",SUMIFS(VENDAS!$K$5:$K$1004,VENDAS!$A$5:$A$1004,H45))</f>
        <v/>
      </c>
      <c r="S45" s="20" t="n"/>
      <c r="T45" s="31" t="n"/>
    </row>
    <row r="46">
      <c r="H46" s="20" t="n"/>
      <c r="I46" s="30">
        <f>IF(H46="","",IFERROR(INDEX(VENDAS!$B$5:$B$1004,MATCH(H46,VENDAS!$A$5:$A$1004,0)),"não lançado"))</f>
        <v/>
      </c>
      <c r="J46" s="22">
        <f>IF(H46="","",IFERROR(INDEX(VENDAS!$M$5:$M$1004,MATCH(H46,VENDAS!$A$5:$A$1004,0))&amp;"",""))</f>
        <v/>
      </c>
      <c r="K46" s="22">
        <f>IF(H46="","",IFERROR(INDEX(VENDAS!$J$5:$J$1004,MATCH(H46,VENDAS!$A$5:$A$1004,0))&amp;"",""))</f>
        <v/>
      </c>
      <c r="L46" s="26">
        <f>IF(H46="","",SUMIFS(VENDAS!$F$5:$F$1004,VENDAS!$A$5:$A$1004,H46))</f>
        <v/>
      </c>
      <c r="M46" s="26">
        <f>IF(H46="","",SUMIFS(VENDAS!$F$5:$F$1004,VENDAS!$A$5:$A$1004,H46,VENDAS!$D$5:$D$1004,M$4))</f>
        <v/>
      </c>
      <c r="N46" s="26">
        <f>IF(H46="","",SUMIFS(VENDAS!$F$5:$F$1004,VENDAS!$A$5:$A$1004,H46,VENDAS!$D$5:$D$1004,N$4))</f>
        <v/>
      </c>
      <c r="O46" s="26">
        <f>IF(H46="","",SUMIFS(VENDAS!$F$5:$F$1004,VENDAS!$A$5:$A$1004,H46,VENDAS!$D$5:$D$1004,O$4))</f>
        <v/>
      </c>
      <c r="P46" s="26">
        <f>IF(H46="","",SUMIFS(VENDAS!$F$5:$F$1004,VENDAS!$A$5:$A$1004,H46,VENDAS!$D$5:$D$1004,P$4))</f>
        <v/>
      </c>
      <c r="Q46" s="24">
        <f>IF(H46="","",SUMIFS(VENDAS!$H$5:$H$1004,VENDAS!$A$5:$A$1004,H46))</f>
        <v/>
      </c>
      <c r="R46" s="24">
        <f>IF(H46="","",SUMIFS(VENDAS!$K$5:$K$1004,VENDAS!$A$5:$A$1004,H46))</f>
        <v/>
      </c>
      <c r="S46" s="20" t="n"/>
      <c r="T46" s="31" t="n"/>
    </row>
    <row r="47">
      <c r="H47" s="20" t="n"/>
      <c r="I47" s="30">
        <f>IF(H47="","",IFERROR(INDEX(VENDAS!$B$5:$B$1004,MATCH(H47,VENDAS!$A$5:$A$1004,0)),"não lançado"))</f>
        <v/>
      </c>
      <c r="J47" s="22">
        <f>IF(H47="","",IFERROR(INDEX(VENDAS!$M$5:$M$1004,MATCH(H47,VENDAS!$A$5:$A$1004,0))&amp;"",""))</f>
        <v/>
      </c>
      <c r="K47" s="22">
        <f>IF(H47="","",IFERROR(INDEX(VENDAS!$J$5:$J$1004,MATCH(H47,VENDAS!$A$5:$A$1004,0))&amp;"",""))</f>
        <v/>
      </c>
      <c r="L47" s="26">
        <f>IF(H47="","",SUMIFS(VENDAS!$F$5:$F$1004,VENDAS!$A$5:$A$1004,H47))</f>
        <v/>
      </c>
      <c r="M47" s="26">
        <f>IF(H47="","",SUMIFS(VENDAS!$F$5:$F$1004,VENDAS!$A$5:$A$1004,H47,VENDAS!$D$5:$D$1004,M$4))</f>
        <v/>
      </c>
      <c r="N47" s="26">
        <f>IF(H47="","",SUMIFS(VENDAS!$F$5:$F$1004,VENDAS!$A$5:$A$1004,H47,VENDAS!$D$5:$D$1004,N$4))</f>
        <v/>
      </c>
      <c r="O47" s="26">
        <f>IF(H47="","",SUMIFS(VENDAS!$F$5:$F$1004,VENDAS!$A$5:$A$1004,H47,VENDAS!$D$5:$D$1004,O$4))</f>
        <v/>
      </c>
      <c r="P47" s="26">
        <f>IF(H47="","",SUMIFS(VENDAS!$F$5:$F$1004,VENDAS!$A$5:$A$1004,H47,VENDAS!$D$5:$D$1004,P$4))</f>
        <v/>
      </c>
      <c r="Q47" s="24">
        <f>IF(H47="","",SUMIFS(VENDAS!$H$5:$H$1004,VENDAS!$A$5:$A$1004,H47))</f>
        <v/>
      </c>
      <c r="R47" s="24">
        <f>IF(H47="","",SUMIFS(VENDAS!$K$5:$K$1004,VENDAS!$A$5:$A$1004,H47))</f>
        <v/>
      </c>
      <c r="S47" s="20" t="n"/>
      <c r="T47" s="31" t="n"/>
    </row>
    <row r="48">
      <c r="H48" s="20" t="n"/>
      <c r="I48" s="30">
        <f>IF(H48="","",IFERROR(INDEX(VENDAS!$B$5:$B$1004,MATCH(H48,VENDAS!$A$5:$A$1004,0)),"não lançado"))</f>
        <v/>
      </c>
      <c r="J48" s="22">
        <f>IF(H48="","",IFERROR(INDEX(VENDAS!$M$5:$M$1004,MATCH(H48,VENDAS!$A$5:$A$1004,0))&amp;"",""))</f>
        <v/>
      </c>
      <c r="K48" s="22">
        <f>IF(H48="","",IFERROR(INDEX(VENDAS!$J$5:$J$1004,MATCH(H48,VENDAS!$A$5:$A$1004,0))&amp;"",""))</f>
        <v/>
      </c>
      <c r="L48" s="26">
        <f>IF(H48="","",SUMIFS(VENDAS!$F$5:$F$1004,VENDAS!$A$5:$A$1004,H48))</f>
        <v/>
      </c>
      <c r="M48" s="26">
        <f>IF(H48="","",SUMIFS(VENDAS!$F$5:$F$1004,VENDAS!$A$5:$A$1004,H48,VENDAS!$D$5:$D$1004,M$4))</f>
        <v/>
      </c>
      <c r="N48" s="26">
        <f>IF(H48="","",SUMIFS(VENDAS!$F$5:$F$1004,VENDAS!$A$5:$A$1004,H48,VENDAS!$D$5:$D$1004,N$4))</f>
        <v/>
      </c>
      <c r="O48" s="26">
        <f>IF(H48="","",SUMIFS(VENDAS!$F$5:$F$1004,VENDAS!$A$5:$A$1004,H48,VENDAS!$D$5:$D$1004,O$4))</f>
        <v/>
      </c>
      <c r="P48" s="26">
        <f>IF(H48="","",SUMIFS(VENDAS!$F$5:$F$1004,VENDAS!$A$5:$A$1004,H48,VENDAS!$D$5:$D$1004,P$4))</f>
        <v/>
      </c>
      <c r="Q48" s="24">
        <f>IF(H48="","",SUMIFS(VENDAS!$H$5:$H$1004,VENDAS!$A$5:$A$1004,H48))</f>
        <v/>
      </c>
      <c r="R48" s="24">
        <f>IF(H48="","",SUMIFS(VENDAS!$K$5:$K$1004,VENDAS!$A$5:$A$1004,H48))</f>
        <v/>
      </c>
      <c r="S48" s="20" t="n"/>
      <c r="T48" s="31" t="n"/>
    </row>
    <row r="49">
      <c r="H49" s="20" t="n"/>
      <c r="I49" s="30">
        <f>IF(H49="","",IFERROR(INDEX(VENDAS!$B$5:$B$1004,MATCH(H49,VENDAS!$A$5:$A$1004,0)),"não lançado"))</f>
        <v/>
      </c>
      <c r="J49" s="22">
        <f>IF(H49="","",IFERROR(INDEX(VENDAS!$M$5:$M$1004,MATCH(H49,VENDAS!$A$5:$A$1004,0))&amp;"",""))</f>
        <v/>
      </c>
      <c r="K49" s="22">
        <f>IF(H49="","",IFERROR(INDEX(VENDAS!$J$5:$J$1004,MATCH(H49,VENDAS!$A$5:$A$1004,0))&amp;"",""))</f>
        <v/>
      </c>
      <c r="L49" s="26">
        <f>IF(H49="","",SUMIFS(VENDAS!$F$5:$F$1004,VENDAS!$A$5:$A$1004,H49))</f>
        <v/>
      </c>
      <c r="M49" s="26">
        <f>IF(H49="","",SUMIFS(VENDAS!$F$5:$F$1004,VENDAS!$A$5:$A$1004,H49,VENDAS!$D$5:$D$1004,M$4))</f>
        <v/>
      </c>
      <c r="N49" s="26">
        <f>IF(H49="","",SUMIFS(VENDAS!$F$5:$F$1004,VENDAS!$A$5:$A$1004,H49,VENDAS!$D$5:$D$1004,N$4))</f>
        <v/>
      </c>
      <c r="O49" s="26">
        <f>IF(H49="","",SUMIFS(VENDAS!$F$5:$F$1004,VENDAS!$A$5:$A$1004,H49,VENDAS!$D$5:$D$1004,O$4))</f>
        <v/>
      </c>
      <c r="P49" s="26">
        <f>IF(H49="","",SUMIFS(VENDAS!$F$5:$F$1004,VENDAS!$A$5:$A$1004,H49,VENDAS!$D$5:$D$1004,P$4))</f>
        <v/>
      </c>
      <c r="Q49" s="24">
        <f>IF(H49="","",SUMIFS(VENDAS!$H$5:$H$1004,VENDAS!$A$5:$A$1004,H49))</f>
        <v/>
      </c>
      <c r="R49" s="24">
        <f>IF(H49="","",SUMIFS(VENDAS!$K$5:$K$1004,VENDAS!$A$5:$A$1004,H49))</f>
        <v/>
      </c>
      <c r="S49" s="20" t="n"/>
      <c r="T49" s="31" t="n"/>
    </row>
    <row r="50">
      <c r="H50" s="20" t="n"/>
      <c r="I50" s="30">
        <f>IF(H50="","",IFERROR(INDEX(VENDAS!$B$5:$B$1004,MATCH(H50,VENDAS!$A$5:$A$1004,0)),"não lançado"))</f>
        <v/>
      </c>
      <c r="J50" s="22">
        <f>IF(H50="","",IFERROR(INDEX(VENDAS!$M$5:$M$1004,MATCH(H50,VENDAS!$A$5:$A$1004,0))&amp;"",""))</f>
        <v/>
      </c>
      <c r="K50" s="22">
        <f>IF(H50="","",IFERROR(INDEX(VENDAS!$J$5:$J$1004,MATCH(H50,VENDAS!$A$5:$A$1004,0))&amp;"",""))</f>
        <v/>
      </c>
      <c r="L50" s="26">
        <f>IF(H50="","",SUMIFS(VENDAS!$F$5:$F$1004,VENDAS!$A$5:$A$1004,H50))</f>
        <v/>
      </c>
      <c r="M50" s="26">
        <f>IF(H50="","",SUMIFS(VENDAS!$F$5:$F$1004,VENDAS!$A$5:$A$1004,H50,VENDAS!$D$5:$D$1004,M$4))</f>
        <v/>
      </c>
      <c r="N50" s="26">
        <f>IF(H50="","",SUMIFS(VENDAS!$F$5:$F$1004,VENDAS!$A$5:$A$1004,H50,VENDAS!$D$5:$D$1004,N$4))</f>
        <v/>
      </c>
      <c r="O50" s="26">
        <f>IF(H50="","",SUMIFS(VENDAS!$F$5:$F$1004,VENDAS!$A$5:$A$1004,H50,VENDAS!$D$5:$D$1004,O$4))</f>
        <v/>
      </c>
      <c r="P50" s="26">
        <f>IF(H50="","",SUMIFS(VENDAS!$F$5:$F$1004,VENDAS!$A$5:$A$1004,H50,VENDAS!$D$5:$D$1004,P$4))</f>
        <v/>
      </c>
      <c r="Q50" s="24">
        <f>IF(H50="","",SUMIFS(VENDAS!$H$5:$H$1004,VENDAS!$A$5:$A$1004,H50))</f>
        <v/>
      </c>
      <c r="R50" s="24">
        <f>IF(H50="","",SUMIFS(VENDAS!$K$5:$K$1004,VENDAS!$A$5:$A$1004,H50))</f>
        <v/>
      </c>
      <c r="S50" s="20" t="n"/>
      <c r="T50" s="31" t="n"/>
    </row>
    <row r="51">
      <c r="H51" s="20" t="n"/>
      <c r="I51" s="30">
        <f>IF(H51="","",IFERROR(INDEX(VENDAS!$B$5:$B$1004,MATCH(H51,VENDAS!$A$5:$A$1004,0)),"não lançado"))</f>
        <v/>
      </c>
      <c r="J51" s="22">
        <f>IF(H51="","",IFERROR(INDEX(VENDAS!$M$5:$M$1004,MATCH(H51,VENDAS!$A$5:$A$1004,0))&amp;"",""))</f>
        <v/>
      </c>
      <c r="K51" s="22">
        <f>IF(H51="","",IFERROR(INDEX(VENDAS!$J$5:$J$1004,MATCH(H51,VENDAS!$A$5:$A$1004,0))&amp;"",""))</f>
        <v/>
      </c>
      <c r="L51" s="26">
        <f>IF(H51="","",SUMIFS(VENDAS!$F$5:$F$1004,VENDAS!$A$5:$A$1004,H51))</f>
        <v/>
      </c>
      <c r="M51" s="26">
        <f>IF(H51="","",SUMIFS(VENDAS!$F$5:$F$1004,VENDAS!$A$5:$A$1004,H51,VENDAS!$D$5:$D$1004,M$4))</f>
        <v/>
      </c>
      <c r="N51" s="26">
        <f>IF(H51="","",SUMIFS(VENDAS!$F$5:$F$1004,VENDAS!$A$5:$A$1004,H51,VENDAS!$D$5:$D$1004,N$4))</f>
        <v/>
      </c>
      <c r="O51" s="26">
        <f>IF(H51="","",SUMIFS(VENDAS!$F$5:$F$1004,VENDAS!$A$5:$A$1004,H51,VENDAS!$D$5:$D$1004,O$4))</f>
        <v/>
      </c>
      <c r="P51" s="26">
        <f>IF(H51="","",SUMIFS(VENDAS!$F$5:$F$1004,VENDAS!$A$5:$A$1004,H51,VENDAS!$D$5:$D$1004,P$4))</f>
        <v/>
      </c>
      <c r="Q51" s="24">
        <f>IF(H51="","",SUMIFS(VENDAS!$H$5:$H$1004,VENDAS!$A$5:$A$1004,H51))</f>
        <v/>
      </c>
      <c r="R51" s="24">
        <f>IF(H51="","",SUMIFS(VENDAS!$K$5:$K$1004,VENDAS!$A$5:$A$1004,H51))</f>
        <v/>
      </c>
      <c r="S51" s="20" t="n"/>
      <c r="T51" s="31" t="n"/>
    </row>
    <row r="52">
      <c r="H52" s="20" t="n"/>
      <c r="I52" s="30">
        <f>IF(H52="","",IFERROR(INDEX(VENDAS!$B$5:$B$1004,MATCH(H52,VENDAS!$A$5:$A$1004,0)),"não lançado"))</f>
        <v/>
      </c>
      <c r="J52" s="22">
        <f>IF(H52="","",IFERROR(INDEX(VENDAS!$M$5:$M$1004,MATCH(H52,VENDAS!$A$5:$A$1004,0))&amp;"",""))</f>
        <v/>
      </c>
      <c r="K52" s="22">
        <f>IF(H52="","",IFERROR(INDEX(VENDAS!$J$5:$J$1004,MATCH(H52,VENDAS!$A$5:$A$1004,0))&amp;"",""))</f>
        <v/>
      </c>
      <c r="L52" s="26">
        <f>IF(H52="","",SUMIFS(VENDAS!$F$5:$F$1004,VENDAS!$A$5:$A$1004,H52))</f>
        <v/>
      </c>
      <c r="M52" s="26">
        <f>IF(H52="","",SUMIFS(VENDAS!$F$5:$F$1004,VENDAS!$A$5:$A$1004,H52,VENDAS!$D$5:$D$1004,M$4))</f>
        <v/>
      </c>
      <c r="N52" s="26">
        <f>IF(H52="","",SUMIFS(VENDAS!$F$5:$F$1004,VENDAS!$A$5:$A$1004,H52,VENDAS!$D$5:$D$1004,N$4))</f>
        <v/>
      </c>
      <c r="O52" s="26">
        <f>IF(H52="","",SUMIFS(VENDAS!$F$5:$F$1004,VENDAS!$A$5:$A$1004,H52,VENDAS!$D$5:$D$1004,O$4))</f>
        <v/>
      </c>
      <c r="P52" s="26">
        <f>IF(H52="","",SUMIFS(VENDAS!$F$5:$F$1004,VENDAS!$A$5:$A$1004,H52,VENDAS!$D$5:$D$1004,P$4))</f>
        <v/>
      </c>
      <c r="Q52" s="24">
        <f>IF(H52="","",SUMIFS(VENDAS!$H$5:$H$1004,VENDAS!$A$5:$A$1004,H52))</f>
        <v/>
      </c>
      <c r="R52" s="24">
        <f>IF(H52="","",SUMIFS(VENDAS!$K$5:$K$1004,VENDAS!$A$5:$A$1004,H52))</f>
        <v/>
      </c>
      <c r="S52" s="20" t="n"/>
      <c r="T52" s="31" t="n"/>
    </row>
    <row r="53">
      <c r="H53" s="20" t="n"/>
      <c r="I53" s="30">
        <f>IF(H53="","",IFERROR(INDEX(VENDAS!$B$5:$B$1004,MATCH(H53,VENDAS!$A$5:$A$1004,0)),"não lançado"))</f>
        <v/>
      </c>
      <c r="J53" s="22">
        <f>IF(H53="","",IFERROR(INDEX(VENDAS!$M$5:$M$1004,MATCH(H53,VENDAS!$A$5:$A$1004,0))&amp;"",""))</f>
        <v/>
      </c>
      <c r="K53" s="22">
        <f>IF(H53="","",IFERROR(INDEX(VENDAS!$J$5:$J$1004,MATCH(H53,VENDAS!$A$5:$A$1004,0))&amp;"",""))</f>
        <v/>
      </c>
      <c r="L53" s="26">
        <f>IF(H53="","",SUMIFS(VENDAS!$F$5:$F$1004,VENDAS!$A$5:$A$1004,H53))</f>
        <v/>
      </c>
      <c r="M53" s="26">
        <f>IF(H53="","",SUMIFS(VENDAS!$F$5:$F$1004,VENDAS!$A$5:$A$1004,H53,VENDAS!$D$5:$D$1004,M$4))</f>
        <v/>
      </c>
      <c r="N53" s="26">
        <f>IF(H53="","",SUMIFS(VENDAS!$F$5:$F$1004,VENDAS!$A$5:$A$1004,H53,VENDAS!$D$5:$D$1004,N$4))</f>
        <v/>
      </c>
      <c r="O53" s="26">
        <f>IF(H53="","",SUMIFS(VENDAS!$F$5:$F$1004,VENDAS!$A$5:$A$1004,H53,VENDAS!$D$5:$D$1004,O$4))</f>
        <v/>
      </c>
      <c r="P53" s="26">
        <f>IF(H53="","",SUMIFS(VENDAS!$F$5:$F$1004,VENDAS!$A$5:$A$1004,H53,VENDAS!$D$5:$D$1004,P$4))</f>
        <v/>
      </c>
      <c r="Q53" s="24">
        <f>IF(H53="","",SUMIFS(VENDAS!$H$5:$H$1004,VENDAS!$A$5:$A$1004,H53))</f>
        <v/>
      </c>
      <c r="R53" s="24">
        <f>IF(H53="","",SUMIFS(VENDAS!$K$5:$K$1004,VENDAS!$A$5:$A$1004,H53))</f>
        <v/>
      </c>
      <c r="S53" s="20" t="n"/>
      <c r="T53" s="31" t="n"/>
    </row>
    <row r="54">
      <c r="H54" s="20" t="n"/>
      <c r="I54" s="30">
        <f>IF(H54="","",IFERROR(INDEX(VENDAS!$B$5:$B$1004,MATCH(H54,VENDAS!$A$5:$A$1004,0)),"não lançado"))</f>
        <v/>
      </c>
      <c r="J54" s="22">
        <f>IF(H54="","",IFERROR(INDEX(VENDAS!$M$5:$M$1004,MATCH(H54,VENDAS!$A$5:$A$1004,0))&amp;"",""))</f>
        <v/>
      </c>
      <c r="K54" s="22">
        <f>IF(H54="","",IFERROR(INDEX(VENDAS!$J$5:$J$1004,MATCH(H54,VENDAS!$A$5:$A$1004,0))&amp;"",""))</f>
        <v/>
      </c>
      <c r="L54" s="26">
        <f>IF(H54="","",SUMIFS(VENDAS!$F$5:$F$1004,VENDAS!$A$5:$A$1004,H54))</f>
        <v/>
      </c>
      <c r="M54" s="26">
        <f>IF(H54="","",SUMIFS(VENDAS!$F$5:$F$1004,VENDAS!$A$5:$A$1004,H54,VENDAS!$D$5:$D$1004,M$4))</f>
        <v/>
      </c>
      <c r="N54" s="26">
        <f>IF(H54="","",SUMIFS(VENDAS!$F$5:$F$1004,VENDAS!$A$5:$A$1004,H54,VENDAS!$D$5:$D$1004,N$4))</f>
        <v/>
      </c>
      <c r="O54" s="26">
        <f>IF(H54="","",SUMIFS(VENDAS!$F$5:$F$1004,VENDAS!$A$5:$A$1004,H54,VENDAS!$D$5:$D$1004,O$4))</f>
        <v/>
      </c>
      <c r="P54" s="26">
        <f>IF(H54="","",SUMIFS(VENDAS!$F$5:$F$1004,VENDAS!$A$5:$A$1004,H54,VENDAS!$D$5:$D$1004,P$4))</f>
        <v/>
      </c>
      <c r="Q54" s="24">
        <f>IF(H54="","",SUMIFS(VENDAS!$H$5:$H$1004,VENDAS!$A$5:$A$1004,H54))</f>
        <v/>
      </c>
      <c r="R54" s="24">
        <f>IF(H54="","",SUMIFS(VENDAS!$K$5:$K$1004,VENDAS!$A$5:$A$1004,H54))</f>
        <v/>
      </c>
      <c r="S54" s="20" t="n"/>
      <c r="T54" s="31" t="n"/>
    </row>
    <row r="55">
      <c r="H55" s="20" t="n"/>
      <c r="I55" s="30">
        <f>IF(H55="","",IFERROR(INDEX(VENDAS!$B$5:$B$1004,MATCH(H55,VENDAS!$A$5:$A$1004,0)),"não lançado"))</f>
        <v/>
      </c>
      <c r="J55" s="22">
        <f>IF(H55="","",IFERROR(INDEX(VENDAS!$M$5:$M$1004,MATCH(H55,VENDAS!$A$5:$A$1004,0))&amp;"",""))</f>
        <v/>
      </c>
      <c r="K55" s="22">
        <f>IF(H55="","",IFERROR(INDEX(VENDAS!$J$5:$J$1004,MATCH(H55,VENDAS!$A$5:$A$1004,0))&amp;"",""))</f>
        <v/>
      </c>
      <c r="L55" s="26">
        <f>IF(H55="","",SUMIFS(VENDAS!$F$5:$F$1004,VENDAS!$A$5:$A$1004,H55))</f>
        <v/>
      </c>
      <c r="M55" s="26">
        <f>IF(H55="","",SUMIFS(VENDAS!$F$5:$F$1004,VENDAS!$A$5:$A$1004,H55,VENDAS!$D$5:$D$1004,M$4))</f>
        <v/>
      </c>
      <c r="N55" s="26">
        <f>IF(H55="","",SUMIFS(VENDAS!$F$5:$F$1004,VENDAS!$A$5:$A$1004,H55,VENDAS!$D$5:$D$1004,N$4))</f>
        <v/>
      </c>
      <c r="O55" s="26">
        <f>IF(H55="","",SUMIFS(VENDAS!$F$5:$F$1004,VENDAS!$A$5:$A$1004,H55,VENDAS!$D$5:$D$1004,O$4))</f>
        <v/>
      </c>
      <c r="P55" s="26">
        <f>IF(H55="","",SUMIFS(VENDAS!$F$5:$F$1004,VENDAS!$A$5:$A$1004,H55,VENDAS!$D$5:$D$1004,P$4))</f>
        <v/>
      </c>
      <c r="Q55" s="24">
        <f>IF(H55="","",SUMIFS(VENDAS!$H$5:$H$1004,VENDAS!$A$5:$A$1004,H55))</f>
        <v/>
      </c>
      <c r="R55" s="24">
        <f>IF(H55="","",SUMIFS(VENDAS!$K$5:$K$1004,VENDAS!$A$5:$A$1004,H55))</f>
        <v/>
      </c>
      <c r="S55" s="20" t="n"/>
      <c r="T55" s="31" t="n"/>
    </row>
    <row r="56">
      <c r="H56" s="20" t="n"/>
      <c r="I56" s="30">
        <f>IF(H56="","",IFERROR(INDEX(VENDAS!$B$5:$B$1004,MATCH(H56,VENDAS!$A$5:$A$1004,0)),"não lançado"))</f>
        <v/>
      </c>
      <c r="J56" s="22">
        <f>IF(H56="","",IFERROR(INDEX(VENDAS!$M$5:$M$1004,MATCH(H56,VENDAS!$A$5:$A$1004,0))&amp;"",""))</f>
        <v/>
      </c>
      <c r="K56" s="22">
        <f>IF(H56="","",IFERROR(INDEX(VENDAS!$J$5:$J$1004,MATCH(H56,VENDAS!$A$5:$A$1004,0))&amp;"",""))</f>
        <v/>
      </c>
      <c r="L56" s="26">
        <f>IF(H56="","",SUMIFS(VENDAS!$F$5:$F$1004,VENDAS!$A$5:$A$1004,H56))</f>
        <v/>
      </c>
      <c r="M56" s="26">
        <f>IF(H56="","",SUMIFS(VENDAS!$F$5:$F$1004,VENDAS!$A$5:$A$1004,H56,VENDAS!$D$5:$D$1004,M$4))</f>
        <v/>
      </c>
      <c r="N56" s="26">
        <f>IF(H56="","",SUMIFS(VENDAS!$F$5:$F$1004,VENDAS!$A$5:$A$1004,H56,VENDAS!$D$5:$D$1004,N$4))</f>
        <v/>
      </c>
      <c r="O56" s="26">
        <f>IF(H56="","",SUMIFS(VENDAS!$F$5:$F$1004,VENDAS!$A$5:$A$1004,H56,VENDAS!$D$5:$D$1004,O$4))</f>
        <v/>
      </c>
      <c r="P56" s="26">
        <f>IF(H56="","",SUMIFS(VENDAS!$F$5:$F$1004,VENDAS!$A$5:$A$1004,H56,VENDAS!$D$5:$D$1004,P$4))</f>
        <v/>
      </c>
      <c r="Q56" s="24">
        <f>IF(H56="","",SUMIFS(VENDAS!$H$5:$H$1004,VENDAS!$A$5:$A$1004,H56))</f>
        <v/>
      </c>
      <c r="R56" s="24">
        <f>IF(H56="","",SUMIFS(VENDAS!$K$5:$K$1004,VENDAS!$A$5:$A$1004,H56))</f>
        <v/>
      </c>
      <c r="S56" s="20" t="n"/>
      <c r="T56" s="31" t="n"/>
    </row>
    <row r="57">
      <c r="H57" s="20" t="n"/>
      <c r="I57" s="30">
        <f>IF(H57="","",IFERROR(INDEX(VENDAS!$B$5:$B$1004,MATCH(H57,VENDAS!$A$5:$A$1004,0)),"não lançado"))</f>
        <v/>
      </c>
      <c r="J57" s="22">
        <f>IF(H57="","",IFERROR(INDEX(VENDAS!$M$5:$M$1004,MATCH(H57,VENDAS!$A$5:$A$1004,0))&amp;"",""))</f>
        <v/>
      </c>
      <c r="K57" s="22">
        <f>IF(H57="","",IFERROR(INDEX(VENDAS!$J$5:$J$1004,MATCH(H57,VENDAS!$A$5:$A$1004,0))&amp;"",""))</f>
        <v/>
      </c>
      <c r="L57" s="26">
        <f>IF(H57="","",SUMIFS(VENDAS!$F$5:$F$1004,VENDAS!$A$5:$A$1004,H57))</f>
        <v/>
      </c>
      <c r="M57" s="26">
        <f>IF(H57="","",SUMIFS(VENDAS!$F$5:$F$1004,VENDAS!$A$5:$A$1004,H57,VENDAS!$D$5:$D$1004,M$4))</f>
        <v/>
      </c>
      <c r="N57" s="26">
        <f>IF(H57="","",SUMIFS(VENDAS!$F$5:$F$1004,VENDAS!$A$5:$A$1004,H57,VENDAS!$D$5:$D$1004,N$4))</f>
        <v/>
      </c>
      <c r="O57" s="26">
        <f>IF(H57="","",SUMIFS(VENDAS!$F$5:$F$1004,VENDAS!$A$5:$A$1004,H57,VENDAS!$D$5:$D$1004,O$4))</f>
        <v/>
      </c>
      <c r="P57" s="26">
        <f>IF(H57="","",SUMIFS(VENDAS!$F$5:$F$1004,VENDAS!$A$5:$A$1004,H57,VENDAS!$D$5:$D$1004,P$4))</f>
        <v/>
      </c>
      <c r="Q57" s="24">
        <f>IF(H57="","",SUMIFS(VENDAS!$H$5:$H$1004,VENDAS!$A$5:$A$1004,H57))</f>
        <v/>
      </c>
      <c r="R57" s="24">
        <f>IF(H57="","",SUMIFS(VENDAS!$K$5:$K$1004,VENDAS!$A$5:$A$1004,H57))</f>
        <v/>
      </c>
      <c r="S57" s="20" t="n"/>
      <c r="T57" s="31" t="n"/>
    </row>
    <row r="58">
      <c r="H58" s="20" t="n"/>
      <c r="I58" s="30">
        <f>IF(H58="","",IFERROR(INDEX(VENDAS!$B$5:$B$1004,MATCH(H58,VENDAS!$A$5:$A$1004,0)),"não lançado"))</f>
        <v/>
      </c>
      <c r="J58" s="22">
        <f>IF(H58="","",IFERROR(INDEX(VENDAS!$M$5:$M$1004,MATCH(H58,VENDAS!$A$5:$A$1004,0))&amp;"",""))</f>
        <v/>
      </c>
      <c r="K58" s="22">
        <f>IF(H58="","",IFERROR(INDEX(VENDAS!$J$5:$J$1004,MATCH(H58,VENDAS!$A$5:$A$1004,0))&amp;"",""))</f>
        <v/>
      </c>
      <c r="L58" s="26">
        <f>IF(H58="","",SUMIFS(VENDAS!$F$5:$F$1004,VENDAS!$A$5:$A$1004,H58))</f>
        <v/>
      </c>
      <c r="M58" s="26">
        <f>IF(H58="","",SUMIFS(VENDAS!$F$5:$F$1004,VENDAS!$A$5:$A$1004,H58,VENDAS!$D$5:$D$1004,M$4))</f>
        <v/>
      </c>
      <c r="N58" s="26">
        <f>IF(H58="","",SUMIFS(VENDAS!$F$5:$F$1004,VENDAS!$A$5:$A$1004,H58,VENDAS!$D$5:$D$1004,N$4))</f>
        <v/>
      </c>
      <c r="O58" s="26">
        <f>IF(H58="","",SUMIFS(VENDAS!$F$5:$F$1004,VENDAS!$A$5:$A$1004,H58,VENDAS!$D$5:$D$1004,O$4))</f>
        <v/>
      </c>
      <c r="P58" s="26">
        <f>IF(H58="","",SUMIFS(VENDAS!$F$5:$F$1004,VENDAS!$A$5:$A$1004,H58,VENDAS!$D$5:$D$1004,P$4))</f>
        <v/>
      </c>
      <c r="Q58" s="24">
        <f>IF(H58="","",SUMIFS(VENDAS!$H$5:$H$1004,VENDAS!$A$5:$A$1004,H58))</f>
        <v/>
      </c>
      <c r="R58" s="24">
        <f>IF(H58="","",SUMIFS(VENDAS!$K$5:$K$1004,VENDAS!$A$5:$A$1004,H58))</f>
        <v/>
      </c>
      <c r="S58" s="20" t="n"/>
      <c r="T58" s="31" t="n"/>
    </row>
    <row r="59">
      <c r="H59" s="20" t="n"/>
      <c r="I59" s="30">
        <f>IF(H59="","",IFERROR(INDEX(VENDAS!$B$5:$B$1004,MATCH(H59,VENDAS!$A$5:$A$1004,0)),"não lançado"))</f>
        <v/>
      </c>
      <c r="J59" s="22">
        <f>IF(H59="","",IFERROR(INDEX(VENDAS!$M$5:$M$1004,MATCH(H59,VENDAS!$A$5:$A$1004,0))&amp;"",""))</f>
        <v/>
      </c>
      <c r="K59" s="22">
        <f>IF(H59="","",IFERROR(INDEX(VENDAS!$J$5:$J$1004,MATCH(H59,VENDAS!$A$5:$A$1004,0))&amp;"",""))</f>
        <v/>
      </c>
      <c r="L59" s="26">
        <f>IF(H59="","",SUMIFS(VENDAS!$F$5:$F$1004,VENDAS!$A$5:$A$1004,H59))</f>
        <v/>
      </c>
      <c r="M59" s="26">
        <f>IF(H59="","",SUMIFS(VENDAS!$F$5:$F$1004,VENDAS!$A$5:$A$1004,H59,VENDAS!$D$5:$D$1004,M$4))</f>
        <v/>
      </c>
      <c r="N59" s="26">
        <f>IF(H59="","",SUMIFS(VENDAS!$F$5:$F$1004,VENDAS!$A$5:$A$1004,H59,VENDAS!$D$5:$D$1004,N$4))</f>
        <v/>
      </c>
      <c r="O59" s="26">
        <f>IF(H59="","",SUMIFS(VENDAS!$F$5:$F$1004,VENDAS!$A$5:$A$1004,H59,VENDAS!$D$5:$D$1004,O$4))</f>
        <v/>
      </c>
      <c r="P59" s="26">
        <f>IF(H59="","",SUMIFS(VENDAS!$F$5:$F$1004,VENDAS!$A$5:$A$1004,H59,VENDAS!$D$5:$D$1004,P$4))</f>
        <v/>
      </c>
      <c r="Q59" s="24">
        <f>IF(H59="","",SUMIFS(VENDAS!$H$5:$H$1004,VENDAS!$A$5:$A$1004,H59))</f>
        <v/>
      </c>
      <c r="R59" s="24">
        <f>IF(H59="","",SUMIFS(VENDAS!$K$5:$K$1004,VENDAS!$A$5:$A$1004,H59))</f>
        <v/>
      </c>
      <c r="S59" s="20" t="n"/>
      <c r="T59" s="31" t="n"/>
    </row>
    <row r="60">
      <c r="H60" s="20" t="n"/>
      <c r="I60" s="30">
        <f>IF(H60="","",IFERROR(INDEX(VENDAS!$B$5:$B$1004,MATCH(H60,VENDAS!$A$5:$A$1004,0)),"não lançado"))</f>
        <v/>
      </c>
      <c r="J60" s="22">
        <f>IF(H60="","",IFERROR(INDEX(VENDAS!$M$5:$M$1004,MATCH(H60,VENDAS!$A$5:$A$1004,0))&amp;"",""))</f>
        <v/>
      </c>
      <c r="K60" s="22">
        <f>IF(H60="","",IFERROR(INDEX(VENDAS!$J$5:$J$1004,MATCH(H60,VENDAS!$A$5:$A$1004,0))&amp;"",""))</f>
        <v/>
      </c>
      <c r="L60" s="26">
        <f>IF(H60="","",SUMIFS(VENDAS!$F$5:$F$1004,VENDAS!$A$5:$A$1004,H60))</f>
        <v/>
      </c>
      <c r="M60" s="26">
        <f>IF(H60="","",SUMIFS(VENDAS!$F$5:$F$1004,VENDAS!$A$5:$A$1004,H60,VENDAS!$D$5:$D$1004,M$4))</f>
        <v/>
      </c>
      <c r="N60" s="26">
        <f>IF(H60="","",SUMIFS(VENDAS!$F$5:$F$1004,VENDAS!$A$5:$A$1004,H60,VENDAS!$D$5:$D$1004,N$4))</f>
        <v/>
      </c>
      <c r="O60" s="26">
        <f>IF(H60="","",SUMIFS(VENDAS!$F$5:$F$1004,VENDAS!$A$5:$A$1004,H60,VENDAS!$D$5:$D$1004,O$4))</f>
        <v/>
      </c>
      <c r="P60" s="26">
        <f>IF(H60="","",SUMIFS(VENDAS!$F$5:$F$1004,VENDAS!$A$5:$A$1004,H60,VENDAS!$D$5:$D$1004,P$4))</f>
        <v/>
      </c>
      <c r="Q60" s="24">
        <f>IF(H60="","",SUMIFS(VENDAS!$H$5:$H$1004,VENDAS!$A$5:$A$1004,H60))</f>
        <v/>
      </c>
      <c r="R60" s="24">
        <f>IF(H60="","",SUMIFS(VENDAS!$K$5:$K$1004,VENDAS!$A$5:$A$1004,H60))</f>
        <v/>
      </c>
      <c r="S60" s="20" t="n"/>
      <c r="T60" s="31" t="n"/>
    </row>
    <row r="61">
      <c r="H61" s="20" t="n"/>
      <c r="I61" s="30">
        <f>IF(H61="","",IFERROR(INDEX(VENDAS!$B$5:$B$1004,MATCH(H61,VENDAS!$A$5:$A$1004,0)),"não lançado"))</f>
        <v/>
      </c>
      <c r="J61" s="22">
        <f>IF(H61="","",IFERROR(INDEX(VENDAS!$M$5:$M$1004,MATCH(H61,VENDAS!$A$5:$A$1004,0))&amp;"",""))</f>
        <v/>
      </c>
      <c r="K61" s="22">
        <f>IF(H61="","",IFERROR(INDEX(VENDAS!$J$5:$J$1004,MATCH(H61,VENDAS!$A$5:$A$1004,0))&amp;"",""))</f>
        <v/>
      </c>
      <c r="L61" s="26">
        <f>IF(H61="","",SUMIFS(VENDAS!$F$5:$F$1004,VENDAS!$A$5:$A$1004,H61))</f>
        <v/>
      </c>
      <c r="M61" s="26">
        <f>IF(H61="","",SUMIFS(VENDAS!$F$5:$F$1004,VENDAS!$A$5:$A$1004,H61,VENDAS!$D$5:$D$1004,M$4))</f>
        <v/>
      </c>
      <c r="N61" s="26">
        <f>IF(H61="","",SUMIFS(VENDAS!$F$5:$F$1004,VENDAS!$A$5:$A$1004,H61,VENDAS!$D$5:$D$1004,N$4))</f>
        <v/>
      </c>
      <c r="O61" s="26">
        <f>IF(H61="","",SUMIFS(VENDAS!$F$5:$F$1004,VENDAS!$A$5:$A$1004,H61,VENDAS!$D$5:$D$1004,O$4))</f>
        <v/>
      </c>
      <c r="P61" s="26">
        <f>IF(H61="","",SUMIFS(VENDAS!$F$5:$F$1004,VENDAS!$A$5:$A$1004,H61,VENDAS!$D$5:$D$1004,P$4))</f>
        <v/>
      </c>
      <c r="Q61" s="24">
        <f>IF(H61="","",SUMIFS(VENDAS!$H$5:$H$1004,VENDAS!$A$5:$A$1004,H61))</f>
        <v/>
      </c>
      <c r="R61" s="24">
        <f>IF(H61="","",SUMIFS(VENDAS!$K$5:$K$1004,VENDAS!$A$5:$A$1004,H61))</f>
        <v/>
      </c>
      <c r="S61" s="20" t="n"/>
      <c r="T61" s="31" t="n"/>
    </row>
    <row r="62">
      <c r="H62" s="20" t="n"/>
      <c r="I62" s="30">
        <f>IF(H62="","",IFERROR(INDEX(VENDAS!$B$5:$B$1004,MATCH(H62,VENDAS!$A$5:$A$1004,0)),"não lançado"))</f>
        <v/>
      </c>
      <c r="J62" s="22">
        <f>IF(H62="","",IFERROR(INDEX(VENDAS!$M$5:$M$1004,MATCH(H62,VENDAS!$A$5:$A$1004,0))&amp;"",""))</f>
        <v/>
      </c>
      <c r="K62" s="22">
        <f>IF(H62="","",IFERROR(INDEX(VENDAS!$J$5:$J$1004,MATCH(H62,VENDAS!$A$5:$A$1004,0))&amp;"",""))</f>
        <v/>
      </c>
      <c r="L62" s="26">
        <f>IF(H62="","",SUMIFS(VENDAS!$F$5:$F$1004,VENDAS!$A$5:$A$1004,H62))</f>
        <v/>
      </c>
      <c r="M62" s="26">
        <f>IF(H62="","",SUMIFS(VENDAS!$F$5:$F$1004,VENDAS!$A$5:$A$1004,H62,VENDAS!$D$5:$D$1004,M$4))</f>
        <v/>
      </c>
      <c r="N62" s="26">
        <f>IF(H62="","",SUMIFS(VENDAS!$F$5:$F$1004,VENDAS!$A$5:$A$1004,H62,VENDAS!$D$5:$D$1004,N$4))</f>
        <v/>
      </c>
      <c r="O62" s="26">
        <f>IF(H62="","",SUMIFS(VENDAS!$F$5:$F$1004,VENDAS!$A$5:$A$1004,H62,VENDAS!$D$5:$D$1004,O$4))</f>
        <v/>
      </c>
      <c r="P62" s="26">
        <f>IF(H62="","",SUMIFS(VENDAS!$F$5:$F$1004,VENDAS!$A$5:$A$1004,H62,VENDAS!$D$5:$D$1004,P$4))</f>
        <v/>
      </c>
      <c r="Q62" s="24">
        <f>IF(H62="","",SUMIFS(VENDAS!$H$5:$H$1004,VENDAS!$A$5:$A$1004,H62))</f>
        <v/>
      </c>
      <c r="R62" s="24">
        <f>IF(H62="","",SUMIFS(VENDAS!$K$5:$K$1004,VENDAS!$A$5:$A$1004,H62))</f>
        <v/>
      </c>
      <c r="S62" s="20" t="n"/>
      <c r="T62" s="31" t="n"/>
    </row>
    <row r="63">
      <c r="H63" s="20" t="n"/>
      <c r="I63" s="30">
        <f>IF(H63="","",IFERROR(INDEX(VENDAS!$B$5:$B$1004,MATCH(H63,VENDAS!$A$5:$A$1004,0)),"não lançado"))</f>
        <v/>
      </c>
      <c r="J63" s="22">
        <f>IF(H63="","",IFERROR(INDEX(VENDAS!$M$5:$M$1004,MATCH(H63,VENDAS!$A$5:$A$1004,0))&amp;"",""))</f>
        <v/>
      </c>
      <c r="K63" s="22">
        <f>IF(H63="","",IFERROR(INDEX(VENDAS!$J$5:$J$1004,MATCH(H63,VENDAS!$A$5:$A$1004,0))&amp;"",""))</f>
        <v/>
      </c>
      <c r="L63" s="26">
        <f>IF(H63="","",SUMIFS(VENDAS!$F$5:$F$1004,VENDAS!$A$5:$A$1004,H63))</f>
        <v/>
      </c>
      <c r="M63" s="26">
        <f>IF(H63="","",SUMIFS(VENDAS!$F$5:$F$1004,VENDAS!$A$5:$A$1004,H63,VENDAS!$D$5:$D$1004,M$4))</f>
        <v/>
      </c>
      <c r="N63" s="26">
        <f>IF(H63="","",SUMIFS(VENDAS!$F$5:$F$1004,VENDAS!$A$5:$A$1004,H63,VENDAS!$D$5:$D$1004,N$4))</f>
        <v/>
      </c>
      <c r="O63" s="26">
        <f>IF(H63="","",SUMIFS(VENDAS!$F$5:$F$1004,VENDAS!$A$5:$A$1004,H63,VENDAS!$D$5:$D$1004,O$4))</f>
        <v/>
      </c>
      <c r="P63" s="26">
        <f>IF(H63="","",SUMIFS(VENDAS!$F$5:$F$1004,VENDAS!$A$5:$A$1004,H63,VENDAS!$D$5:$D$1004,P$4))</f>
        <v/>
      </c>
      <c r="Q63" s="24">
        <f>IF(H63="","",SUMIFS(VENDAS!$H$5:$H$1004,VENDAS!$A$5:$A$1004,H63))</f>
        <v/>
      </c>
      <c r="R63" s="24">
        <f>IF(H63="","",SUMIFS(VENDAS!$K$5:$K$1004,VENDAS!$A$5:$A$1004,H63))</f>
        <v/>
      </c>
      <c r="S63" s="20" t="n"/>
      <c r="T63" s="31" t="n"/>
    </row>
    <row r="64">
      <c r="H64" s="20" t="n"/>
      <c r="I64" s="30">
        <f>IF(H64="","",IFERROR(INDEX(VENDAS!$B$5:$B$1004,MATCH(H64,VENDAS!$A$5:$A$1004,0)),"não lançado"))</f>
        <v/>
      </c>
      <c r="J64" s="22">
        <f>IF(H64="","",IFERROR(INDEX(VENDAS!$M$5:$M$1004,MATCH(H64,VENDAS!$A$5:$A$1004,0))&amp;"",""))</f>
        <v/>
      </c>
      <c r="K64" s="22">
        <f>IF(H64="","",IFERROR(INDEX(VENDAS!$J$5:$J$1004,MATCH(H64,VENDAS!$A$5:$A$1004,0))&amp;"",""))</f>
        <v/>
      </c>
      <c r="L64" s="26">
        <f>IF(H64="","",SUMIFS(VENDAS!$F$5:$F$1004,VENDAS!$A$5:$A$1004,H64))</f>
        <v/>
      </c>
      <c r="M64" s="26">
        <f>IF(H64="","",SUMIFS(VENDAS!$F$5:$F$1004,VENDAS!$A$5:$A$1004,H64,VENDAS!$D$5:$D$1004,M$4))</f>
        <v/>
      </c>
      <c r="N64" s="26">
        <f>IF(H64="","",SUMIFS(VENDAS!$F$5:$F$1004,VENDAS!$A$5:$A$1004,H64,VENDAS!$D$5:$D$1004,N$4))</f>
        <v/>
      </c>
      <c r="O64" s="26">
        <f>IF(H64="","",SUMIFS(VENDAS!$F$5:$F$1004,VENDAS!$A$5:$A$1004,H64,VENDAS!$D$5:$D$1004,O$4))</f>
        <v/>
      </c>
      <c r="P64" s="26">
        <f>IF(H64="","",SUMIFS(VENDAS!$F$5:$F$1004,VENDAS!$A$5:$A$1004,H64,VENDAS!$D$5:$D$1004,P$4))</f>
        <v/>
      </c>
      <c r="Q64" s="24">
        <f>IF(H64="","",SUMIFS(VENDAS!$H$5:$H$1004,VENDAS!$A$5:$A$1004,H64))</f>
        <v/>
      </c>
      <c r="R64" s="24">
        <f>IF(H64="","",SUMIFS(VENDAS!$K$5:$K$1004,VENDAS!$A$5:$A$1004,H64))</f>
        <v/>
      </c>
      <c r="S64" s="20" t="n"/>
      <c r="T64" s="31" t="n"/>
    </row>
    <row r="65">
      <c r="H65" s="20" t="n"/>
      <c r="I65" s="30">
        <f>IF(H65="","",IFERROR(INDEX(VENDAS!$B$5:$B$1004,MATCH(H65,VENDAS!$A$5:$A$1004,0)),"não lançado"))</f>
        <v/>
      </c>
      <c r="J65" s="22">
        <f>IF(H65="","",IFERROR(INDEX(VENDAS!$M$5:$M$1004,MATCH(H65,VENDAS!$A$5:$A$1004,0))&amp;"",""))</f>
        <v/>
      </c>
      <c r="K65" s="22">
        <f>IF(H65="","",IFERROR(INDEX(VENDAS!$J$5:$J$1004,MATCH(H65,VENDAS!$A$5:$A$1004,0))&amp;"",""))</f>
        <v/>
      </c>
      <c r="L65" s="26">
        <f>IF(H65="","",SUMIFS(VENDAS!$F$5:$F$1004,VENDAS!$A$5:$A$1004,H65))</f>
        <v/>
      </c>
      <c r="M65" s="26">
        <f>IF(H65="","",SUMIFS(VENDAS!$F$5:$F$1004,VENDAS!$A$5:$A$1004,H65,VENDAS!$D$5:$D$1004,M$4))</f>
        <v/>
      </c>
      <c r="N65" s="26">
        <f>IF(H65="","",SUMIFS(VENDAS!$F$5:$F$1004,VENDAS!$A$5:$A$1004,H65,VENDAS!$D$5:$D$1004,N$4))</f>
        <v/>
      </c>
      <c r="O65" s="26">
        <f>IF(H65="","",SUMIFS(VENDAS!$F$5:$F$1004,VENDAS!$A$5:$A$1004,H65,VENDAS!$D$5:$D$1004,O$4))</f>
        <v/>
      </c>
      <c r="P65" s="26">
        <f>IF(H65="","",SUMIFS(VENDAS!$F$5:$F$1004,VENDAS!$A$5:$A$1004,H65,VENDAS!$D$5:$D$1004,P$4))</f>
        <v/>
      </c>
      <c r="Q65" s="24">
        <f>IF(H65="","",SUMIFS(VENDAS!$H$5:$H$1004,VENDAS!$A$5:$A$1004,H65))</f>
        <v/>
      </c>
      <c r="R65" s="24">
        <f>IF(H65="","",SUMIFS(VENDAS!$K$5:$K$1004,VENDAS!$A$5:$A$1004,H65))</f>
        <v/>
      </c>
      <c r="S65" s="20" t="n"/>
      <c r="T65" s="31" t="n"/>
    </row>
    <row r="66">
      <c r="H66" s="20" t="n"/>
      <c r="I66" s="30">
        <f>IF(H66="","",IFERROR(INDEX(VENDAS!$B$5:$B$1004,MATCH(H66,VENDAS!$A$5:$A$1004,0)),"não lançado"))</f>
        <v/>
      </c>
      <c r="J66" s="22">
        <f>IF(H66="","",IFERROR(INDEX(VENDAS!$M$5:$M$1004,MATCH(H66,VENDAS!$A$5:$A$1004,0))&amp;"",""))</f>
        <v/>
      </c>
      <c r="K66" s="22">
        <f>IF(H66="","",IFERROR(INDEX(VENDAS!$J$5:$J$1004,MATCH(H66,VENDAS!$A$5:$A$1004,0))&amp;"",""))</f>
        <v/>
      </c>
      <c r="L66" s="26">
        <f>IF(H66="","",SUMIFS(VENDAS!$F$5:$F$1004,VENDAS!$A$5:$A$1004,H66))</f>
        <v/>
      </c>
      <c r="M66" s="26">
        <f>IF(H66="","",SUMIFS(VENDAS!$F$5:$F$1004,VENDAS!$A$5:$A$1004,H66,VENDAS!$D$5:$D$1004,M$4))</f>
        <v/>
      </c>
      <c r="N66" s="26">
        <f>IF(H66="","",SUMIFS(VENDAS!$F$5:$F$1004,VENDAS!$A$5:$A$1004,H66,VENDAS!$D$5:$D$1004,N$4))</f>
        <v/>
      </c>
      <c r="O66" s="26">
        <f>IF(H66="","",SUMIFS(VENDAS!$F$5:$F$1004,VENDAS!$A$5:$A$1004,H66,VENDAS!$D$5:$D$1004,O$4))</f>
        <v/>
      </c>
      <c r="P66" s="26">
        <f>IF(H66="","",SUMIFS(VENDAS!$F$5:$F$1004,VENDAS!$A$5:$A$1004,H66,VENDAS!$D$5:$D$1004,P$4))</f>
        <v/>
      </c>
      <c r="Q66" s="24">
        <f>IF(H66="","",SUMIFS(VENDAS!$H$5:$H$1004,VENDAS!$A$5:$A$1004,H66))</f>
        <v/>
      </c>
      <c r="R66" s="24">
        <f>IF(H66="","",SUMIFS(VENDAS!$K$5:$K$1004,VENDAS!$A$5:$A$1004,H66))</f>
        <v/>
      </c>
      <c r="S66" s="20" t="n"/>
      <c r="T66" s="31" t="n"/>
    </row>
    <row r="67">
      <c r="H67" s="20" t="n"/>
      <c r="I67" s="30">
        <f>IF(H67="","",IFERROR(INDEX(VENDAS!$B$5:$B$1004,MATCH(H67,VENDAS!$A$5:$A$1004,0)),"não lançado"))</f>
        <v/>
      </c>
      <c r="J67" s="22">
        <f>IF(H67="","",IFERROR(INDEX(VENDAS!$M$5:$M$1004,MATCH(H67,VENDAS!$A$5:$A$1004,0))&amp;"",""))</f>
        <v/>
      </c>
      <c r="K67" s="22">
        <f>IF(H67="","",IFERROR(INDEX(VENDAS!$J$5:$J$1004,MATCH(H67,VENDAS!$A$5:$A$1004,0))&amp;"",""))</f>
        <v/>
      </c>
      <c r="L67" s="26">
        <f>IF(H67="","",SUMIFS(VENDAS!$F$5:$F$1004,VENDAS!$A$5:$A$1004,H67))</f>
        <v/>
      </c>
      <c r="M67" s="26">
        <f>IF(H67="","",SUMIFS(VENDAS!$F$5:$F$1004,VENDAS!$A$5:$A$1004,H67,VENDAS!$D$5:$D$1004,M$4))</f>
        <v/>
      </c>
      <c r="N67" s="26">
        <f>IF(H67="","",SUMIFS(VENDAS!$F$5:$F$1004,VENDAS!$A$5:$A$1004,H67,VENDAS!$D$5:$D$1004,N$4))</f>
        <v/>
      </c>
      <c r="O67" s="26">
        <f>IF(H67="","",SUMIFS(VENDAS!$F$5:$F$1004,VENDAS!$A$5:$A$1004,H67,VENDAS!$D$5:$D$1004,O$4))</f>
        <v/>
      </c>
      <c r="P67" s="26">
        <f>IF(H67="","",SUMIFS(VENDAS!$F$5:$F$1004,VENDAS!$A$5:$A$1004,H67,VENDAS!$D$5:$D$1004,P$4))</f>
        <v/>
      </c>
      <c r="Q67" s="24">
        <f>IF(H67="","",SUMIFS(VENDAS!$H$5:$H$1004,VENDAS!$A$5:$A$1004,H67))</f>
        <v/>
      </c>
      <c r="R67" s="24">
        <f>IF(H67="","",SUMIFS(VENDAS!$K$5:$K$1004,VENDAS!$A$5:$A$1004,H67))</f>
        <v/>
      </c>
      <c r="S67" s="20" t="n"/>
      <c r="T67" s="31" t="n"/>
    </row>
    <row r="68">
      <c r="H68" s="20" t="n"/>
      <c r="I68" s="30">
        <f>IF(H68="","",IFERROR(INDEX(VENDAS!$B$5:$B$1004,MATCH(H68,VENDAS!$A$5:$A$1004,0)),"não lançado"))</f>
        <v/>
      </c>
      <c r="J68" s="22">
        <f>IF(H68="","",IFERROR(INDEX(VENDAS!$M$5:$M$1004,MATCH(H68,VENDAS!$A$5:$A$1004,0))&amp;"",""))</f>
        <v/>
      </c>
      <c r="K68" s="22">
        <f>IF(H68="","",IFERROR(INDEX(VENDAS!$J$5:$J$1004,MATCH(H68,VENDAS!$A$5:$A$1004,0))&amp;"",""))</f>
        <v/>
      </c>
      <c r="L68" s="26">
        <f>IF(H68="","",SUMIFS(VENDAS!$F$5:$F$1004,VENDAS!$A$5:$A$1004,H68))</f>
        <v/>
      </c>
      <c r="M68" s="26">
        <f>IF(H68="","",SUMIFS(VENDAS!$F$5:$F$1004,VENDAS!$A$5:$A$1004,H68,VENDAS!$D$5:$D$1004,M$4))</f>
        <v/>
      </c>
      <c r="N68" s="26">
        <f>IF(H68="","",SUMIFS(VENDAS!$F$5:$F$1004,VENDAS!$A$5:$A$1004,H68,VENDAS!$D$5:$D$1004,N$4))</f>
        <v/>
      </c>
      <c r="O68" s="26">
        <f>IF(H68="","",SUMIFS(VENDAS!$F$5:$F$1004,VENDAS!$A$5:$A$1004,H68,VENDAS!$D$5:$D$1004,O$4))</f>
        <v/>
      </c>
      <c r="P68" s="26">
        <f>IF(H68="","",SUMIFS(VENDAS!$F$5:$F$1004,VENDAS!$A$5:$A$1004,H68,VENDAS!$D$5:$D$1004,P$4))</f>
        <v/>
      </c>
      <c r="Q68" s="24">
        <f>IF(H68="","",SUMIFS(VENDAS!$H$5:$H$1004,VENDAS!$A$5:$A$1004,H68))</f>
        <v/>
      </c>
      <c r="R68" s="24">
        <f>IF(H68="","",SUMIFS(VENDAS!$K$5:$K$1004,VENDAS!$A$5:$A$1004,H68))</f>
        <v/>
      </c>
      <c r="S68" s="20" t="n"/>
      <c r="T68" s="31" t="n"/>
    </row>
    <row r="69">
      <c r="H69" s="20" t="n"/>
      <c r="I69" s="30">
        <f>IF(H69="","",IFERROR(INDEX(VENDAS!$B$5:$B$1004,MATCH(H69,VENDAS!$A$5:$A$1004,0)),"não lançado"))</f>
        <v/>
      </c>
      <c r="J69" s="22">
        <f>IF(H69="","",IFERROR(INDEX(VENDAS!$M$5:$M$1004,MATCH(H69,VENDAS!$A$5:$A$1004,0))&amp;"",""))</f>
        <v/>
      </c>
      <c r="K69" s="22">
        <f>IF(H69="","",IFERROR(INDEX(VENDAS!$J$5:$J$1004,MATCH(H69,VENDAS!$A$5:$A$1004,0))&amp;"",""))</f>
        <v/>
      </c>
      <c r="L69" s="26">
        <f>IF(H69="","",SUMIFS(VENDAS!$F$5:$F$1004,VENDAS!$A$5:$A$1004,H69))</f>
        <v/>
      </c>
      <c r="M69" s="26">
        <f>IF(H69="","",SUMIFS(VENDAS!$F$5:$F$1004,VENDAS!$A$5:$A$1004,H69,VENDAS!$D$5:$D$1004,M$4))</f>
        <v/>
      </c>
      <c r="N69" s="26">
        <f>IF(H69="","",SUMIFS(VENDAS!$F$5:$F$1004,VENDAS!$A$5:$A$1004,H69,VENDAS!$D$5:$D$1004,N$4))</f>
        <v/>
      </c>
      <c r="O69" s="26">
        <f>IF(H69="","",SUMIFS(VENDAS!$F$5:$F$1004,VENDAS!$A$5:$A$1004,H69,VENDAS!$D$5:$D$1004,O$4))</f>
        <v/>
      </c>
      <c r="P69" s="26">
        <f>IF(H69="","",SUMIFS(VENDAS!$F$5:$F$1004,VENDAS!$A$5:$A$1004,H69,VENDAS!$D$5:$D$1004,P$4))</f>
        <v/>
      </c>
      <c r="Q69" s="24">
        <f>IF(H69="","",SUMIFS(VENDAS!$H$5:$H$1004,VENDAS!$A$5:$A$1004,H69))</f>
        <v/>
      </c>
      <c r="R69" s="24">
        <f>IF(H69="","",SUMIFS(VENDAS!$K$5:$K$1004,VENDAS!$A$5:$A$1004,H69))</f>
        <v/>
      </c>
      <c r="S69" s="20" t="n"/>
      <c r="T69" s="31" t="n"/>
    </row>
    <row r="70">
      <c r="H70" s="20" t="n"/>
      <c r="I70" s="30">
        <f>IF(H70="","",IFERROR(INDEX(VENDAS!$B$5:$B$1004,MATCH(H70,VENDAS!$A$5:$A$1004,0)),"não lançado"))</f>
        <v/>
      </c>
      <c r="J70" s="22">
        <f>IF(H70="","",IFERROR(INDEX(VENDAS!$M$5:$M$1004,MATCH(H70,VENDAS!$A$5:$A$1004,0))&amp;"",""))</f>
        <v/>
      </c>
      <c r="K70" s="22">
        <f>IF(H70="","",IFERROR(INDEX(VENDAS!$J$5:$J$1004,MATCH(H70,VENDAS!$A$5:$A$1004,0))&amp;"",""))</f>
        <v/>
      </c>
      <c r="L70" s="26">
        <f>IF(H70="","",SUMIFS(VENDAS!$F$5:$F$1004,VENDAS!$A$5:$A$1004,H70))</f>
        <v/>
      </c>
      <c r="M70" s="26">
        <f>IF(H70="","",SUMIFS(VENDAS!$F$5:$F$1004,VENDAS!$A$5:$A$1004,H70,VENDAS!$D$5:$D$1004,M$4))</f>
        <v/>
      </c>
      <c r="N70" s="26">
        <f>IF(H70="","",SUMIFS(VENDAS!$F$5:$F$1004,VENDAS!$A$5:$A$1004,H70,VENDAS!$D$5:$D$1004,N$4))</f>
        <v/>
      </c>
      <c r="O70" s="26">
        <f>IF(H70="","",SUMIFS(VENDAS!$F$5:$F$1004,VENDAS!$A$5:$A$1004,H70,VENDAS!$D$5:$D$1004,O$4))</f>
        <v/>
      </c>
      <c r="P70" s="26">
        <f>IF(H70="","",SUMIFS(VENDAS!$F$5:$F$1004,VENDAS!$A$5:$A$1004,H70,VENDAS!$D$5:$D$1004,P$4))</f>
        <v/>
      </c>
      <c r="Q70" s="24">
        <f>IF(H70="","",SUMIFS(VENDAS!$H$5:$H$1004,VENDAS!$A$5:$A$1004,H70))</f>
        <v/>
      </c>
      <c r="R70" s="24">
        <f>IF(H70="","",SUMIFS(VENDAS!$K$5:$K$1004,VENDAS!$A$5:$A$1004,H70))</f>
        <v/>
      </c>
      <c r="S70" s="20" t="n"/>
      <c r="T70" s="31" t="n"/>
    </row>
    <row r="71">
      <c r="H71" s="20" t="n"/>
      <c r="I71" s="30">
        <f>IF(H71="","",IFERROR(INDEX(VENDAS!$B$5:$B$1004,MATCH(H71,VENDAS!$A$5:$A$1004,0)),"não lançado"))</f>
        <v/>
      </c>
      <c r="J71" s="22">
        <f>IF(H71="","",IFERROR(INDEX(VENDAS!$M$5:$M$1004,MATCH(H71,VENDAS!$A$5:$A$1004,0))&amp;"",""))</f>
        <v/>
      </c>
      <c r="K71" s="22">
        <f>IF(H71="","",IFERROR(INDEX(VENDAS!$J$5:$J$1004,MATCH(H71,VENDAS!$A$5:$A$1004,0))&amp;"",""))</f>
        <v/>
      </c>
      <c r="L71" s="26">
        <f>IF(H71="","",SUMIFS(VENDAS!$F$5:$F$1004,VENDAS!$A$5:$A$1004,H71))</f>
        <v/>
      </c>
      <c r="M71" s="26">
        <f>IF(H71="","",SUMIFS(VENDAS!$F$5:$F$1004,VENDAS!$A$5:$A$1004,H71,VENDAS!$D$5:$D$1004,M$4))</f>
        <v/>
      </c>
      <c r="N71" s="26">
        <f>IF(H71="","",SUMIFS(VENDAS!$F$5:$F$1004,VENDAS!$A$5:$A$1004,H71,VENDAS!$D$5:$D$1004,N$4))</f>
        <v/>
      </c>
      <c r="O71" s="26">
        <f>IF(H71="","",SUMIFS(VENDAS!$F$5:$F$1004,VENDAS!$A$5:$A$1004,H71,VENDAS!$D$5:$D$1004,O$4))</f>
        <v/>
      </c>
      <c r="P71" s="26">
        <f>IF(H71="","",SUMIFS(VENDAS!$F$5:$F$1004,VENDAS!$A$5:$A$1004,H71,VENDAS!$D$5:$D$1004,P$4))</f>
        <v/>
      </c>
      <c r="Q71" s="24">
        <f>IF(H71="","",SUMIFS(VENDAS!$H$5:$H$1004,VENDAS!$A$5:$A$1004,H71))</f>
        <v/>
      </c>
      <c r="R71" s="24">
        <f>IF(H71="","",SUMIFS(VENDAS!$K$5:$K$1004,VENDAS!$A$5:$A$1004,H71))</f>
        <v/>
      </c>
      <c r="S71" s="20" t="n"/>
      <c r="T71" s="31" t="n"/>
    </row>
    <row r="72">
      <c r="H72" s="20" t="n"/>
      <c r="I72" s="30">
        <f>IF(H72="","",IFERROR(INDEX(VENDAS!$B$5:$B$1004,MATCH(H72,VENDAS!$A$5:$A$1004,0)),"não lançado"))</f>
        <v/>
      </c>
      <c r="J72" s="22">
        <f>IF(H72="","",IFERROR(INDEX(VENDAS!$M$5:$M$1004,MATCH(H72,VENDAS!$A$5:$A$1004,0))&amp;"",""))</f>
        <v/>
      </c>
      <c r="K72" s="22">
        <f>IF(H72="","",IFERROR(INDEX(VENDAS!$J$5:$J$1004,MATCH(H72,VENDAS!$A$5:$A$1004,0))&amp;"",""))</f>
        <v/>
      </c>
      <c r="L72" s="26">
        <f>IF(H72="","",SUMIFS(VENDAS!$F$5:$F$1004,VENDAS!$A$5:$A$1004,H72))</f>
        <v/>
      </c>
      <c r="M72" s="26">
        <f>IF(H72="","",SUMIFS(VENDAS!$F$5:$F$1004,VENDAS!$A$5:$A$1004,H72,VENDAS!$D$5:$D$1004,M$4))</f>
        <v/>
      </c>
      <c r="N72" s="26">
        <f>IF(H72="","",SUMIFS(VENDAS!$F$5:$F$1004,VENDAS!$A$5:$A$1004,H72,VENDAS!$D$5:$D$1004,N$4))</f>
        <v/>
      </c>
      <c r="O72" s="26">
        <f>IF(H72="","",SUMIFS(VENDAS!$F$5:$F$1004,VENDAS!$A$5:$A$1004,H72,VENDAS!$D$5:$D$1004,O$4))</f>
        <v/>
      </c>
      <c r="P72" s="26">
        <f>IF(H72="","",SUMIFS(VENDAS!$F$5:$F$1004,VENDAS!$A$5:$A$1004,H72,VENDAS!$D$5:$D$1004,P$4))</f>
        <v/>
      </c>
      <c r="Q72" s="24">
        <f>IF(H72="","",SUMIFS(VENDAS!$H$5:$H$1004,VENDAS!$A$5:$A$1004,H72))</f>
        <v/>
      </c>
      <c r="R72" s="24">
        <f>IF(H72="","",SUMIFS(VENDAS!$K$5:$K$1004,VENDAS!$A$5:$A$1004,H72))</f>
        <v/>
      </c>
      <c r="S72" s="20" t="n"/>
      <c r="T72" s="31" t="n"/>
    </row>
    <row r="73">
      <c r="H73" s="20" t="n"/>
      <c r="I73" s="30">
        <f>IF(H73="","",IFERROR(INDEX(VENDAS!$B$5:$B$1004,MATCH(H73,VENDAS!$A$5:$A$1004,0)),"não lançado"))</f>
        <v/>
      </c>
      <c r="J73" s="22">
        <f>IF(H73="","",IFERROR(INDEX(VENDAS!$M$5:$M$1004,MATCH(H73,VENDAS!$A$5:$A$1004,0))&amp;"",""))</f>
        <v/>
      </c>
      <c r="K73" s="22">
        <f>IF(H73="","",IFERROR(INDEX(VENDAS!$J$5:$J$1004,MATCH(H73,VENDAS!$A$5:$A$1004,0))&amp;"",""))</f>
        <v/>
      </c>
      <c r="L73" s="26">
        <f>IF(H73="","",SUMIFS(VENDAS!$F$5:$F$1004,VENDAS!$A$5:$A$1004,H73))</f>
        <v/>
      </c>
      <c r="M73" s="26">
        <f>IF(H73="","",SUMIFS(VENDAS!$F$5:$F$1004,VENDAS!$A$5:$A$1004,H73,VENDAS!$D$5:$D$1004,M$4))</f>
        <v/>
      </c>
      <c r="N73" s="26">
        <f>IF(H73="","",SUMIFS(VENDAS!$F$5:$F$1004,VENDAS!$A$5:$A$1004,H73,VENDAS!$D$5:$D$1004,N$4))</f>
        <v/>
      </c>
      <c r="O73" s="26">
        <f>IF(H73="","",SUMIFS(VENDAS!$F$5:$F$1004,VENDAS!$A$5:$A$1004,H73,VENDAS!$D$5:$D$1004,O$4))</f>
        <v/>
      </c>
      <c r="P73" s="26">
        <f>IF(H73="","",SUMIFS(VENDAS!$F$5:$F$1004,VENDAS!$A$5:$A$1004,H73,VENDAS!$D$5:$D$1004,P$4))</f>
        <v/>
      </c>
      <c r="Q73" s="24">
        <f>IF(H73="","",SUMIFS(VENDAS!$H$5:$H$1004,VENDAS!$A$5:$A$1004,H73))</f>
        <v/>
      </c>
      <c r="R73" s="24">
        <f>IF(H73="","",SUMIFS(VENDAS!$K$5:$K$1004,VENDAS!$A$5:$A$1004,H73))</f>
        <v/>
      </c>
      <c r="S73" s="20" t="n"/>
      <c r="T73" s="31" t="n"/>
    </row>
    <row r="74">
      <c r="H74" s="20" t="n"/>
      <c r="I74" s="30">
        <f>IF(H74="","",IFERROR(INDEX(VENDAS!$B$5:$B$1004,MATCH(H74,VENDAS!$A$5:$A$1004,0)),"não lançado"))</f>
        <v/>
      </c>
      <c r="J74" s="22">
        <f>IF(H74="","",IFERROR(INDEX(VENDAS!$M$5:$M$1004,MATCH(H74,VENDAS!$A$5:$A$1004,0))&amp;"",""))</f>
        <v/>
      </c>
      <c r="K74" s="22">
        <f>IF(H74="","",IFERROR(INDEX(VENDAS!$J$5:$J$1004,MATCH(H74,VENDAS!$A$5:$A$1004,0))&amp;"",""))</f>
        <v/>
      </c>
      <c r="L74" s="26">
        <f>IF(H74="","",SUMIFS(VENDAS!$F$5:$F$1004,VENDAS!$A$5:$A$1004,H74))</f>
        <v/>
      </c>
      <c r="M74" s="26">
        <f>IF(H74="","",SUMIFS(VENDAS!$F$5:$F$1004,VENDAS!$A$5:$A$1004,H74,VENDAS!$D$5:$D$1004,M$4))</f>
        <v/>
      </c>
      <c r="N74" s="26">
        <f>IF(H74="","",SUMIFS(VENDAS!$F$5:$F$1004,VENDAS!$A$5:$A$1004,H74,VENDAS!$D$5:$D$1004,N$4))</f>
        <v/>
      </c>
      <c r="O74" s="26">
        <f>IF(H74="","",SUMIFS(VENDAS!$F$5:$F$1004,VENDAS!$A$5:$A$1004,H74,VENDAS!$D$5:$D$1004,O$4))</f>
        <v/>
      </c>
      <c r="P74" s="26">
        <f>IF(H74="","",SUMIFS(VENDAS!$F$5:$F$1004,VENDAS!$A$5:$A$1004,H74,VENDAS!$D$5:$D$1004,P$4))</f>
        <v/>
      </c>
      <c r="Q74" s="24">
        <f>IF(H74="","",SUMIFS(VENDAS!$H$5:$H$1004,VENDAS!$A$5:$A$1004,H74))</f>
        <v/>
      </c>
      <c r="R74" s="24">
        <f>IF(H74="","",SUMIFS(VENDAS!$K$5:$K$1004,VENDAS!$A$5:$A$1004,H74))</f>
        <v/>
      </c>
      <c r="S74" s="20" t="n"/>
      <c r="T74" s="31" t="n"/>
    </row>
    <row r="75">
      <c r="H75" s="20" t="n"/>
      <c r="I75" s="30">
        <f>IF(H75="","",IFERROR(INDEX(VENDAS!$B$5:$B$1004,MATCH(H75,VENDAS!$A$5:$A$1004,0)),"não lançado"))</f>
        <v/>
      </c>
      <c r="J75" s="22">
        <f>IF(H75="","",IFERROR(INDEX(VENDAS!$M$5:$M$1004,MATCH(H75,VENDAS!$A$5:$A$1004,0))&amp;"",""))</f>
        <v/>
      </c>
      <c r="K75" s="22">
        <f>IF(H75="","",IFERROR(INDEX(VENDAS!$J$5:$J$1004,MATCH(H75,VENDAS!$A$5:$A$1004,0))&amp;"",""))</f>
        <v/>
      </c>
      <c r="L75" s="26">
        <f>IF(H75="","",SUMIFS(VENDAS!$F$5:$F$1004,VENDAS!$A$5:$A$1004,H75))</f>
        <v/>
      </c>
      <c r="M75" s="26">
        <f>IF(H75="","",SUMIFS(VENDAS!$F$5:$F$1004,VENDAS!$A$5:$A$1004,H75,VENDAS!$D$5:$D$1004,M$4))</f>
        <v/>
      </c>
      <c r="N75" s="26">
        <f>IF(H75="","",SUMIFS(VENDAS!$F$5:$F$1004,VENDAS!$A$5:$A$1004,H75,VENDAS!$D$5:$D$1004,N$4))</f>
        <v/>
      </c>
      <c r="O75" s="26">
        <f>IF(H75="","",SUMIFS(VENDAS!$F$5:$F$1004,VENDAS!$A$5:$A$1004,H75,VENDAS!$D$5:$D$1004,O$4))</f>
        <v/>
      </c>
      <c r="P75" s="26">
        <f>IF(H75="","",SUMIFS(VENDAS!$F$5:$F$1004,VENDAS!$A$5:$A$1004,H75,VENDAS!$D$5:$D$1004,P$4))</f>
        <v/>
      </c>
      <c r="Q75" s="24">
        <f>IF(H75="","",SUMIFS(VENDAS!$H$5:$H$1004,VENDAS!$A$5:$A$1004,H75))</f>
        <v/>
      </c>
      <c r="R75" s="24">
        <f>IF(H75="","",SUMIFS(VENDAS!$K$5:$K$1004,VENDAS!$A$5:$A$1004,H75))</f>
        <v/>
      </c>
      <c r="S75" s="20" t="n"/>
      <c r="T75" s="31" t="n"/>
    </row>
    <row r="76">
      <c r="H76" s="20" t="n"/>
      <c r="I76" s="30">
        <f>IF(H76="","",IFERROR(INDEX(VENDAS!$B$5:$B$1004,MATCH(H76,VENDAS!$A$5:$A$1004,0)),"não lançado"))</f>
        <v/>
      </c>
      <c r="J76" s="22">
        <f>IF(H76="","",IFERROR(INDEX(VENDAS!$M$5:$M$1004,MATCH(H76,VENDAS!$A$5:$A$1004,0))&amp;"",""))</f>
        <v/>
      </c>
      <c r="K76" s="22">
        <f>IF(H76="","",IFERROR(INDEX(VENDAS!$J$5:$J$1004,MATCH(H76,VENDAS!$A$5:$A$1004,0))&amp;"",""))</f>
        <v/>
      </c>
      <c r="L76" s="26">
        <f>IF(H76="","",SUMIFS(VENDAS!$F$5:$F$1004,VENDAS!$A$5:$A$1004,H76))</f>
        <v/>
      </c>
      <c r="M76" s="26">
        <f>IF(H76="","",SUMIFS(VENDAS!$F$5:$F$1004,VENDAS!$A$5:$A$1004,H76,VENDAS!$D$5:$D$1004,M$4))</f>
        <v/>
      </c>
      <c r="N76" s="26">
        <f>IF(H76="","",SUMIFS(VENDAS!$F$5:$F$1004,VENDAS!$A$5:$A$1004,H76,VENDAS!$D$5:$D$1004,N$4))</f>
        <v/>
      </c>
      <c r="O76" s="26">
        <f>IF(H76="","",SUMIFS(VENDAS!$F$5:$F$1004,VENDAS!$A$5:$A$1004,H76,VENDAS!$D$5:$D$1004,O$4))</f>
        <v/>
      </c>
      <c r="P76" s="26">
        <f>IF(H76="","",SUMIFS(VENDAS!$F$5:$F$1004,VENDAS!$A$5:$A$1004,H76,VENDAS!$D$5:$D$1004,P$4))</f>
        <v/>
      </c>
      <c r="Q76" s="24">
        <f>IF(H76="","",SUMIFS(VENDAS!$H$5:$H$1004,VENDAS!$A$5:$A$1004,H76))</f>
        <v/>
      </c>
      <c r="R76" s="24">
        <f>IF(H76="","",SUMIFS(VENDAS!$K$5:$K$1004,VENDAS!$A$5:$A$1004,H76))</f>
        <v/>
      </c>
      <c r="S76" s="20" t="n"/>
      <c r="T76" s="31" t="n"/>
    </row>
    <row r="77">
      <c r="H77" s="20" t="n"/>
      <c r="I77" s="30">
        <f>IF(H77="","",IFERROR(INDEX(VENDAS!$B$5:$B$1004,MATCH(H77,VENDAS!$A$5:$A$1004,0)),"não lançado"))</f>
        <v/>
      </c>
      <c r="J77" s="22">
        <f>IF(H77="","",IFERROR(INDEX(VENDAS!$M$5:$M$1004,MATCH(H77,VENDAS!$A$5:$A$1004,0))&amp;"",""))</f>
        <v/>
      </c>
      <c r="K77" s="22">
        <f>IF(H77="","",IFERROR(INDEX(VENDAS!$J$5:$J$1004,MATCH(H77,VENDAS!$A$5:$A$1004,0))&amp;"",""))</f>
        <v/>
      </c>
      <c r="L77" s="26">
        <f>IF(H77="","",SUMIFS(VENDAS!$F$5:$F$1004,VENDAS!$A$5:$A$1004,H77))</f>
        <v/>
      </c>
      <c r="M77" s="26">
        <f>IF(H77="","",SUMIFS(VENDAS!$F$5:$F$1004,VENDAS!$A$5:$A$1004,H77,VENDAS!$D$5:$D$1004,M$4))</f>
        <v/>
      </c>
      <c r="N77" s="26">
        <f>IF(H77="","",SUMIFS(VENDAS!$F$5:$F$1004,VENDAS!$A$5:$A$1004,H77,VENDAS!$D$5:$D$1004,N$4))</f>
        <v/>
      </c>
      <c r="O77" s="26">
        <f>IF(H77="","",SUMIFS(VENDAS!$F$5:$F$1004,VENDAS!$A$5:$A$1004,H77,VENDAS!$D$5:$D$1004,O$4))</f>
        <v/>
      </c>
      <c r="P77" s="26">
        <f>IF(H77="","",SUMIFS(VENDAS!$F$5:$F$1004,VENDAS!$A$5:$A$1004,H77,VENDAS!$D$5:$D$1004,P$4))</f>
        <v/>
      </c>
      <c r="Q77" s="24">
        <f>IF(H77="","",SUMIFS(VENDAS!$H$5:$H$1004,VENDAS!$A$5:$A$1004,H77))</f>
        <v/>
      </c>
      <c r="R77" s="24">
        <f>IF(H77="","",SUMIFS(VENDAS!$K$5:$K$1004,VENDAS!$A$5:$A$1004,H77))</f>
        <v/>
      </c>
      <c r="S77" s="20" t="n"/>
      <c r="T77" s="31" t="n"/>
    </row>
    <row r="78">
      <c r="H78" s="20" t="n"/>
      <c r="I78" s="30">
        <f>IF(H78="","",IFERROR(INDEX(VENDAS!$B$5:$B$1004,MATCH(H78,VENDAS!$A$5:$A$1004,0)),"não lançado"))</f>
        <v/>
      </c>
      <c r="J78" s="22">
        <f>IF(H78="","",IFERROR(INDEX(VENDAS!$M$5:$M$1004,MATCH(H78,VENDAS!$A$5:$A$1004,0))&amp;"",""))</f>
        <v/>
      </c>
      <c r="K78" s="22">
        <f>IF(H78="","",IFERROR(INDEX(VENDAS!$J$5:$J$1004,MATCH(H78,VENDAS!$A$5:$A$1004,0))&amp;"",""))</f>
        <v/>
      </c>
      <c r="L78" s="26">
        <f>IF(H78="","",SUMIFS(VENDAS!$F$5:$F$1004,VENDAS!$A$5:$A$1004,H78))</f>
        <v/>
      </c>
      <c r="M78" s="26">
        <f>IF(H78="","",SUMIFS(VENDAS!$F$5:$F$1004,VENDAS!$A$5:$A$1004,H78,VENDAS!$D$5:$D$1004,M$4))</f>
        <v/>
      </c>
      <c r="N78" s="26">
        <f>IF(H78="","",SUMIFS(VENDAS!$F$5:$F$1004,VENDAS!$A$5:$A$1004,H78,VENDAS!$D$5:$D$1004,N$4))</f>
        <v/>
      </c>
      <c r="O78" s="26">
        <f>IF(H78="","",SUMIFS(VENDAS!$F$5:$F$1004,VENDAS!$A$5:$A$1004,H78,VENDAS!$D$5:$D$1004,O$4))</f>
        <v/>
      </c>
      <c r="P78" s="26">
        <f>IF(H78="","",SUMIFS(VENDAS!$F$5:$F$1004,VENDAS!$A$5:$A$1004,H78,VENDAS!$D$5:$D$1004,P$4))</f>
        <v/>
      </c>
      <c r="Q78" s="24">
        <f>IF(H78="","",SUMIFS(VENDAS!$H$5:$H$1004,VENDAS!$A$5:$A$1004,H78))</f>
        <v/>
      </c>
      <c r="R78" s="24">
        <f>IF(H78="","",SUMIFS(VENDAS!$K$5:$K$1004,VENDAS!$A$5:$A$1004,H78))</f>
        <v/>
      </c>
      <c r="S78" s="20" t="n"/>
      <c r="T78" s="31" t="n"/>
    </row>
    <row r="79">
      <c r="H79" s="20" t="n"/>
      <c r="I79" s="30">
        <f>IF(H79="","",IFERROR(INDEX(VENDAS!$B$5:$B$1004,MATCH(H79,VENDAS!$A$5:$A$1004,0)),"não lançado"))</f>
        <v/>
      </c>
      <c r="J79" s="22">
        <f>IF(H79="","",IFERROR(INDEX(VENDAS!$M$5:$M$1004,MATCH(H79,VENDAS!$A$5:$A$1004,0))&amp;"",""))</f>
        <v/>
      </c>
      <c r="K79" s="22">
        <f>IF(H79="","",IFERROR(INDEX(VENDAS!$J$5:$J$1004,MATCH(H79,VENDAS!$A$5:$A$1004,0))&amp;"",""))</f>
        <v/>
      </c>
      <c r="L79" s="26">
        <f>IF(H79="","",SUMIFS(VENDAS!$F$5:$F$1004,VENDAS!$A$5:$A$1004,H79))</f>
        <v/>
      </c>
      <c r="M79" s="26">
        <f>IF(H79="","",SUMIFS(VENDAS!$F$5:$F$1004,VENDAS!$A$5:$A$1004,H79,VENDAS!$D$5:$D$1004,M$4))</f>
        <v/>
      </c>
      <c r="N79" s="26">
        <f>IF(H79="","",SUMIFS(VENDAS!$F$5:$F$1004,VENDAS!$A$5:$A$1004,H79,VENDAS!$D$5:$D$1004,N$4))</f>
        <v/>
      </c>
      <c r="O79" s="26">
        <f>IF(H79="","",SUMIFS(VENDAS!$F$5:$F$1004,VENDAS!$A$5:$A$1004,H79,VENDAS!$D$5:$D$1004,O$4))</f>
        <v/>
      </c>
      <c r="P79" s="26">
        <f>IF(H79="","",SUMIFS(VENDAS!$F$5:$F$1004,VENDAS!$A$5:$A$1004,H79,VENDAS!$D$5:$D$1004,P$4))</f>
        <v/>
      </c>
      <c r="Q79" s="24">
        <f>IF(H79="","",SUMIFS(VENDAS!$H$5:$H$1004,VENDAS!$A$5:$A$1004,H79))</f>
        <v/>
      </c>
      <c r="R79" s="24">
        <f>IF(H79="","",SUMIFS(VENDAS!$K$5:$K$1004,VENDAS!$A$5:$A$1004,H79))</f>
        <v/>
      </c>
      <c r="S79" s="20" t="n"/>
      <c r="T79" s="31" t="n"/>
    </row>
    <row r="80">
      <c r="H80" s="20" t="n"/>
      <c r="I80" s="30">
        <f>IF(H80="","",IFERROR(INDEX(VENDAS!$B$5:$B$1004,MATCH(H80,VENDAS!$A$5:$A$1004,0)),"não lançado"))</f>
        <v/>
      </c>
      <c r="J80" s="22">
        <f>IF(H80="","",IFERROR(INDEX(VENDAS!$M$5:$M$1004,MATCH(H80,VENDAS!$A$5:$A$1004,0))&amp;"",""))</f>
        <v/>
      </c>
      <c r="K80" s="22">
        <f>IF(H80="","",IFERROR(INDEX(VENDAS!$J$5:$J$1004,MATCH(H80,VENDAS!$A$5:$A$1004,0))&amp;"",""))</f>
        <v/>
      </c>
      <c r="L80" s="26">
        <f>IF(H80="","",SUMIFS(VENDAS!$F$5:$F$1004,VENDAS!$A$5:$A$1004,H80))</f>
        <v/>
      </c>
      <c r="M80" s="26">
        <f>IF(H80="","",SUMIFS(VENDAS!$F$5:$F$1004,VENDAS!$A$5:$A$1004,H80,VENDAS!$D$5:$D$1004,M$4))</f>
        <v/>
      </c>
      <c r="N80" s="26">
        <f>IF(H80="","",SUMIFS(VENDAS!$F$5:$F$1004,VENDAS!$A$5:$A$1004,H80,VENDAS!$D$5:$D$1004,N$4))</f>
        <v/>
      </c>
      <c r="O80" s="26">
        <f>IF(H80="","",SUMIFS(VENDAS!$F$5:$F$1004,VENDAS!$A$5:$A$1004,H80,VENDAS!$D$5:$D$1004,O$4))</f>
        <v/>
      </c>
      <c r="P80" s="26">
        <f>IF(H80="","",SUMIFS(VENDAS!$F$5:$F$1004,VENDAS!$A$5:$A$1004,H80,VENDAS!$D$5:$D$1004,P$4))</f>
        <v/>
      </c>
      <c r="Q80" s="24">
        <f>IF(H80="","",SUMIFS(VENDAS!$H$5:$H$1004,VENDAS!$A$5:$A$1004,H80))</f>
        <v/>
      </c>
      <c r="R80" s="24">
        <f>IF(H80="","",SUMIFS(VENDAS!$K$5:$K$1004,VENDAS!$A$5:$A$1004,H80))</f>
        <v/>
      </c>
      <c r="S80" s="20" t="n"/>
      <c r="T80" s="31" t="n"/>
    </row>
    <row r="81">
      <c r="H81" s="20" t="n"/>
      <c r="I81" s="30">
        <f>IF(H81="","",IFERROR(INDEX(VENDAS!$B$5:$B$1004,MATCH(H81,VENDAS!$A$5:$A$1004,0)),"não lançado"))</f>
        <v/>
      </c>
      <c r="J81" s="22">
        <f>IF(H81="","",IFERROR(INDEX(VENDAS!$M$5:$M$1004,MATCH(H81,VENDAS!$A$5:$A$1004,0))&amp;"",""))</f>
        <v/>
      </c>
      <c r="K81" s="22">
        <f>IF(H81="","",IFERROR(INDEX(VENDAS!$J$5:$J$1004,MATCH(H81,VENDAS!$A$5:$A$1004,0))&amp;"",""))</f>
        <v/>
      </c>
      <c r="L81" s="26">
        <f>IF(H81="","",SUMIFS(VENDAS!$F$5:$F$1004,VENDAS!$A$5:$A$1004,H81))</f>
        <v/>
      </c>
      <c r="M81" s="26">
        <f>IF(H81="","",SUMIFS(VENDAS!$F$5:$F$1004,VENDAS!$A$5:$A$1004,H81,VENDAS!$D$5:$D$1004,M$4))</f>
        <v/>
      </c>
      <c r="N81" s="26">
        <f>IF(H81="","",SUMIFS(VENDAS!$F$5:$F$1004,VENDAS!$A$5:$A$1004,H81,VENDAS!$D$5:$D$1004,N$4))</f>
        <v/>
      </c>
      <c r="O81" s="26">
        <f>IF(H81="","",SUMIFS(VENDAS!$F$5:$F$1004,VENDAS!$A$5:$A$1004,H81,VENDAS!$D$5:$D$1004,O$4))</f>
        <v/>
      </c>
      <c r="P81" s="26">
        <f>IF(H81="","",SUMIFS(VENDAS!$F$5:$F$1004,VENDAS!$A$5:$A$1004,H81,VENDAS!$D$5:$D$1004,P$4))</f>
        <v/>
      </c>
      <c r="Q81" s="24">
        <f>IF(H81="","",SUMIFS(VENDAS!$H$5:$H$1004,VENDAS!$A$5:$A$1004,H81))</f>
        <v/>
      </c>
      <c r="R81" s="24">
        <f>IF(H81="","",SUMIFS(VENDAS!$K$5:$K$1004,VENDAS!$A$5:$A$1004,H81))</f>
        <v/>
      </c>
      <c r="S81" s="20" t="n"/>
      <c r="T81" s="31" t="n"/>
    </row>
    <row r="82">
      <c r="H82" s="20" t="n"/>
      <c r="I82" s="30">
        <f>IF(H82="","",IFERROR(INDEX(VENDAS!$B$5:$B$1004,MATCH(H82,VENDAS!$A$5:$A$1004,0)),"não lançado"))</f>
        <v/>
      </c>
      <c r="J82" s="22">
        <f>IF(H82="","",IFERROR(INDEX(VENDAS!$M$5:$M$1004,MATCH(H82,VENDAS!$A$5:$A$1004,0))&amp;"",""))</f>
        <v/>
      </c>
      <c r="K82" s="22">
        <f>IF(H82="","",IFERROR(INDEX(VENDAS!$J$5:$J$1004,MATCH(H82,VENDAS!$A$5:$A$1004,0))&amp;"",""))</f>
        <v/>
      </c>
      <c r="L82" s="26">
        <f>IF(H82="","",SUMIFS(VENDAS!$F$5:$F$1004,VENDAS!$A$5:$A$1004,H82))</f>
        <v/>
      </c>
      <c r="M82" s="26">
        <f>IF(H82="","",SUMIFS(VENDAS!$F$5:$F$1004,VENDAS!$A$5:$A$1004,H82,VENDAS!$D$5:$D$1004,M$4))</f>
        <v/>
      </c>
      <c r="N82" s="26">
        <f>IF(H82="","",SUMIFS(VENDAS!$F$5:$F$1004,VENDAS!$A$5:$A$1004,H82,VENDAS!$D$5:$D$1004,N$4))</f>
        <v/>
      </c>
      <c r="O82" s="26">
        <f>IF(H82="","",SUMIFS(VENDAS!$F$5:$F$1004,VENDAS!$A$5:$A$1004,H82,VENDAS!$D$5:$D$1004,O$4))</f>
        <v/>
      </c>
      <c r="P82" s="26">
        <f>IF(H82="","",SUMIFS(VENDAS!$F$5:$F$1004,VENDAS!$A$5:$A$1004,H82,VENDAS!$D$5:$D$1004,P$4))</f>
        <v/>
      </c>
      <c r="Q82" s="24">
        <f>IF(H82="","",SUMIFS(VENDAS!$H$5:$H$1004,VENDAS!$A$5:$A$1004,H82))</f>
        <v/>
      </c>
      <c r="R82" s="24">
        <f>IF(H82="","",SUMIFS(VENDAS!$K$5:$K$1004,VENDAS!$A$5:$A$1004,H82))</f>
        <v/>
      </c>
      <c r="S82" s="20" t="n"/>
      <c r="T82" s="31" t="n"/>
    </row>
    <row r="83">
      <c r="H83" s="20" t="n"/>
      <c r="I83" s="30">
        <f>IF(H83="","",IFERROR(INDEX(VENDAS!$B$5:$B$1004,MATCH(H83,VENDAS!$A$5:$A$1004,0)),"não lançado"))</f>
        <v/>
      </c>
      <c r="J83" s="22">
        <f>IF(H83="","",IFERROR(INDEX(VENDAS!$M$5:$M$1004,MATCH(H83,VENDAS!$A$5:$A$1004,0))&amp;"",""))</f>
        <v/>
      </c>
      <c r="K83" s="22">
        <f>IF(H83="","",IFERROR(INDEX(VENDAS!$J$5:$J$1004,MATCH(H83,VENDAS!$A$5:$A$1004,0))&amp;"",""))</f>
        <v/>
      </c>
      <c r="L83" s="26">
        <f>IF(H83="","",SUMIFS(VENDAS!$F$5:$F$1004,VENDAS!$A$5:$A$1004,H83))</f>
        <v/>
      </c>
      <c r="M83" s="26">
        <f>IF(H83="","",SUMIFS(VENDAS!$F$5:$F$1004,VENDAS!$A$5:$A$1004,H83,VENDAS!$D$5:$D$1004,M$4))</f>
        <v/>
      </c>
      <c r="N83" s="26">
        <f>IF(H83="","",SUMIFS(VENDAS!$F$5:$F$1004,VENDAS!$A$5:$A$1004,H83,VENDAS!$D$5:$D$1004,N$4))</f>
        <v/>
      </c>
      <c r="O83" s="26">
        <f>IF(H83="","",SUMIFS(VENDAS!$F$5:$F$1004,VENDAS!$A$5:$A$1004,H83,VENDAS!$D$5:$D$1004,O$4))</f>
        <v/>
      </c>
      <c r="P83" s="26">
        <f>IF(H83="","",SUMIFS(VENDAS!$F$5:$F$1004,VENDAS!$A$5:$A$1004,H83,VENDAS!$D$5:$D$1004,P$4))</f>
        <v/>
      </c>
      <c r="Q83" s="24">
        <f>IF(H83="","",SUMIFS(VENDAS!$H$5:$H$1004,VENDAS!$A$5:$A$1004,H83))</f>
        <v/>
      </c>
      <c r="R83" s="24">
        <f>IF(H83="","",SUMIFS(VENDAS!$K$5:$K$1004,VENDAS!$A$5:$A$1004,H83))</f>
        <v/>
      </c>
      <c r="S83" s="20" t="n"/>
      <c r="T83" s="31" t="n"/>
    </row>
    <row r="84">
      <c r="H84" s="20" t="n"/>
      <c r="I84" s="30">
        <f>IF(H84="","",IFERROR(INDEX(VENDAS!$B$5:$B$1004,MATCH(H84,VENDAS!$A$5:$A$1004,0)),"não lançado"))</f>
        <v/>
      </c>
      <c r="J84" s="22">
        <f>IF(H84="","",IFERROR(INDEX(VENDAS!$M$5:$M$1004,MATCH(H84,VENDAS!$A$5:$A$1004,0))&amp;"",""))</f>
        <v/>
      </c>
      <c r="K84" s="22">
        <f>IF(H84="","",IFERROR(INDEX(VENDAS!$J$5:$J$1004,MATCH(H84,VENDAS!$A$5:$A$1004,0))&amp;"",""))</f>
        <v/>
      </c>
      <c r="L84" s="26">
        <f>IF(H84="","",SUMIFS(VENDAS!$F$5:$F$1004,VENDAS!$A$5:$A$1004,H84))</f>
        <v/>
      </c>
      <c r="M84" s="26">
        <f>IF(H84="","",SUMIFS(VENDAS!$F$5:$F$1004,VENDAS!$A$5:$A$1004,H84,VENDAS!$D$5:$D$1004,M$4))</f>
        <v/>
      </c>
      <c r="N84" s="26">
        <f>IF(H84="","",SUMIFS(VENDAS!$F$5:$F$1004,VENDAS!$A$5:$A$1004,H84,VENDAS!$D$5:$D$1004,N$4))</f>
        <v/>
      </c>
      <c r="O84" s="26">
        <f>IF(H84="","",SUMIFS(VENDAS!$F$5:$F$1004,VENDAS!$A$5:$A$1004,H84,VENDAS!$D$5:$D$1004,O$4))</f>
        <v/>
      </c>
      <c r="P84" s="26">
        <f>IF(H84="","",SUMIFS(VENDAS!$F$5:$F$1004,VENDAS!$A$5:$A$1004,H84,VENDAS!$D$5:$D$1004,P$4))</f>
        <v/>
      </c>
      <c r="Q84" s="24">
        <f>IF(H84="","",SUMIFS(VENDAS!$H$5:$H$1004,VENDAS!$A$5:$A$1004,H84))</f>
        <v/>
      </c>
      <c r="R84" s="24">
        <f>IF(H84="","",SUMIFS(VENDAS!$K$5:$K$1004,VENDAS!$A$5:$A$1004,H84))</f>
        <v/>
      </c>
      <c r="S84" s="20" t="n"/>
      <c r="T84" s="31" t="n"/>
    </row>
    <row r="85">
      <c r="H85" s="20" t="n"/>
      <c r="I85" s="30">
        <f>IF(H85="","",IFERROR(INDEX(VENDAS!$B$5:$B$1004,MATCH(H85,VENDAS!$A$5:$A$1004,0)),"não lançado"))</f>
        <v/>
      </c>
      <c r="J85" s="22">
        <f>IF(H85="","",IFERROR(INDEX(VENDAS!$M$5:$M$1004,MATCH(H85,VENDAS!$A$5:$A$1004,0))&amp;"",""))</f>
        <v/>
      </c>
      <c r="K85" s="22">
        <f>IF(H85="","",IFERROR(INDEX(VENDAS!$J$5:$J$1004,MATCH(H85,VENDAS!$A$5:$A$1004,0))&amp;"",""))</f>
        <v/>
      </c>
      <c r="L85" s="26">
        <f>IF(H85="","",SUMIFS(VENDAS!$F$5:$F$1004,VENDAS!$A$5:$A$1004,H85))</f>
        <v/>
      </c>
      <c r="M85" s="26">
        <f>IF(H85="","",SUMIFS(VENDAS!$F$5:$F$1004,VENDAS!$A$5:$A$1004,H85,VENDAS!$D$5:$D$1004,M$4))</f>
        <v/>
      </c>
      <c r="N85" s="26">
        <f>IF(H85="","",SUMIFS(VENDAS!$F$5:$F$1004,VENDAS!$A$5:$A$1004,H85,VENDAS!$D$5:$D$1004,N$4))</f>
        <v/>
      </c>
      <c r="O85" s="26">
        <f>IF(H85="","",SUMIFS(VENDAS!$F$5:$F$1004,VENDAS!$A$5:$A$1004,H85,VENDAS!$D$5:$D$1004,O$4))</f>
        <v/>
      </c>
      <c r="P85" s="26">
        <f>IF(H85="","",SUMIFS(VENDAS!$F$5:$F$1004,VENDAS!$A$5:$A$1004,H85,VENDAS!$D$5:$D$1004,P$4))</f>
        <v/>
      </c>
      <c r="Q85" s="24">
        <f>IF(H85="","",SUMIFS(VENDAS!$H$5:$H$1004,VENDAS!$A$5:$A$1004,H85))</f>
        <v/>
      </c>
      <c r="R85" s="24">
        <f>IF(H85="","",SUMIFS(VENDAS!$K$5:$K$1004,VENDAS!$A$5:$A$1004,H85))</f>
        <v/>
      </c>
      <c r="S85" s="20" t="n"/>
      <c r="T85" s="31" t="n"/>
    </row>
    <row r="86">
      <c r="H86" s="20" t="n"/>
      <c r="I86" s="30">
        <f>IF(H86="","",IFERROR(INDEX(VENDAS!$B$5:$B$1004,MATCH(H86,VENDAS!$A$5:$A$1004,0)),"não lançado"))</f>
        <v/>
      </c>
      <c r="J86" s="22">
        <f>IF(H86="","",IFERROR(INDEX(VENDAS!$M$5:$M$1004,MATCH(H86,VENDAS!$A$5:$A$1004,0))&amp;"",""))</f>
        <v/>
      </c>
      <c r="K86" s="22">
        <f>IF(H86="","",IFERROR(INDEX(VENDAS!$J$5:$J$1004,MATCH(H86,VENDAS!$A$5:$A$1004,0))&amp;"",""))</f>
        <v/>
      </c>
      <c r="L86" s="26">
        <f>IF(H86="","",SUMIFS(VENDAS!$F$5:$F$1004,VENDAS!$A$5:$A$1004,H86))</f>
        <v/>
      </c>
      <c r="M86" s="26">
        <f>IF(H86="","",SUMIFS(VENDAS!$F$5:$F$1004,VENDAS!$A$5:$A$1004,H86,VENDAS!$D$5:$D$1004,M$4))</f>
        <v/>
      </c>
      <c r="N86" s="26">
        <f>IF(H86="","",SUMIFS(VENDAS!$F$5:$F$1004,VENDAS!$A$5:$A$1004,H86,VENDAS!$D$5:$D$1004,N$4))</f>
        <v/>
      </c>
      <c r="O86" s="26">
        <f>IF(H86="","",SUMIFS(VENDAS!$F$5:$F$1004,VENDAS!$A$5:$A$1004,H86,VENDAS!$D$5:$D$1004,O$4))</f>
        <v/>
      </c>
      <c r="P86" s="26">
        <f>IF(H86="","",SUMIFS(VENDAS!$F$5:$F$1004,VENDAS!$A$5:$A$1004,H86,VENDAS!$D$5:$D$1004,P$4))</f>
        <v/>
      </c>
      <c r="Q86" s="24">
        <f>IF(H86="","",SUMIFS(VENDAS!$H$5:$H$1004,VENDAS!$A$5:$A$1004,H86))</f>
        <v/>
      </c>
      <c r="R86" s="24">
        <f>IF(H86="","",SUMIFS(VENDAS!$K$5:$K$1004,VENDAS!$A$5:$A$1004,H86))</f>
        <v/>
      </c>
      <c r="S86" s="20" t="n"/>
      <c r="T86" s="31" t="n"/>
    </row>
    <row r="87">
      <c r="H87" s="20" t="n"/>
      <c r="I87" s="30">
        <f>IF(H87="","",IFERROR(INDEX(VENDAS!$B$5:$B$1004,MATCH(H87,VENDAS!$A$5:$A$1004,0)),"não lançado"))</f>
        <v/>
      </c>
      <c r="J87" s="22">
        <f>IF(H87="","",IFERROR(INDEX(VENDAS!$M$5:$M$1004,MATCH(H87,VENDAS!$A$5:$A$1004,0))&amp;"",""))</f>
        <v/>
      </c>
      <c r="K87" s="22">
        <f>IF(H87="","",IFERROR(INDEX(VENDAS!$J$5:$J$1004,MATCH(H87,VENDAS!$A$5:$A$1004,0))&amp;"",""))</f>
        <v/>
      </c>
      <c r="L87" s="26">
        <f>IF(H87="","",SUMIFS(VENDAS!$F$5:$F$1004,VENDAS!$A$5:$A$1004,H87))</f>
        <v/>
      </c>
      <c r="M87" s="26">
        <f>IF(H87="","",SUMIFS(VENDAS!$F$5:$F$1004,VENDAS!$A$5:$A$1004,H87,VENDAS!$D$5:$D$1004,M$4))</f>
        <v/>
      </c>
      <c r="N87" s="26">
        <f>IF(H87="","",SUMIFS(VENDAS!$F$5:$F$1004,VENDAS!$A$5:$A$1004,H87,VENDAS!$D$5:$D$1004,N$4))</f>
        <v/>
      </c>
      <c r="O87" s="26">
        <f>IF(H87="","",SUMIFS(VENDAS!$F$5:$F$1004,VENDAS!$A$5:$A$1004,H87,VENDAS!$D$5:$D$1004,O$4))</f>
        <v/>
      </c>
      <c r="P87" s="26">
        <f>IF(H87="","",SUMIFS(VENDAS!$F$5:$F$1004,VENDAS!$A$5:$A$1004,H87,VENDAS!$D$5:$D$1004,P$4))</f>
        <v/>
      </c>
      <c r="Q87" s="24">
        <f>IF(H87="","",SUMIFS(VENDAS!$H$5:$H$1004,VENDAS!$A$5:$A$1004,H87))</f>
        <v/>
      </c>
      <c r="R87" s="24">
        <f>IF(H87="","",SUMIFS(VENDAS!$K$5:$K$1004,VENDAS!$A$5:$A$1004,H87))</f>
        <v/>
      </c>
      <c r="S87" s="20" t="n"/>
      <c r="T87" s="31" t="n"/>
    </row>
    <row r="88">
      <c r="H88" s="20" t="n"/>
      <c r="I88" s="30">
        <f>IF(H88="","",IFERROR(INDEX(VENDAS!$B$5:$B$1004,MATCH(H88,VENDAS!$A$5:$A$1004,0)),"não lançado"))</f>
        <v/>
      </c>
      <c r="J88" s="22">
        <f>IF(H88="","",IFERROR(INDEX(VENDAS!$M$5:$M$1004,MATCH(H88,VENDAS!$A$5:$A$1004,0))&amp;"",""))</f>
        <v/>
      </c>
      <c r="K88" s="22">
        <f>IF(H88="","",IFERROR(INDEX(VENDAS!$J$5:$J$1004,MATCH(H88,VENDAS!$A$5:$A$1004,0))&amp;"",""))</f>
        <v/>
      </c>
      <c r="L88" s="26">
        <f>IF(H88="","",SUMIFS(VENDAS!$F$5:$F$1004,VENDAS!$A$5:$A$1004,H88))</f>
        <v/>
      </c>
      <c r="M88" s="26">
        <f>IF(H88="","",SUMIFS(VENDAS!$F$5:$F$1004,VENDAS!$A$5:$A$1004,H88,VENDAS!$D$5:$D$1004,M$4))</f>
        <v/>
      </c>
      <c r="N88" s="26">
        <f>IF(H88="","",SUMIFS(VENDAS!$F$5:$F$1004,VENDAS!$A$5:$A$1004,H88,VENDAS!$D$5:$D$1004,N$4))</f>
        <v/>
      </c>
      <c r="O88" s="26">
        <f>IF(H88="","",SUMIFS(VENDAS!$F$5:$F$1004,VENDAS!$A$5:$A$1004,H88,VENDAS!$D$5:$D$1004,O$4))</f>
        <v/>
      </c>
      <c r="P88" s="26">
        <f>IF(H88="","",SUMIFS(VENDAS!$F$5:$F$1004,VENDAS!$A$5:$A$1004,H88,VENDAS!$D$5:$D$1004,P$4))</f>
        <v/>
      </c>
      <c r="Q88" s="24">
        <f>IF(H88="","",SUMIFS(VENDAS!$H$5:$H$1004,VENDAS!$A$5:$A$1004,H88))</f>
        <v/>
      </c>
      <c r="R88" s="24">
        <f>IF(H88="","",SUMIFS(VENDAS!$K$5:$K$1004,VENDAS!$A$5:$A$1004,H88))</f>
        <v/>
      </c>
      <c r="S88" s="20" t="n"/>
      <c r="T88" s="31" t="n"/>
    </row>
    <row r="89">
      <c r="H89" s="20" t="n"/>
      <c r="I89" s="30">
        <f>IF(H89="","",IFERROR(INDEX(VENDAS!$B$5:$B$1004,MATCH(H89,VENDAS!$A$5:$A$1004,0)),"não lançado"))</f>
        <v/>
      </c>
      <c r="J89" s="22">
        <f>IF(H89="","",IFERROR(INDEX(VENDAS!$M$5:$M$1004,MATCH(H89,VENDAS!$A$5:$A$1004,0))&amp;"",""))</f>
        <v/>
      </c>
      <c r="K89" s="22">
        <f>IF(H89="","",IFERROR(INDEX(VENDAS!$J$5:$J$1004,MATCH(H89,VENDAS!$A$5:$A$1004,0))&amp;"",""))</f>
        <v/>
      </c>
      <c r="L89" s="26">
        <f>IF(H89="","",SUMIFS(VENDAS!$F$5:$F$1004,VENDAS!$A$5:$A$1004,H89))</f>
        <v/>
      </c>
      <c r="M89" s="26">
        <f>IF(H89="","",SUMIFS(VENDAS!$F$5:$F$1004,VENDAS!$A$5:$A$1004,H89,VENDAS!$D$5:$D$1004,M$4))</f>
        <v/>
      </c>
      <c r="N89" s="26">
        <f>IF(H89="","",SUMIFS(VENDAS!$F$5:$F$1004,VENDAS!$A$5:$A$1004,H89,VENDAS!$D$5:$D$1004,N$4))</f>
        <v/>
      </c>
      <c r="O89" s="26">
        <f>IF(H89="","",SUMIFS(VENDAS!$F$5:$F$1004,VENDAS!$A$5:$A$1004,H89,VENDAS!$D$5:$D$1004,O$4))</f>
        <v/>
      </c>
      <c r="P89" s="26">
        <f>IF(H89="","",SUMIFS(VENDAS!$F$5:$F$1004,VENDAS!$A$5:$A$1004,H89,VENDAS!$D$5:$D$1004,P$4))</f>
        <v/>
      </c>
      <c r="Q89" s="24">
        <f>IF(H89="","",SUMIFS(VENDAS!$H$5:$H$1004,VENDAS!$A$5:$A$1004,H89))</f>
        <v/>
      </c>
      <c r="R89" s="24">
        <f>IF(H89="","",SUMIFS(VENDAS!$K$5:$K$1004,VENDAS!$A$5:$A$1004,H89))</f>
        <v/>
      </c>
      <c r="S89" s="20" t="n"/>
      <c r="T89" s="31" t="n"/>
    </row>
    <row r="90">
      <c r="H90" s="20" t="n"/>
      <c r="I90" s="30">
        <f>IF(H90="","",IFERROR(INDEX(VENDAS!$B$5:$B$1004,MATCH(H90,VENDAS!$A$5:$A$1004,0)),"não lançado"))</f>
        <v/>
      </c>
      <c r="J90" s="22">
        <f>IF(H90="","",IFERROR(INDEX(VENDAS!$M$5:$M$1004,MATCH(H90,VENDAS!$A$5:$A$1004,0))&amp;"",""))</f>
        <v/>
      </c>
      <c r="K90" s="22">
        <f>IF(H90="","",IFERROR(INDEX(VENDAS!$J$5:$J$1004,MATCH(H90,VENDAS!$A$5:$A$1004,0))&amp;"",""))</f>
        <v/>
      </c>
      <c r="L90" s="26">
        <f>IF(H90="","",SUMIFS(VENDAS!$F$5:$F$1004,VENDAS!$A$5:$A$1004,H90))</f>
        <v/>
      </c>
      <c r="M90" s="26">
        <f>IF(H90="","",SUMIFS(VENDAS!$F$5:$F$1004,VENDAS!$A$5:$A$1004,H90,VENDAS!$D$5:$D$1004,M$4))</f>
        <v/>
      </c>
      <c r="N90" s="26">
        <f>IF(H90="","",SUMIFS(VENDAS!$F$5:$F$1004,VENDAS!$A$5:$A$1004,H90,VENDAS!$D$5:$D$1004,N$4))</f>
        <v/>
      </c>
      <c r="O90" s="26">
        <f>IF(H90="","",SUMIFS(VENDAS!$F$5:$F$1004,VENDAS!$A$5:$A$1004,H90,VENDAS!$D$5:$D$1004,O$4))</f>
        <v/>
      </c>
      <c r="P90" s="26">
        <f>IF(H90="","",SUMIFS(VENDAS!$F$5:$F$1004,VENDAS!$A$5:$A$1004,H90,VENDAS!$D$5:$D$1004,P$4))</f>
        <v/>
      </c>
      <c r="Q90" s="24">
        <f>IF(H90="","",SUMIFS(VENDAS!$H$5:$H$1004,VENDAS!$A$5:$A$1004,H90))</f>
        <v/>
      </c>
      <c r="R90" s="24">
        <f>IF(H90="","",SUMIFS(VENDAS!$K$5:$K$1004,VENDAS!$A$5:$A$1004,H90))</f>
        <v/>
      </c>
      <c r="S90" s="20" t="n"/>
      <c r="T90" s="31" t="n"/>
    </row>
    <row r="91">
      <c r="H91" s="20" t="n"/>
      <c r="I91" s="30">
        <f>IF(H91="","",IFERROR(INDEX(VENDAS!$B$5:$B$1004,MATCH(H91,VENDAS!$A$5:$A$1004,0)),"não lançado"))</f>
        <v/>
      </c>
      <c r="J91" s="22">
        <f>IF(H91="","",IFERROR(INDEX(VENDAS!$M$5:$M$1004,MATCH(H91,VENDAS!$A$5:$A$1004,0))&amp;"",""))</f>
        <v/>
      </c>
      <c r="K91" s="22">
        <f>IF(H91="","",IFERROR(INDEX(VENDAS!$J$5:$J$1004,MATCH(H91,VENDAS!$A$5:$A$1004,0))&amp;"",""))</f>
        <v/>
      </c>
      <c r="L91" s="26">
        <f>IF(H91="","",SUMIFS(VENDAS!$F$5:$F$1004,VENDAS!$A$5:$A$1004,H91))</f>
        <v/>
      </c>
      <c r="M91" s="26">
        <f>IF(H91="","",SUMIFS(VENDAS!$F$5:$F$1004,VENDAS!$A$5:$A$1004,H91,VENDAS!$D$5:$D$1004,M$4))</f>
        <v/>
      </c>
      <c r="N91" s="26">
        <f>IF(H91="","",SUMIFS(VENDAS!$F$5:$F$1004,VENDAS!$A$5:$A$1004,H91,VENDAS!$D$5:$D$1004,N$4))</f>
        <v/>
      </c>
      <c r="O91" s="26">
        <f>IF(H91="","",SUMIFS(VENDAS!$F$5:$F$1004,VENDAS!$A$5:$A$1004,H91,VENDAS!$D$5:$D$1004,O$4))</f>
        <v/>
      </c>
      <c r="P91" s="26">
        <f>IF(H91="","",SUMIFS(VENDAS!$F$5:$F$1004,VENDAS!$A$5:$A$1004,H91,VENDAS!$D$5:$D$1004,P$4))</f>
        <v/>
      </c>
      <c r="Q91" s="24">
        <f>IF(H91="","",SUMIFS(VENDAS!$H$5:$H$1004,VENDAS!$A$5:$A$1004,H91))</f>
        <v/>
      </c>
      <c r="R91" s="24">
        <f>IF(H91="","",SUMIFS(VENDAS!$K$5:$K$1004,VENDAS!$A$5:$A$1004,H91))</f>
        <v/>
      </c>
      <c r="S91" s="20" t="n"/>
      <c r="T91" s="31" t="n"/>
    </row>
    <row r="92">
      <c r="H92" s="20" t="n"/>
      <c r="I92" s="30">
        <f>IF(H92="","",IFERROR(INDEX(VENDAS!$B$5:$B$1004,MATCH(H92,VENDAS!$A$5:$A$1004,0)),"não lançado"))</f>
        <v/>
      </c>
      <c r="J92" s="22">
        <f>IF(H92="","",IFERROR(INDEX(VENDAS!$M$5:$M$1004,MATCH(H92,VENDAS!$A$5:$A$1004,0))&amp;"",""))</f>
        <v/>
      </c>
      <c r="K92" s="22">
        <f>IF(H92="","",IFERROR(INDEX(VENDAS!$J$5:$J$1004,MATCH(H92,VENDAS!$A$5:$A$1004,0))&amp;"",""))</f>
        <v/>
      </c>
      <c r="L92" s="26">
        <f>IF(H92="","",SUMIFS(VENDAS!$F$5:$F$1004,VENDAS!$A$5:$A$1004,H92))</f>
        <v/>
      </c>
      <c r="M92" s="26">
        <f>IF(H92="","",SUMIFS(VENDAS!$F$5:$F$1004,VENDAS!$A$5:$A$1004,H92,VENDAS!$D$5:$D$1004,M$4))</f>
        <v/>
      </c>
      <c r="N92" s="26">
        <f>IF(H92="","",SUMIFS(VENDAS!$F$5:$F$1004,VENDAS!$A$5:$A$1004,H92,VENDAS!$D$5:$D$1004,N$4))</f>
        <v/>
      </c>
      <c r="O92" s="26">
        <f>IF(H92="","",SUMIFS(VENDAS!$F$5:$F$1004,VENDAS!$A$5:$A$1004,H92,VENDAS!$D$5:$D$1004,O$4))</f>
        <v/>
      </c>
      <c r="P92" s="26">
        <f>IF(H92="","",SUMIFS(VENDAS!$F$5:$F$1004,VENDAS!$A$5:$A$1004,H92,VENDAS!$D$5:$D$1004,P$4))</f>
        <v/>
      </c>
      <c r="Q92" s="24">
        <f>IF(H92="","",SUMIFS(VENDAS!$H$5:$H$1004,VENDAS!$A$5:$A$1004,H92))</f>
        <v/>
      </c>
      <c r="R92" s="24">
        <f>IF(H92="","",SUMIFS(VENDAS!$K$5:$K$1004,VENDAS!$A$5:$A$1004,H92))</f>
        <v/>
      </c>
      <c r="S92" s="20" t="n"/>
      <c r="T92" s="31" t="n"/>
    </row>
    <row r="93">
      <c r="H93" s="20" t="n"/>
      <c r="I93" s="30">
        <f>IF(H93="","",IFERROR(INDEX(VENDAS!$B$5:$B$1004,MATCH(H93,VENDAS!$A$5:$A$1004,0)),"não lançado"))</f>
        <v/>
      </c>
      <c r="J93" s="22">
        <f>IF(H93="","",IFERROR(INDEX(VENDAS!$M$5:$M$1004,MATCH(H93,VENDAS!$A$5:$A$1004,0))&amp;"",""))</f>
        <v/>
      </c>
      <c r="K93" s="22">
        <f>IF(H93="","",IFERROR(INDEX(VENDAS!$J$5:$J$1004,MATCH(H93,VENDAS!$A$5:$A$1004,0))&amp;"",""))</f>
        <v/>
      </c>
      <c r="L93" s="26">
        <f>IF(H93="","",SUMIFS(VENDAS!$F$5:$F$1004,VENDAS!$A$5:$A$1004,H93))</f>
        <v/>
      </c>
      <c r="M93" s="26">
        <f>IF(H93="","",SUMIFS(VENDAS!$F$5:$F$1004,VENDAS!$A$5:$A$1004,H93,VENDAS!$D$5:$D$1004,M$4))</f>
        <v/>
      </c>
      <c r="N93" s="26">
        <f>IF(H93="","",SUMIFS(VENDAS!$F$5:$F$1004,VENDAS!$A$5:$A$1004,H93,VENDAS!$D$5:$D$1004,N$4))</f>
        <v/>
      </c>
      <c r="O93" s="26">
        <f>IF(H93="","",SUMIFS(VENDAS!$F$5:$F$1004,VENDAS!$A$5:$A$1004,H93,VENDAS!$D$5:$D$1004,O$4))</f>
        <v/>
      </c>
      <c r="P93" s="26">
        <f>IF(H93="","",SUMIFS(VENDAS!$F$5:$F$1004,VENDAS!$A$5:$A$1004,H93,VENDAS!$D$5:$D$1004,P$4))</f>
        <v/>
      </c>
      <c r="Q93" s="24">
        <f>IF(H93="","",SUMIFS(VENDAS!$H$5:$H$1004,VENDAS!$A$5:$A$1004,H93))</f>
        <v/>
      </c>
      <c r="R93" s="24">
        <f>IF(H93="","",SUMIFS(VENDAS!$K$5:$K$1004,VENDAS!$A$5:$A$1004,H93))</f>
        <v/>
      </c>
      <c r="S93" s="20" t="n"/>
      <c r="T93" s="31" t="n"/>
    </row>
    <row r="94">
      <c r="H94" s="20" t="n"/>
      <c r="I94" s="30">
        <f>IF(H94="","",IFERROR(INDEX(VENDAS!$B$5:$B$1004,MATCH(H94,VENDAS!$A$5:$A$1004,0)),"não lançado"))</f>
        <v/>
      </c>
      <c r="J94" s="22">
        <f>IF(H94="","",IFERROR(INDEX(VENDAS!$M$5:$M$1004,MATCH(H94,VENDAS!$A$5:$A$1004,0))&amp;"",""))</f>
        <v/>
      </c>
      <c r="K94" s="22">
        <f>IF(H94="","",IFERROR(INDEX(VENDAS!$J$5:$J$1004,MATCH(H94,VENDAS!$A$5:$A$1004,0))&amp;"",""))</f>
        <v/>
      </c>
      <c r="L94" s="26">
        <f>IF(H94="","",SUMIFS(VENDAS!$F$5:$F$1004,VENDAS!$A$5:$A$1004,H94))</f>
        <v/>
      </c>
      <c r="M94" s="26">
        <f>IF(H94="","",SUMIFS(VENDAS!$F$5:$F$1004,VENDAS!$A$5:$A$1004,H94,VENDAS!$D$5:$D$1004,M$4))</f>
        <v/>
      </c>
      <c r="N94" s="26">
        <f>IF(H94="","",SUMIFS(VENDAS!$F$5:$F$1004,VENDAS!$A$5:$A$1004,H94,VENDAS!$D$5:$D$1004,N$4))</f>
        <v/>
      </c>
      <c r="O94" s="26">
        <f>IF(H94="","",SUMIFS(VENDAS!$F$5:$F$1004,VENDAS!$A$5:$A$1004,H94,VENDAS!$D$5:$D$1004,O$4))</f>
        <v/>
      </c>
      <c r="P94" s="26">
        <f>IF(H94="","",SUMIFS(VENDAS!$F$5:$F$1004,VENDAS!$A$5:$A$1004,H94,VENDAS!$D$5:$D$1004,P$4))</f>
        <v/>
      </c>
      <c r="Q94" s="24">
        <f>IF(H94="","",SUMIFS(VENDAS!$H$5:$H$1004,VENDAS!$A$5:$A$1004,H94))</f>
        <v/>
      </c>
      <c r="R94" s="24">
        <f>IF(H94="","",SUMIFS(VENDAS!$K$5:$K$1004,VENDAS!$A$5:$A$1004,H94))</f>
        <v/>
      </c>
      <c r="S94" s="20" t="n"/>
      <c r="T94" s="31" t="n"/>
    </row>
    <row r="95">
      <c r="H95" s="20" t="n"/>
      <c r="I95" s="30">
        <f>IF(H95="","",IFERROR(INDEX(VENDAS!$B$5:$B$1004,MATCH(H95,VENDAS!$A$5:$A$1004,0)),"não lançado"))</f>
        <v/>
      </c>
      <c r="J95" s="22">
        <f>IF(H95="","",IFERROR(INDEX(VENDAS!$M$5:$M$1004,MATCH(H95,VENDAS!$A$5:$A$1004,0))&amp;"",""))</f>
        <v/>
      </c>
      <c r="K95" s="22">
        <f>IF(H95="","",IFERROR(INDEX(VENDAS!$J$5:$J$1004,MATCH(H95,VENDAS!$A$5:$A$1004,0))&amp;"",""))</f>
        <v/>
      </c>
      <c r="L95" s="26">
        <f>IF(H95="","",SUMIFS(VENDAS!$F$5:$F$1004,VENDAS!$A$5:$A$1004,H95))</f>
        <v/>
      </c>
      <c r="M95" s="26">
        <f>IF(H95="","",SUMIFS(VENDAS!$F$5:$F$1004,VENDAS!$A$5:$A$1004,H95,VENDAS!$D$5:$D$1004,M$4))</f>
        <v/>
      </c>
      <c r="N95" s="26">
        <f>IF(H95="","",SUMIFS(VENDAS!$F$5:$F$1004,VENDAS!$A$5:$A$1004,H95,VENDAS!$D$5:$D$1004,N$4))</f>
        <v/>
      </c>
      <c r="O95" s="26">
        <f>IF(H95="","",SUMIFS(VENDAS!$F$5:$F$1004,VENDAS!$A$5:$A$1004,H95,VENDAS!$D$5:$D$1004,O$4))</f>
        <v/>
      </c>
      <c r="P95" s="26">
        <f>IF(H95="","",SUMIFS(VENDAS!$F$5:$F$1004,VENDAS!$A$5:$A$1004,H95,VENDAS!$D$5:$D$1004,P$4))</f>
        <v/>
      </c>
      <c r="Q95" s="24">
        <f>IF(H95="","",SUMIFS(VENDAS!$H$5:$H$1004,VENDAS!$A$5:$A$1004,H95))</f>
        <v/>
      </c>
      <c r="R95" s="24">
        <f>IF(H95="","",SUMIFS(VENDAS!$K$5:$K$1004,VENDAS!$A$5:$A$1004,H95))</f>
        <v/>
      </c>
      <c r="S95" s="20" t="n"/>
      <c r="T95" s="31" t="n"/>
    </row>
    <row r="96">
      <c r="H96" s="20" t="n"/>
      <c r="I96" s="30">
        <f>IF(H96="","",IFERROR(INDEX(VENDAS!$B$5:$B$1004,MATCH(H96,VENDAS!$A$5:$A$1004,0)),"não lançado"))</f>
        <v/>
      </c>
      <c r="J96" s="22">
        <f>IF(H96="","",IFERROR(INDEX(VENDAS!$M$5:$M$1004,MATCH(H96,VENDAS!$A$5:$A$1004,0))&amp;"",""))</f>
        <v/>
      </c>
      <c r="K96" s="22">
        <f>IF(H96="","",IFERROR(INDEX(VENDAS!$J$5:$J$1004,MATCH(H96,VENDAS!$A$5:$A$1004,0))&amp;"",""))</f>
        <v/>
      </c>
      <c r="L96" s="26">
        <f>IF(H96="","",SUMIFS(VENDAS!$F$5:$F$1004,VENDAS!$A$5:$A$1004,H96))</f>
        <v/>
      </c>
      <c r="M96" s="26">
        <f>IF(H96="","",SUMIFS(VENDAS!$F$5:$F$1004,VENDAS!$A$5:$A$1004,H96,VENDAS!$D$5:$D$1004,M$4))</f>
        <v/>
      </c>
      <c r="N96" s="26">
        <f>IF(H96="","",SUMIFS(VENDAS!$F$5:$F$1004,VENDAS!$A$5:$A$1004,H96,VENDAS!$D$5:$D$1004,N$4))</f>
        <v/>
      </c>
      <c r="O96" s="26">
        <f>IF(H96="","",SUMIFS(VENDAS!$F$5:$F$1004,VENDAS!$A$5:$A$1004,H96,VENDAS!$D$5:$D$1004,O$4))</f>
        <v/>
      </c>
      <c r="P96" s="26">
        <f>IF(H96="","",SUMIFS(VENDAS!$F$5:$F$1004,VENDAS!$A$5:$A$1004,H96,VENDAS!$D$5:$D$1004,P$4))</f>
        <v/>
      </c>
      <c r="Q96" s="24">
        <f>IF(H96="","",SUMIFS(VENDAS!$H$5:$H$1004,VENDAS!$A$5:$A$1004,H96))</f>
        <v/>
      </c>
      <c r="R96" s="24">
        <f>IF(H96="","",SUMIFS(VENDAS!$K$5:$K$1004,VENDAS!$A$5:$A$1004,H96))</f>
        <v/>
      </c>
      <c r="S96" s="20" t="n"/>
      <c r="T96" s="31" t="n"/>
    </row>
    <row r="97">
      <c r="H97" s="20" t="n"/>
      <c r="I97" s="30">
        <f>IF(H97="","",IFERROR(INDEX(VENDAS!$B$5:$B$1004,MATCH(H97,VENDAS!$A$5:$A$1004,0)),"não lançado"))</f>
        <v/>
      </c>
      <c r="J97" s="22">
        <f>IF(H97="","",IFERROR(INDEX(VENDAS!$M$5:$M$1004,MATCH(H97,VENDAS!$A$5:$A$1004,0))&amp;"",""))</f>
        <v/>
      </c>
      <c r="K97" s="22">
        <f>IF(H97="","",IFERROR(INDEX(VENDAS!$J$5:$J$1004,MATCH(H97,VENDAS!$A$5:$A$1004,0))&amp;"",""))</f>
        <v/>
      </c>
      <c r="L97" s="26">
        <f>IF(H97="","",SUMIFS(VENDAS!$F$5:$F$1004,VENDAS!$A$5:$A$1004,H97))</f>
        <v/>
      </c>
      <c r="M97" s="26">
        <f>IF(H97="","",SUMIFS(VENDAS!$F$5:$F$1004,VENDAS!$A$5:$A$1004,H97,VENDAS!$D$5:$D$1004,M$4))</f>
        <v/>
      </c>
      <c r="N97" s="26">
        <f>IF(H97="","",SUMIFS(VENDAS!$F$5:$F$1004,VENDAS!$A$5:$A$1004,H97,VENDAS!$D$5:$D$1004,N$4))</f>
        <v/>
      </c>
      <c r="O97" s="26">
        <f>IF(H97="","",SUMIFS(VENDAS!$F$5:$F$1004,VENDAS!$A$5:$A$1004,H97,VENDAS!$D$5:$D$1004,O$4))</f>
        <v/>
      </c>
      <c r="P97" s="26">
        <f>IF(H97="","",SUMIFS(VENDAS!$F$5:$F$1004,VENDAS!$A$5:$A$1004,H97,VENDAS!$D$5:$D$1004,P$4))</f>
        <v/>
      </c>
      <c r="Q97" s="24">
        <f>IF(H97="","",SUMIFS(VENDAS!$H$5:$H$1004,VENDAS!$A$5:$A$1004,H97))</f>
        <v/>
      </c>
      <c r="R97" s="24">
        <f>IF(H97="","",SUMIFS(VENDAS!$K$5:$K$1004,VENDAS!$A$5:$A$1004,H97))</f>
        <v/>
      </c>
      <c r="S97" s="20" t="n"/>
      <c r="T97" s="31" t="n"/>
    </row>
    <row r="98">
      <c r="H98" s="20" t="n"/>
      <c r="I98" s="30">
        <f>IF(H98="","",IFERROR(INDEX(VENDAS!$B$5:$B$1004,MATCH(H98,VENDAS!$A$5:$A$1004,0)),"não lançado"))</f>
        <v/>
      </c>
      <c r="J98" s="22">
        <f>IF(H98="","",IFERROR(INDEX(VENDAS!$M$5:$M$1004,MATCH(H98,VENDAS!$A$5:$A$1004,0))&amp;"",""))</f>
        <v/>
      </c>
      <c r="K98" s="22">
        <f>IF(H98="","",IFERROR(INDEX(VENDAS!$J$5:$J$1004,MATCH(H98,VENDAS!$A$5:$A$1004,0))&amp;"",""))</f>
        <v/>
      </c>
      <c r="L98" s="26">
        <f>IF(H98="","",SUMIFS(VENDAS!$F$5:$F$1004,VENDAS!$A$5:$A$1004,H98))</f>
        <v/>
      </c>
      <c r="M98" s="26">
        <f>IF(H98="","",SUMIFS(VENDAS!$F$5:$F$1004,VENDAS!$A$5:$A$1004,H98,VENDAS!$D$5:$D$1004,M$4))</f>
        <v/>
      </c>
      <c r="N98" s="26">
        <f>IF(H98="","",SUMIFS(VENDAS!$F$5:$F$1004,VENDAS!$A$5:$A$1004,H98,VENDAS!$D$5:$D$1004,N$4))</f>
        <v/>
      </c>
      <c r="O98" s="26">
        <f>IF(H98="","",SUMIFS(VENDAS!$F$5:$F$1004,VENDAS!$A$5:$A$1004,H98,VENDAS!$D$5:$D$1004,O$4))</f>
        <v/>
      </c>
      <c r="P98" s="26">
        <f>IF(H98="","",SUMIFS(VENDAS!$F$5:$F$1004,VENDAS!$A$5:$A$1004,H98,VENDAS!$D$5:$D$1004,P$4))</f>
        <v/>
      </c>
      <c r="Q98" s="24">
        <f>IF(H98="","",SUMIFS(VENDAS!$H$5:$H$1004,VENDAS!$A$5:$A$1004,H98))</f>
        <v/>
      </c>
      <c r="R98" s="24">
        <f>IF(H98="","",SUMIFS(VENDAS!$K$5:$K$1004,VENDAS!$A$5:$A$1004,H98))</f>
        <v/>
      </c>
      <c r="S98" s="20" t="n"/>
      <c r="T98" s="31" t="n"/>
    </row>
    <row r="99">
      <c r="H99" s="20" t="n"/>
      <c r="I99" s="30">
        <f>IF(H99="","",IFERROR(INDEX(VENDAS!$B$5:$B$1004,MATCH(H99,VENDAS!$A$5:$A$1004,0)),"não lançado"))</f>
        <v/>
      </c>
      <c r="J99" s="22">
        <f>IF(H99="","",IFERROR(INDEX(VENDAS!$M$5:$M$1004,MATCH(H99,VENDAS!$A$5:$A$1004,0))&amp;"",""))</f>
        <v/>
      </c>
      <c r="K99" s="22">
        <f>IF(H99="","",IFERROR(INDEX(VENDAS!$J$5:$J$1004,MATCH(H99,VENDAS!$A$5:$A$1004,0))&amp;"",""))</f>
        <v/>
      </c>
      <c r="L99" s="26">
        <f>IF(H99="","",SUMIFS(VENDAS!$F$5:$F$1004,VENDAS!$A$5:$A$1004,H99))</f>
        <v/>
      </c>
      <c r="M99" s="26">
        <f>IF(H99="","",SUMIFS(VENDAS!$F$5:$F$1004,VENDAS!$A$5:$A$1004,H99,VENDAS!$D$5:$D$1004,M$4))</f>
        <v/>
      </c>
      <c r="N99" s="26">
        <f>IF(H99="","",SUMIFS(VENDAS!$F$5:$F$1004,VENDAS!$A$5:$A$1004,H99,VENDAS!$D$5:$D$1004,N$4))</f>
        <v/>
      </c>
      <c r="O99" s="26">
        <f>IF(H99="","",SUMIFS(VENDAS!$F$5:$F$1004,VENDAS!$A$5:$A$1004,H99,VENDAS!$D$5:$D$1004,O$4))</f>
        <v/>
      </c>
      <c r="P99" s="26">
        <f>IF(H99="","",SUMIFS(VENDAS!$F$5:$F$1004,VENDAS!$A$5:$A$1004,H99,VENDAS!$D$5:$D$1004,P$4))</f>
        <v/>
      </c>
      <c r="Q99" s="24">
        <f>IF(H99="","",SUMIFS(VENDAS!$H$5:$H$1004,VENDAS!$A$5:$A$1004,H99))</f>
        <v/>
      </c>
      <c r="R99" s="24">
        <f>IF(H99="","",SUMIFS(VENDAS!$K$5:$K$1004,VENDAS!$A$5:$A$1004,H99))</f>
        <v/>
      </c>
      <c r="S99" s="20" t="n"/>
      <c r="T99" s="31" t="n"/>
    </row>
    <row r="100">
      <c r="H100" s="20" t="n"/>
      <c r="I100" s="30">
        <f>IF(H100="","",IFERROR(INDEX(VENDAS!$B$5:$B$1004,MATCH(H100,VENDAS!$A$5:$A$1004,0)),"não lançado"))</f>
        <v/>
      </c>
      <c r="J100" s="22">
        <f>IF(H100="","",IFERROR(INDEX(VENDAS!$M$5:$M$1004,MATCH(H100,VENDAS!$A$5:$A$1004,0))&amp;"",""))</f>
        <v/>
      </c>
      <c r="K100" s="22">
        <f>IF(H100="","",IFERROR(INDEX(VENDAS!$J$5:$J$1004,MATCH(H100,VENDAS!$A$5:$A$1004,0))&amp;"",""))</f>
        <v/>
      </c>
      <c r="L100" s="26">
        <f>IF(H100="","",SUMIFS(VENDAS!$F$5:$F$1004,VENDAS!$A$5:$A$1004,H100))</f>
        <v/>
      </c>
      <c r="M100" s="26">
        <f>IF(H100="","",SUMIFS(VENDAS!$F$5:$F$1004,VENDAS!$A$5:$A$1004,H100,VENDAS!$D$5:$D$1004,M$4))</f>
        <v/>
      </c>
      <c r="N100" s="26">
        <f>IF(H100="","",SUMIFS(VENDAS!$F$5:$F$1004,VENDAS!$A$5:$A$1004,H100,VENDAS!$D$5:$D$1004,N$4))</f>
        <v/>
      </c>
      <c r="O100" s="26">
        <f>IF(H100="","",SUMIFS(VENDAS!$F$5:$F$1004,VENDAS!$A$5:$A$1004,H100,VENDAS!$D$5:$D$1004,O$4))</f>
        <v/>
      </c>
      <c r="P100" s="26">
        <f>IF(H100="","",SUMIFS(VENDAS!$F$5:$F$1004,VENDAS!$A$5:$A$1004,H100,VENDAS!$D$5:$D$1004,P$4))</f>
        <v/>
      </c>
      <c r="Q100" s="24">
        <f>IF(H100="","",SUMIFS(VENDAS!$H$5:$H$1004,VENDAS!$A$5:$A$1004,H100))</f>
        <v/>
      </c>
      <c r="R100" s="24">
        <f>IF(H100="","",SUMIFS(VENDAS!$K$5:$K$1004,VENDAS!$A$5:$A$1004,H100))</f>
        <v/>
      </c>
      <c r="S100" s="20" t="n"/>
      <c r="T100" s="31" t="n"/>
    </row>
    <row r="101">
      <c r="H101" s="20" t="n"/>
      <c r="I101" s="30">
        <f>IF(H101="","",IFERROR(INDEX(VENDAS!$B$5:$B$1004,MATCH(H101,VENDAS!$A$5:$A$1004,0)),"não lançado"))</f>
        <v/>
      </c>
      <c r="J101" s="22">
        <f>IF(H101="","",IFERROR(INDEX(VENDAS!$M$5:$M$1004,MATCH(H101,VENDAS!$A$5:$A$1004,0))&amp;"",""))</f>
        <v/>
      </c>
      <c r="K101" s="22">
        <f>IF(H101="","",IFERROR(INDEX(VENDAS!$J$5:$J$1004,MATCH(H101,VENDAS!$A$5:$A$1004,0))&amp;"",""))</f>
        <v/>
      </c>
      <c r="L101" s="26">
        <f>IF(H101="","",SUMIFS(VENDAS!$F$5:$F$1004,VENDAS!$A$5:$A$1004,H101))</f>
        <v/>
      </c>
      <c r="M101" s="26">
        <f>IF(H101="","",SUMIFS(VENDAS!$F$5:$F$1004,VENDAS!$A$5:$A$1004,H101,VENDAS!$D$5:$D$1004,M$4))</f>
        <v/>
      </c>
      <c r="N101" s="26">
        <f>IF(H101="","",SUMIFS(VENDAS!$F$5:$F$1004,VENDAS!$A$5:$A$1004,H101,VENDAS!$D$5:$D$1004,N$4))</f>
        <v/>
      </c>
      <c r="O101" s="26">
        <f>IF(H101="","",SUMIFS(VENDAS!$F$5:$F$1004,VENDAS!$A$5:$A$1004,H101,VENDAS!$D$5:$D$1004,O$4))</f>
        <v/>
      </c>
      <c r="P101" s="26">
        <f>IF(H101="","",SUMIFS(VENDAS!$F$5:$F$1004,VENDAS!$A$5:$A$1004,H101,VENDAS!$D$5:$D$1004,P$4))</f>
        <v/>
      </c>
      <c r="Q101" s="24">
        <f>IF(H101="","",SUMIFS(VENDAS!$H$5:$H$1004,VENDAS!$A$5:$A$1004,H101))</f>
        <v/>
      </c>
      <c r="R101" s="24">
        <f>IF(H101="","",SUMIFS(VENDAS!$K$5:$K$1004,VENDAS!$A$5:$A$1004,H101))</f>
        <v/>
      </c>
      <c r="S101" s="20" t="n"/>
      <c r="T101" s="31" t="n"/>
    </row>
    <row r="102">
      <c r="H102" s="20" t="n"/>
      <c r="I102" s="30">
        <f>IF(H102="","",IFERROR(INDEX(VENDAS!$B$5:$B$1004,MATCH(H102,VENDAS!$A$5:$A$1004,0)),"não lançado"))</f>
        <v/>
      </c>
      <c r="J102" s="22">
        <f>IF(H102="","",IFERROR(INDEX(VENDAS!$M$5:$M$1004,MATCH(H102,VENDAS!$A$5:$A$1004,0))&amp;"",""))</f>
        <v/>
      </c>
      <c r="K102" s="22">
        <f>IF(H102="","",IFERROR(INDEX(VENDAS!$J$5:$J$1004,MATCH(H102,VENDAS!$A$5:$A$1004,0))&amp;"",""))</f>
        <v/>
      </c>
      <c r="L102" s="26">
        <f>IF(H102="","",SUMIFS(VENDAS!$F$5:$F$1004,VENDAS!$A$5:$A$1004,H102))</f>
        <v/>
      </c>
      <c r="M102" s="26">
        <f>IF(H102="","",SUMIFS(VENDAS!$F$5:$F$1004,VENDAS!$A$5:$A$1004,H102,VENDAS!$D$5:$D$1004,M$4))</f>
        <v/>
      </c>
      <c r="N102" s="26">
        <f>IF(H102="","",SUMIFS(VENDAS!$F$5:$F$1004,VENDAS!$A$5:$A$1004,H102,VENDAS!$D$5:$D$1004,N$4))</f>
        <v/>
      </c>
      <c r="O102" s="26">
        <f>IF(H102="","",SUMIFS(VENDAS!$F$5:$F$1004,VENDAS!$A$5:$A$1004,H102,VENDAS!$D$5:$D$1004,O$4))</f>
        <v/>
      </c>
      <c r="P102" s="26">
        <f>IF(H102="","",SUMIFS(VENDAS!$F$5:$F$1004,VENDAS!$A$5:$A$1004,H102,VENDAS!$D$5:$D$1004,P$4))</f>
        <v/>
      </c>
      <c r="Q102" s="24">
        <f>IF(H102="","",SUMIFS(VENDAS!$H$5:$H$1004,VENDAS!$A$5:$A$1004,H102))</f>
        <v/>
      </c>
      <c r="R102" s="24">
        <f>IF(H102="","",SUMIFS(VENDAS!$K$5:$K$1004,VENDAS!$A$5:$A$1004,H102))</f>
        <v/>
      </c>
      <c r="S102" s="20" t="n"/>
      <c r="T102" s="31" t="n"/>
    </row>
    <row r="103">
      <c r="H103" s="20" t="n"/>
      <c r="I103" s="30">
        <f>IF(H103="","",IFERROR(INDEX(VENDAS!$B$5:$B$1004,MATCH(H103,VENDAS!$A$5:$A$1004,0)),"não lançado"))</f>
        <v/>
      </c>
      <c r="J103" s="22">
        <f>IF(H103="","",IFERROR(INDEX(VENDAS!$M$5:$M$1004,MATCH(H103,VENDAS!$A$5:$A$1004,0))&amp;"",""))</f>
        <v/>
      </c>
      <c r="K103" s="22">
        <f>IF(H103="","",IFERROR(INDEX(VENDAS!$J$5:$J$1004,MATCH(H103,VENDAS!$A$5:$A$1004,0))&amp;"",""))</f>
        <v/>
      </c>
      <c r="L103" s="26">
        <f>IF(H103="","",SUMIFS(VENDAS!$F$5:$F$1004,VENDAS!$A$5:$A$1004,H103))</f>
        <v/>
      </c>
      <c r="M103" s="26">
        <f>IF(H103="","",SUMIFS(VENDAS!$F$5:$F$1004,VENDAS!$A$5:$A$1004,H103,VENDAS!$D$5:$D$1004,M$4))</f>
        <v/>
      </c>
      <c r="N103" s="26">
        <f>IF(H103="","",SUMIFS(VENDAS!$F$5:$F$1004,VENDAS!$A$5:$A$1004,H103,VENDAS!$D$5:$D$1004,N$4))</f>
        <v/>
      </c>
      <c r="O103" s="26">
        <f>IF(H103="","",SUMIFS(VENDAS!$F$5:$F$1004,VENDAS!$A$5:$A$1004,H103,VENDAS!$D$5:$D$1004,O$4))</f>
        <v/>
      </c>
      <c r="P103" s="26">
        <f>IF(H103="","",SUMIFS(VENDAS!$F$5:$F$1004,VENDAS!$A$5:$A$1004,H103,VENDAS!$D$5:$D$1004,P$4))</f>
        <v/>
      </c>
      <c r="Q103" s="24">
        <f>IF(H103="","",SUMIFS(VENDAS!$H$5:$H$1004,VENDAS!$A$5:$A$1004,H103))</f>
        <v/>
      </c>
      <c r="R103" s="24">
        <f>IF(H103="","",SUMIFS(VENDAS!$K$5:$K$1004,VENDAS!$A$5:$A$1004,H103))</f>
        <v/>
      </c>
      <c r="S103" s="20" t="n"/>
      <c r="T103" s="31" t="n"/>
    </row>
    <row r="104">
      <c r="H104" s="20" t="n"/>
      <c r="I104" s="30">
        <f>IF(H104="","",IFERROR(INDEX(VENDAS!$B$5:$B$1004,MATCH(H104,VENDAS!$A$5:$A$1004,0)),"não lançado"))</f>
        <v/>
      </c>
      <c r="J104" s="22">
        <f>IF(H104="","",IFERROR(INDEX(VENDAS!$M$5:$M$1004,MATCH(H104,VENDAS!$A$5:$A$1004,0))&amp;"",""))</f>
        <v/>
      </c>
      <c r="K104" s="22">
        <f>IF(H104="","",IFERROR(INDEX(VENDAS!$J$5:$J$1004,MATCH(H104,VENDAS!$A$5:$A$1004,0))&amp;"",""))</f>
        <v/>
      </c>
      <c r="L104" s="26">
        <f>IF(H104="","",SUMIFS(VENDAS!$F$5:$F$1004,VENDAS!$A$5:$A$1004,H104))</f>
        <v/>
      </c>
      <c r="M104" s="26">
        <f>IF(H104="","",SUMIFS(VENDAS!$F$5:$F$1004,VENDAS!$A$5:$A$1004,H104,VENDAS!$D$5:$D$1004,M$4))</f>
        <v/>
      </c>
      <c r="N104" s="26">
        <f>IF(H104="","",SUMIFS(VENDAS!$F$5:$F$1004,VENDAS!$A$5:$A$1004,H104,VENDAS!$D$5:$D$1004,N$4))</f>
        <v/>
      </c>
      <c r="O104" s="26">
        <f>IF(H104="","",SUMIFS(VENDAS!$F$5:$F$1004,VENDAS!$A$5:$A$1004,H104,VENDAS!$D$5:$D$1004,O$4))</f>
        <v/>
      </c>
      <c r="P104" s="26">
        <f>IF(H104="","",SUMIFS(VENDAS!$F$5:$F$1004,VENDAS!$A$5:$A$1004,H104,VENDAS!$D$5:$D$1004,P$4))</f>
        <v/>
      </c>
      <c r="Q104" s="24">
        <f>IF(H104="","",SUMIFS(VENDAS!$H$5:$H$1004,VENDAS!$A$5:$A$1004,H104))</f>
        <v/>
      </c>
      <c r="R104" s="24">
        <f>IF(H104="","",SUMIFS(VENDAS!$K$5:$K$1004,VENDAS!$A$5:$A$1004,H104))</f>
        <v/>
      </c>
      <c r="S104" s="20" t="n"/>
      <c r="T104" s="31" t="n"/>
    </row>
    <row r="105">
      <c r="H105" s="20" t="n"/>
      <c r="I105" s="30">
        <f>IF(H105="","",IFERROR(INDEX(VENDAS!$B$5:$B$1004,MATCH(H105,VENDAS!$A$5:$A$1004,0)),"não lançado"))</f>
        <v/>
      </c>
      <c r="J105" s="22">
        <f>IF(H105="","",IFERROR(INDEX(VENDAS!$M$5:$M$1004,MATCH(H105,VENDAS!$A$5:$A$1004,0))&amp;"",""))</f>
        <v/>
      </c>
      <c r="K105" s="22">
        <f>IF(H105="","",IFERROR(INDEX(VENDAS!$J$5:$J$1004,MATCH(H105,VENDAS!$A$5:$A$1004,0))&amp;"",""))</f>
        <v/>
      </c>
      <c r="L105" s="26">
        <f>IF(H105="","",SUMIFS(VENDAS!$F$5:$F$1004,VENDAS!$A$5:$A$1004,H105))</f>
        <v/>
      </c>
      <c r="M105" s="26">
        <f>IF(H105="","",SUMIFS(VENDAS!$F$5:$F$1004,VENDAS!$A$5:$A$1004,H105,VENDAS!$D$5:$D$1004,M$4))</f>
        <v/>
      </c>
      <c r="N105" s="26">
        <f>IF(H105="","",SUMIFS(VENDAS!$F$5:$F$1004,VENDAS!$A$5:$A$1004,H105,VENDAS!$D$5:$D$1004,N$4))</f>
        <v/>
      </c>
      <c r="O105" s="26">
        <f>IF(H105="","",SUMIFS(VENDAS!$F$5:$F$1004,VENDAS!$A$5:$A$1004,H105,VENDAS!$D$5:$D$1004,O$4))</f>
        <v/>
      </c>
      <c r="P105" s="26">
        <f>IF(H105="","",SUMIFS(VENDAS!$F$5:$F$1004,VENDAS!$A$5:$A$1004,H105,VENDAS!$D$5:$D$1004,P$4))</f>
        <v/>
      </c>
      <c r="Q105" s="24">
        <f>IF(H105="","",SUMIFS(VENDAS!$H$5:$H$1004,VENDAS!$A$5:$A$1004,H105))</f>
        <v/>
      </c>
      <c r="R105" s="24">
        <f>IF(H105="","",SUMIFS(VENDAS!$K$5:$K$1004,VENDAS!$A$5:$A$1004,H105))</f>
        <v/>
      </c>
      <c r="S105" s="20" t="n"/>
      <c r="T105" s="31" t="n"/>
    </row>
    <row r="106">
      <c r="H106" s="20" t="n"/>
      <c r="I106" s="30">
        <f>IF(H106="","",IFERROR(INDEX(VENDAS!$B$5:$B$1004,MATCH(H106,VENDAS!$A$5:$A$1004,0)),"não lançado"))</f>
        <v/>
      </c>
      <c r="J106" s="22">
        <f>IF(H106="","",IFERROR(INDEX(VENDAS!$M$5:$M$1004,MATCH(H106,VENDAS!$A$5:$A$1004,0))&amp;"",""))</f>
        <v/>
      </c>
      <c r="K106" s="22">
        <f>IF(H106="","",IFERROR(INDEX(VENDAS!$J$5:$J$1004,MATCH(H106,VENDAS!$A$5:$A$1004,0))&amp;"",""))</f>
        <v/>
      </c>
      <c r="L106" s="26">
        <f>IF(H106="","",SUMIFS(VENDAS!$F$5:$F$1004,VENDAS!$A$5:$A$1004,H106))</f>
        <v/>
      </c>
      <c r="M106" s="26">
        <f>IF(H106="","",SUMIFS(VENDAS!$F$5:$F$1004,VENDAS!$A$5:$A$1004,H106,VENDAS!$D$5:$D$1004,M$4))</f>
        <v/>
      </c>
      <c r="N106" s="26">
        <f>IF(H106="","",SUMIFS(VENDAS!$F$5:$F$1004,VENDAS!$A$5:$A$1004,H106,VENDAS!$D$5:$D$1004,N$4))</f>
        <v/>
      </c>
      <c r="O106" s="26">
        <f>IF(H106="","",SUMIFS(VENDAS!$F$5:$F$1004,VENDAS!$A$5:$A$1004,H106,VENDAS!$D$5:$D$1004,O$4))</f>
        <v/>
      </c>
      <c r="P106" s="26">
        <f>IF(H106="","",SUMIFS(VENDAS!$F$5:$F$1004,VENDAS!$A$5:$A$1004,H106,VENDAS!$D$5:$D$1004,P$4))</f>
        <v/>
      </c>
      <c r="Q106" s="24">
        <f>IF(H106="","",SUMIFS(VENDAS!$H$5:$H$1004,VENDAS!$A$5:$A$1004,H106))</f>
        <v/>
      </c>
      <c r="R106" s="24">
        <f>IF(H106="","",SUMIFS(VENDAS!$K$5:$K$1004,VENDAS!$A$5:$A$1004,H106))</f>
        <v/>
      </c>
      <c r="S106" s="20" t="n"/>
      <c r="T106" s="31" t="n"/>
    </row>
    <row r="107">
      <c r="H107" s="20" t="n"/>
      <c r="I107" s="30">
        <f>IF(H107="","",IFERROR(INDEX(VENDAS!$B$5:$B$1004,MATCH(H107,VENDAS!$A$5:$A$1004,0)),"não lançado"))</f>
        <v/>
      </c>
      <c r="J107" s="22">
        <f>IF(H107="","",IFERROR(INDEX(VENDAS!$M$5:$M$1004,MATCH(H107,VENDAS!$A$5:$A$1004,0))&amp;"",""))</f>
        <v/>
      </c>
      <c r="K107" s="22">
        <f>IF(H107="","",IFERROR(INDEX(VENDAS!$J$5:$J$1004,MATCH(H107,VENDAS!$A$5:$A$1004,0))&amp;"",""))</f>
        <v/>
      </c>
      <c r="L107" s="26">
        <f>IF(H107="","",SUMIFS(VENDAS!$F$5:$F$1004,VENDAS!$A$5:$A$1004,H107))</f>
        <v/>
      </c>
      <c r="M107" s="26">
        <f>IF(H107="","",SUMIFS(VENDAS!$F$5:$F$1004,VENDAS!$A$5:$A$1004,H107,VENDAS!$D$5:$D$1004,M$4))</f>
        <v/>
      </c>
      <c r="N107" s="26">
        <f>IF(H107="","",SUMIFS(VENDAS!$F$5:$F$1004,VENDAS!$A$5:$A$1004,H107,VENDAS!$D$5:$D$1004,N$4))</f>
        <v/>
      </c>
      <c r="O107" s="26">
        <f>IF(H107="","",SUMIFS(VENDAS!$F$5:$F$1004,VENDAS!$A$5:$A$1004,H107,VENDAS!$D$5:$D$1004,O$4))</f>
        <v/>
      </c>
      <c r="P107" s="26">
        <f>IF(H107="","",SUMIFS(VENDAS!$F$5:$F$1004,VENDAS!$A$5:$A$1004,H107,VENDAS!$D$5:$D$1004,P$4))</f>
        <v/>
      </c>
      <c r="Q107" s="24">
        <f>IF(H107="","",SUMIFS(VENDAS!$H$5:$H$1004,VENDAS!$A$5:$A$1004,H107))</f>
        <v/>
      </c>
      <c r="R107" s="24">
        <f>IF(H107="","",SUMIFS(VENDAS!$K$5:$K$1004,VENDAS!$A$5:$A$1004,H107))</f>
        <v/>
      </c>
      <c r="S107" s="20" t="n"/>
      <c r="T107" s="31" t="n"/>
    </row>
    <row r="108">
      <c r="H108" s="20" t="n"/>
      <c r="I108" s="30">
        <f>IF(H108="","",IFERROR(INDEX(VENDAS!$B$5:$B$1004,MATCH(H108,VENDAS!$A$5:$A$1004,0)),"não lançado"))</f>
        <v/>
      </c>
      <c r="J108" s="22">
        <f>IF(H108="","",IFERROR(INDEX(VENDAS!$M$5:$M$1004,MATCH(H108,VENDAS!$A$5:$A$1004,0))&amp;"",""))</f>
        <v/>
      </c>
      <c r="K108" s="22">
        <f>IF(H108="","",IFERROR(INDEX(VENDAS!$J$5:$J$1004,MATCH(H108,VENDAS!$A$5:$A$1004,0))&amp;"",""))</f>
        <v/>
      </c>
      <c r="L108" s="26">
        <f>IF(H108="","",SUMIFS(VENDAS!$F$5:$F$1004,VENDAS!$A$5:$A$1004,H108))</f>
        <v/>
      </c>
      <c r="M108" s="26">
        <f>IF(H108="","",SUMIFS(VENDAS!$F$5:$F$1004,VENDAS!$A$5:$A$1004,H108,VENDAS!$D$5:$D$1004,M$4))</f>
        <v/>
      </c>
      <c r="N108" s="26">
        <f>IF(H108="","",SUMIFS(VENDAS!$F$5:$F$1004,VENDAS!$A$5:$A$1004,H108,VENDAS!$D$5:$D$1004,N$4))</f>
        <v/>
      </c>
      <c r="O108" s="26">
        <f>IF(H108="","",SUMIFS(VENDAS!$F$5:$F$1004,VENDAS!$A$5:$A$1004,H108,VENDAS!$D$5:$D$1004,O$4))</f>
        <v/>
      </c>
      <c r="P108" s="26">
        <f>IF(H108="","",SUMIFS(VENDAS!$F$5:$F$1004,VENDAS!$A$5:$A$1004,H108,VENDAS!$D$5:$D$1004,P$4))</f>
        <v/>
      </c>
      <c r="Q108" s="24">
        <f>IF(H108="","",SUMIFS(VENDAS!$H$5:$H$1004,VENDAS!$A$5:$A$1004,H108))</f>
        <v/>
      </c>
      <c r="R108" s="24">
        <f>IF(H108="","",SUMIFS(VENDAS!$K$5:$K$1004,VENDAS!$A$5:$A$1004,H108))</f>
        <v/>
      </c>
      <c r="S108" s="20" t="n"/>
      <c r="T108" s="31" t="n"/>
    </row>
    <row r="109">
      <c r="H109" s="20" t="n"/>
      <c r="I109" s="30">
        <f>IF(H109="","",IFERROR(INDEX(VENDAS!$B$5:$B$1004,MATCH(H109,VENDAS!$A$5:$A$1004,0)),"não lançado"))</f>
        <v/>
      </c>
      <c r="J109" s="22">
        <f>IF(H109="","",IFERROR(INDEX(VENDAS!$M$5:$M$1004,MATCH(H109,VENDAS!$A$5:$A$1004,0))&amp;"",""))</f>
        <v/>
      </c>
      <c r="K109" s="22">
        <f>IF(H109="","",IFERROR(INDEX(VENDAS!$J$5:$J$1004,MATCH(H109,VENDAS!$A$5:$A$1004,0))&amp;"",""))</f>
        <v/>
      </c>
      <c r="L109" s="26">
        <f>IF(H109="","",SUMIFS(VENDAS!$F$5:$F$1004,VENDAS!$A$5:$A$1004,H109))</f>
        <v/>
      </c>
      <c r="M109" s="26">
        <f>IF(H109="","",SUMIFS(VENDAS!$F$5:$F$1004,VENDAS!$A$5:$A$1004,H109,VENDAS!$D$5:$D$1004,M$4))</f>
        <v/>
      </c>
      <c r="N109" s="26">
        <f>IF(H109="","",SUMIFS(VENDAS!$F$5:$F$1004,VENDAS!$A$5:$A$1004,H109,VENDAS!$D$5:$D$1004,N$4))</f>
        <v/>
      </c>
      <c r="O109" s="26">
        <f>IF(H109="","",SUMIFS(VENDAS!$F$5:$F$1004,VENDAS!$A$5:$A$1004,H109,VENDAS!$D$5:$D$1004,O$4))</f>
        <v/>
      </c>
      <c r="P109" s="26">
        <f>IF(H109="","",SUMIFS(VENDAS!$F$5:$F$1004,VENDAS!$A$5:$A$1004,H109,VENDAS!$D$5:$D$1004,P$4))</f>
        <v/>
      </c>
      <c r="Q109" s="24">
        <f>IF(H109="","",SUMIFS(VENDAS!$H$5:$H$1004,VENDAS!$A$5:$A$1004,H109))</f>
        <v/>
      </c>
      <c r="R109" s="24">
        <f>IF(H109="","",SUMIFS(VENDAS!$K$5:$K$1004,VENDAS!$A$5:$A$1004,H109))</f>
        <v/>
      </c>
      <c r="S109" s="20" t="n"/>
      <c r="T109" s="31" t="n"/>
    </row>
    <row r="110">
      <c r="H110" s="20" t="n"/>
      <c r="I110" s="30">
        <f>IF(H110="","",IFERROR(INDEX(VENDAS!$B$5:$B$1004,MATCH(H110,VENDAS!$A$5:$A$1004,0)),"não lançado"))</f>
        <v/>
      </c>
      <c r="J110" s="22">
        <f>IF(H110="","",IFERROR(INDEX(VENDAS!$M$5:$M$1004,MATCH(H110,VENDAS!$A$5:$A$1004,0))&amp;"",""))</f>
        <v/>
      </c>
      <c r="K110" s="22">
        <f>IF(H110="","",IFERROR(INDEX(VENDAS!$J$5:$J$1004,MATCH(H110,VENDAS!$A$5:$A$1004,0))&amp;"",""))</f>
        <v/>
      </c>
      <c r="L110" s="26">
        <f>IF(H110="","",SUMIFS(VENDAS!$F$5:$F$1004,VENDAS!$A$5:$A$1004,H110))</f>
        <v/>
      </c>
      <c r="M110" s="26">
        <f>IF(H110="","",SUMIFS(VENDAS!$F$5:$F$1004,VENDAS!$A$5:$A$1004,H110,VENDAS!$D$5:$D$1004,M$4))</f>
        <v/>
      </c>
      <c r="N110" s="26">
        <f>IF(H110="","",SUMIFS(VENDAS!$F$5:$F$1004,VENDAS!$A$5:$A$1004,H110,VENDAS!$D$5:$D$1004,N$4))</f>
        <v/>
      </c>
      <c r="O110" s="26">
        <f>IF(H110="","",SUMIFS(VENDAS!$F$5:$F$1004,VENDAS!$A$5:$A$1004,H110,VENDAS!$D$5:$D$1004,O$4))</f>
        <v/>
      </c>
      <c r="P110" s="26">
        <f>IF(H110="","",SUMIFS(VENDAS!$F$5:$F$1004,VENDAS!$A$5:$A$1004,H110,VENDAS!$D$5:$D$1004,P$4))</f>
        <v/>
      </c>
      <c r="Q110" s="24">
        <f>IF(H110="","",SUMIFS(VENDAS!$H$5:$H$1004,VENDAS!$A$5:$A$1004,H110))</f>
        <v/>
      </c>
      <c r="R110" s="24">
        <f>IF(H110="","",SUMIFS(VENDAS!$K$5:$K$1004,VENDAS!$A$5:$A$1004,H110))</f>
        <v/>
      </c>
      <c r="S110" s="20" t="n"/>
      <c r="T110" s="31" t="n"/>
    </row>
    <row r="111">
      <c r="H111" s="20" t="n"/>
      <c r="I111" s="30">
        <f>IF(H111="","",IFERROR(INDEX(VENDAS!$B$5:$B$1004,MATCH(H111,VENDAS!$A$5:$A$1004,0)),"não lançado"))</f>
        <v/>
      </c>
      <c r="J111" s="22">
        <f>IF(H111="","",IFERROR(INDEX(VENDAS!$M$5:$M$1004,MATCH(H111,VENDAS!$A$5:$A$1004,0))&amp;"",""))</f>
        <v/>
      </c>
      <c r="K111" s="22">
        <f>IF(H111="","",IFERROR(INDEX(VENDAS!$J$5:$J$1004,MATCH(H111,VENDAS!$A$5:$A$1004,0))&amp;"",""))</f>
        <v/>
      </c>
      <c r="L111" s="26">
        <f>IF(H111="","",SUMIFS(VENDAS!$F$5:$F$1004,VENDAS!$A$5:$A$1004,H111))</f>
        <v/>
      </c>
      <c r="M111" s="26">
        <f>IF(H111="","",SUMIFS(VENDAS!$F$5:$F$1004,VENDAS!$A$5:$A$1004,H111,VENDAS!$D$5:$D$1004,M$4))</f>
        <v/>
      </c>
      <c r="N111" s="26">
        <f>IF(H111="","",SUMIFS(VENDAS!$F$5:$F$1004,VENDAS!$A$5:$A$1004,H111,VENDAS!$D$5:$D$1004,N$4))</f>
        <v/>
      </c>
      <c r="O111" s="26">
        <f>IF(H111="","",SUMIFS(VENDAS!$F$5:$F$1004,VENDAS!$A$5:$A$1004,H111,VENDAS!$D$5:$D$1004,O$4))</f>
        <v/>
      </c>
      <c r="P111" s="26">
        <f>IF(H111="","",SUMIFS(VENDAS!$F$5:$F$1004,VENDAS!$A$5:$A$1004,H111,VENDAS!$D$5:$D$1004,P$4))</f>
        <v/>
      </c>
      <c r="Q111" s="24">
        <f>IF(H111="","",SUMIFS(VENDAS!$H$5:$H$1004,VENDAS!$A$5:$A$1004,H111))</f>
        <v/>
      </c>
      <c r="R111" s="24">
        <f>IF(H111="","",SUMIFS(VENDAS!$K$5:$K$1004,VENDAS!$A$5:$A$1004,H111))</f>
        <v/>
      </c>
      <c r="S111" s="20" t="n"/>
      <c r="T111" s="31" t="n"/>
    </row>
    <row r="112">
      <c r="H112" s="20" t="n"/>
      <c r="I112" s="30">
        <f>IF(H112="","",IFERROR(INDEX(VENDAS!$B$5:$B$1004,MATCH(H112,VENDAS!$A$5:$A$1004,0)),"não lançado"))</f>
        <v/>
      </c>
      <c r="J112" s="22">
        <f>IF(H112="","",IFERROR(INDEX(VENDAS!$M$5:$M$1004,MATCH(H112,VENDAS!$A$5:$A$1004,0))&amp;"",""))</f>
        <v/>
      </c>
      <c r="K112" s="22">
        <f>IF(H112="","",IFERROR(INDEX(VENDAS!$J$5:$J$1004,MATCH(H112,VENDAS!$A$5:$A$1004,0))&amp;"",""))</f>
        <v/>
      </c>
      <c r="L112" s="26">
        <f>IF(H112="","",SUMIFS(VENDAS!$F$5:$F$1004,VENDAS!$A$5:$A$1004,H112))</f>
        <v/>
      </c>
      <c r="M112" s="26">
        <f>IF(H112="","",SUMIFS(VENDAS!$F$5:$F$1004,VENDAS!$A$5:$A$1004,H112,VENDAS!$D$5:$D$1004,M$4))</f>
        <v/>
      </c>
      <c r="N112" s="26">
        <f>IF(H112="","",SUMIFS(VENDAS!$F$5:$F$1004,VENDAS!$A$5:$A$1004,H112,VENDAS!$D$5:$D$1004,N$4))</f>
        <v/>
      </c>
      <c r="O112" s="26">
        <f>IF(H112="","",SUMIFS(VENDAS!$F$5:$F$1004,VENDAS!$A$5:$A$1004,H112,VENDAS!$D$5:$D$1004,O$4))</f>
        <v/>
      </c>
      <c r="P112" s="26">
        <f>IF(H112="","",SUMIFS(VENDAS!$F$5:$F$1004,VENDAS!$A$5:$A$1004,H112,VENDAS!$D$5:$D$1004,P$4))</f>
        <v/>
      </c>
      <c r="Q112" s="24">
        <f>IF(H112="","",SUMIFS(VENDAS!$H$5:$H$1004,VENDAS!$A$5:$A$1004,H112))</f>
        <v/>
      </c>
      <c r="R112" s="24">
        <f>IF(H112="","",SUMIFS(VENDAS!$K$5:$K$1004,VENDAS!$A$5:$A$1004,H112))</f>
        <v/>
      </c>
      <c r="S112" s="20" t="n"/>
      <c r="T112" s="31" t="n"/>
    </row>
    <row r="113">
      <c r="H113" s="20" t="n"/>
      <c r="I113" s="30">
        <f>IF(H113="","",IFERROR(INDEX(VENDAS!$B$5:$B$1004,MATCH(H113,VENDAS!$A$5:$A$1004,0)),"não lançado"))</f>
        <v/>
      </c>
      <c r="J113" s="22">
        <f>IF(H113="","",IFERROR(INDEX(VENDAS!$M$5:$M$1004,MATCH(H113,VENDAS!$A$5:$A$1004,0))&amp;"",""))</f>
        <v/>
      </c>
      <c r="K113" s="22">
        <f>IF(H113="","",IFERROR(INDEX(VENDAS!$J$5:$J$1004,MATCH(H113,VENDAS!$A$5:$A$1004,0))&amp;"",""))</f>
        <v/>
      </c>
      <c r="L113" s="26">
        <f>IF(H113="","",SUMIFS(VENDAS!$F$5:$F$1004,VENDAS!$A$5:$A$1004,H113))</f>
        <v/>
      </c>
      <c r="M113" s="26">
        <f>IF(H113="","",SUMIFS(VENDAS!$F$5:$F$1004,VENDAS!$A$5:$A$1004,H113,VENDAS!$D$5:$D$1004,M$4))</f>
        <v/>
      </c>
      <c r="N113" s="26">
        <f>IF(H113="","",SUMIFS(VENDAS!$F$5:$F$1004,VENDAS!$A$5:$A$1004,H113,VENDAS!$D$5:$D$1004,N$4))</f>
        <v/>
      </c>
      <c r="O113" s="26">
        <f>IF(H113="","",SUMIFS(VENDAS!$F$5:$F$1004,VENDAS!$A$5:$A$1004,H113,VENDAS!$D$5:$D$1004,O$4))</f>
        <v/>
      </c>
      <c r="P113" s="26">
        <f>IF(H113="","",SUMIFS(VENDAS!$F$5:$F$1004,VENDAS!$A$5:$A$1004,H113,VENDAS!$D$5:$D$1004,P$4))</f>
        <v/>
      </c>
      <c r="Q113" s="24">
        <f>IF(H113="","",SUMIFS(VENDAS!$H$5:$H$1004,VENDAS!$A$5:$A$1004,H113))</f>
        <v/>
      </c>
      <c r="R113" s="24">
        <f>IF(H113="","",SUMIFS(VENDAS!$K$5:$K$1004,VENDAS!$A$5:$A$1004,H113))</f>
        <v/>
      </c>
      <c r="S113" s="20" t="n"/>
      <c r="T113" s="31" t="n"/>
    </row>
    <row r="114">
      <c r="H114" s="20" t="n"/>
      <c r="I114" s="30">
        <f>IF(H114="","",IFERROR(INDEX(VENDAS!$B$5:$B$1004,MATCH(H114,VENDAS!$A$5:$A$1004,0)),"não lançado"))</f>
        <v/>
      </c>
      <c r="J114" s="22">
        <f>IF(H114="","",IFERROR(INDEX(VENDAS!$M$5:$M$1004,MATCH(H114,VENDAS!$A$5:$A$1004,0))&amp;"",""))</f>
        <v/>
      </c>
      <c r="K114" s="22">
        <f>IF(H114="","",IFERROR(INDEX(VENDAS!$J$5:$J$1004,MATCH(H114,VENDAS!$A$5:$A$1004,0))&amp;"",""))</f>
        <v/>
      </c>
      <c r="L114" s="26">
        <f>IF(H114="","",SUMIFS(VENDAS!$F$5:$F$1004,VENDAS!$A$5:$A$1004,H114))</f>
        <v/>
      </c>
      <c r="M114" s="26">
        <f>IF(H114="","",SUMIFS(VENDAS!$F$5:$F$1004,VENDAS!$A$5:$A$1004,H114,VENDAS!$D$5:$D$1004,M$4))</f>
        <v/>
      </c>
      <c r="N114" s="26">
        <f>IF(H114="","",SUMIFS(VENDAS!$F$5:$F$1004,VENDAS!$A$5:$A$1004,H114,VENDAS!$D$5:$D$1004,N$4))</f>
        <v/>
      </c>
      <c r="O114" s="26">
        <f>IF(H114="","",SUMIFS(VENDAS!$F$5:$F$1004,VENDAS!$A$5:$A$1004,H114,VENDAS!$D$5:$D$1004,O$4))</f>
        <v/>
      </c>
      <c r="P114" s="26">
        <f>IF(H114="","",SUMIFS(VENDAS!$F$5:$F$1004,VENDAS!$A$5:$A$1004,H114,VENDAS!$D$5:$D$1004,P$4))</f>
        <v/>
      </c>
      <c r="Q114" s="24">
        <f>IF(H114="","",SUMIFS(VENDAS!$H$5:$H$1004,VENDAS!$A$5:$A$1004,H114))</f>
        <v/>
      </c>
      <c r="R114" s="24">
        <f>IF(H114="","",SUMIFS(VENDAS!$K$5:$K$1004,VENDAS!$A$5:$A$1004,H114))</f>
        <v/>
      </c>
      <c r="S114" s="20" t="n"/>
      <c r="T114" s="31" t="n"/>
    </row>
    <row r="115">
      <c r="H115" s="20" t="n"/>
      <c r="I115" s="30">
        <f>IF(H115="","",IFERROR(INDEX(VENDAS!$B$5:$B$1004,MATCH(H115,VENDAS!$A$5:$A$1004,0)),"não lançado"))</f>
        <v/>
      </c>
      <c r="J115" s="22">
        <f>IF(H115="","",IFERROR(INDEX(VENDAS!$M$5:$M$1004,MATCH(H115,VENDAS!$A$5:$A$1004,0))&amp;"",""))</f>
        <v/>
      </c>
      <c r="K115" s="22">
        <f>IF(H115="","",IFERROR(INDEX(VENDAS!$J$5:$J$1004,MATCH(H115,VENDAS!$A$5:$A$1004,0))&amp;"",""))</f>
        <v/>
      </c>
      <c r="L115" s="26">
        <f>IF(H115="","",SUMIFS(VENDAS!$F$5:$F$1004,VENDAS!$A$5:$A$1004,H115))</f>
        <v/>
      </c>
      <c r="M115" s="26">
        <f>IF(H115="","",SUMIFS(VENDAS!$F$5:$F$1004,VENDAS!$A$5:$A$1004,H115,VENDAS!$D$5:$D$1004,M$4))</f>
        <v/>
      </c>
      <c r="N115" s="26">
        <f>IF(H115="","",SUMIFS(VENDAS!$F$5:$F$1004,VENDAS!$A$5:$A$1004,H115,VENDAS!$D$5:$D$1004,N$4))</f>
        <v/>
      </c>
      <c r="O115" s="26">
        <f>IF(H115="","",SUMIFS(VENDAS!$F$5:$F$1004,VENDAS!$A$5:$A$1004,H115,VENDAS!$D$5:$D$1004,O$4))</f>
        <v/>
      </c>
      <c r="P115" s="26">
        <f>IF(H115="","",SUMIFS(VENDAS!$F$5:$F$1004,VENDAS!$A$5:$A$1004,H115,VENDAS!$D$5:$D$1004,P$4))</f>
        <v/>
      </c>
      <c r="Q115" s="24">
        <f>IF(H115="","",SUMIFS(VENDAS!$H$5:$H$1004,VENDAS!$A$5:$A$1004,H115))</f>
        <v/>
      </c>
      <c r="R115" s="24">
        <f>IF(H115="","",SUMIFS(VENDAS!$K$5:$K$1004,VENDAS!$A$5:$A$1004,H115))</f>
        <v/>
      </c>
      <c r="S115" s="20" t="n"/>
      <c r="T115" s="31" t="n"/>
    </row>
    <row r="116">
      <c r="H116" s="20" t="n"/>
      <c r="I116" s="30">
        <f>IF(H116="","",IFERROR(INDEX(VENDAS!$B$5:$B$1004,MATCH(H116,VENDAS!$A$5:$A$1004,0)),"não lançado"))</f>
        <v/>
      </c>
      <c r="J116" s="22">
        <f>IF(H116="","",IFERROR(INDEX(VENDAS!$M$5:$M$1004,MATCH(H116,VENDAS!$A$5:$A$1004,0))&amp;"",""))</f>
        <v/>
      </c>
      <c r="K116" s="22">
        <f>IF(H116="","",IFERROR(INDEX(VENDAS!$J$5:$J$1004,MATCH(H116,VENDAS!$A$5:$A$1004,0))&amp;"",""))</f>
        <v/>
      </c>
      <c r="L116" s="26">
        <f>IF(H116="","",SUMIFS(VENDAS!$F$5:$F$1004,VENDAS!$A$5:$A$1004,H116))</f>
        <v/>
      </c>
      <c r="M116" s="26">
        <f>IF(H116="","",SUMIFS(VENDAS!$F$5:$F$1004,VENDAS!$A$5:$A$1004,H116,VENDAS!$D$5:$D$1004,M$4))</f>
        <v/>
      </c>
      <c r="N116" s="26">
        <f>IF(H116="","",SUMIFS(VENDAS!$F$5:$F$1004,VENDAS!$A$5:$A$1004,H116,VENDAS!$D$5:$D$1004,N$4))</f>
        <v/>
      </c>
      <c r="O116" s="26">
        <f>IF(H116="","",SUMIFS(VENDAS!$F$5:$F$1004,VENDAS!$A$5:$A$1004,H116,VENDAS!$D$5:$D$1004,O$4))</f>
        <v/>
      </c>
      <c r="P116" s="26">
        <f>IF(H116="","",SUMIFS(VENDAS!$F$5:$F$1004,VENDAS!$A$5:$A$1004,H116,VENDAS!$D$5:$D$1004,P$4))</f>
        <v/>
      </c>
      <c r="Q116" s="24">
        <f>IF(H116="","",SUMIFS(VENDAS!$H$5:$H$1004,VENDAS!$A$5:$A$1004,H116))</f>
        <v/>
      </c>
      <c r="R116" s="24">
        <f>IF(H116="","",SUMIFS(VENDAS!$K$5:$K$1004,VENDAS!$A$5:$A$1004,H116))</f>
        <v/>
      </c>
      <c r="S116" s="20" t="n"/>
      <c r="T116" s="31" t="n"/>
    </row>
    <row r="117">
      <c r="H117" s="20" t="n"/>
      <c r="I117" s="30">
        <f>IF(H117="","",IFERROR(INDEX(VENDAS!$B$5:$B$1004,MATCH(H117,VENDAS!$A$5:$A$1004,0)),"não lançado"))</f>
        <v/>
      </c>
      <c r="J117" s="22">
        <f>IF(H117="","",IFERROR(INDEX(VENDAS!$M$5:$M$1004,MATCH(H117,VENDAS!$A$5:$A$1004,0))&amp;"",""))</f>
        <v/>
      </c>
      <c r="K117" s="22">
        <f>IF(H117="","",IFERROR(INDEX(VENDAS!$J$5:$J$1004,MATCH(H117,VENDAS!$A$5:$A$1004,0))&amp;"",""))</f>
        <v/>
      </c>
      <c r="L117" s="26">
        <f>IF(H117="","",SUMIFS(VENDAS!$F$5:$F$1004,VENDAS!$A$5:$A$1004,H117))</f>
        <v/>
      </c>
      <c r="M117" s="26">
        <f>IF(H117="","",SUMIFS(VENDAS!$F$5:$F$1004,VENDAS!$A$5:$A$1004,H117,VENDAS!$D$5:$D$1004,M$4))</f>
        <v/>
      </c>
      <c r="N117" s="26">
        <f>IF(H117="","",SUMIFS(VENDAS!$F$5:$F$1004,VENDAS!$A$5:$A$1004,H117,VENDAS!$D$5:$D$1004,N$4))</f>
        <v/>
      </c>
      <c r="O117" s="26">
        <f>IF(H117="","",SUMIFS(VENDAS!$F$5:$F$1004,VENDAS!$A$5:$A$1004,H117,VENDAS!$D$5:$D$1004,O$4))</f>
        <v/>
      </c>
      <c r="P117" s="26">
        <f>IF(H117="","",SUMIFS(VENDAS!$F$5:$F$1004,VENDAS!$A$5:$A$1004,H117,VENDAS!$D$5:$D$1004,P$4))</f>
        <v/>
      </c>
      <c r="Q117" s="24">
        <f>IF(H117="","",SUMIFS(VENDAS!$H$5:$H$1004,VENDAS!$A$5:$A$1004,H117))</f>
        <v/>
      </c>
      <c r="R117" s="24">
        <f>IF(H117="","",SUMIFS(VENDAS!$K$5:$K$1004,VENDAS!$A$5:$A$1004,H117))</f>
        <v/>
      </c>
      <c r="S117" s="20" t="n"/>
      <c r="T117" s="31" t="n"/>
    </row>
    <row r="118">
      <c r="H118" s="20" t="n"/>
      <c r="I118" s="30">
        <f>IF(H118="","",IFERROR(INDEX(VENDAS!$B$5:$B$1004,MATCH(H118,VENDAS!$A$5:$A$1004,0)),"não lançado"))</f>
        <v/>
      </c>
      <c r="J118" s="22">
        <f>IF(H118="","",IFERROR(INDEX(VENDAS!$M$5:$M$1004,MATCH(H118,VENDAS!$A$5:$A$1004,0))&amp;"",""))</f>
        <v/>
      </c>
      <c r="K118" s="22">
        <f>IF(H118="","",IFERROR(INDEX(VENDAS!$J$5:$J$1004,MATCH(H118,VENDAS!$A$5:$A$1004,0))&amp;"",""))</f>
        <v/>
      </c>
      <c r="L118" s="26">
        <f>IF(H118="","",SUMIFS(VENDAS!$F$5:$F$1004,VENDAS!$A$5:$A$1004,H118))</f>
        <v/>
      </c>
      <c r="M118" s="26">
        <f>IF(H118="","",SUMIFS(VENDAS!$F$5:$F$1004,VENDAS!$A$5:$A$1004,H118,VENDAS!$D$5:$D$1004,M$4))</f>
        <v/>
      </c>
      <c r="N118" s="26">
        <f>IF(H118="","",SUMIFS(VENDAS!$F$5:$F$1004,VENDAS!$A$5:$A$1004,H118,VENDAS!$D$5:$D$1004,N$4))</f>
        <v/>
      </c>
      <c r="O118" s="26">
        <f>IF(H118="","",SUMIFS(VENDAS!$F$5:$F$1004,VENDAS!$A$5:$A$1004,H118,VENDAS!$D$5:$D$1004,O$4))</f>
        <v/>
      </c>
      <c r="P118" s="26">
        <f>IF(H118="","",SUMIFS(VENDAS!$F$5:$F$1004,VENDAS!$A$5:$A$1004,H118,VENDAS!$D$5:$D$1004,P$4))</f>
        <v/>
      </c>
      <c r="Q118" s="24">
        <f>IF(H118="","",SUMIFS(VENDAS!$H$5:$H$1004,VENDAS!$A$5:$A$1004,H118))</f>
        <v/>
      </c>
      <c r="R118" s="24">
        <f>IF(H118="","",SUMIFS(VENDAS!$K$5:$K$1004,VENDAS!$A$5:$A$1004,H118))</f>
        <v/>
      </c>
      <c r="S118" s="20" t="n"/>
      <c r="T118" s="31" t="n"/>
    </row>
    <row r="119">
      <c r="H119" s="20" t="n"/>
      <c r="I119" s="30">
        <f>IF(H119="","",IFERROR(INDEX(VENDAS!$B$5:$B$1004,MATCH(H119,VENDAS!$A$5:$A$1004,0)),"não lançado"))</f>
        <v/>
      </c>
      <c r="J119" s="22">
        <f>IF(H119="","",IFERROR(INDEX(VENDAS!$M$5:$M$1004,MATCH(H119,VENDAS!$A$5:$A$1004,0))&amp;"",""))</f>
        <v/>
      </c>
      <c r="K119" s="22">
        <f>IF(H119="","",IFERROR(INDEX(VENDAS!$J$5:$J$1004,MATCH(H119,VENDAS!$A$5:$A$1004,0))&amp;"",""))</f>
        <v/>
      </c>
      <c r="L119" s="26">
        <f>IF(H119="","",SUMIFS(VENDAS!$F$5:$F$1004,VENDAS!$A$5:$A$1004,H119))</f>
        <v/>
      </c>
      <c r="M119" s="26">
        <f>IF(H119="","",SUMIFS(VENDAS!$F$5:$F$1004,VENDAS!$A$5:$A$1004,H119,VENDAS!$D$5:$D$1004,M$4))</f>
        <v/>
      </c>
      <c r="N119" s="26">
        <f>IF(H119="","",SUMIFS(VENDAS!$F$5:$F$1004,VENDAS!$A$5:$A$1004,H119,VENDAS!$D$5:$D$1004,N$4))</f>
        <v/>
      </c>
      <c r="O119" s="26">
        <f>IF(H119="","",SUMIFS(VENDAS!$F$5:$F$1004,VENDAS!$A$5:$A$1004,H119,VENDAS!$D$5:$D$1004,O$4))</f>
        <v/>
      </c>
      <c r="P119" s="26">
        <f>IF(H119="","",SUMIFS(VENDAS!$F$5:$F$1004,VENDAS!$A$5:$A$1004,H119,VENDAS!$D$5:$D$1004,P$4))</f>
        <v/>
      </c>
      <c r="Q119" s="24">
        <f>IF(H119="","",SUMIFS(VENDAS!$H$5:$H$1004,VENDAS!$A$5:$A$1004,H119))</f>
        <v/>
      </c>
      <c r="R119" s="24">
        <f>IF(H119="","",SUMIFS(VENDAS!$K$5:$K$1004,VENDAS!$A$5:$A$1004,H119))</f>
        <v/>
      </c>
      <c r="S119" s="20" t="n"/>
      <c r="T119" s="31" t="n"/>
    </row>
    <row r="120">
      <c r="H120" s="20" t="n"/>
      <c r="I120" s="30">
        <f>IF(H120="","",IFERROR(INDEX(VENDAS!$B$5:$B$1004,MATCH(H120,VENDAS!$A$5:$A$1004,0)),"não lançado"))</f>
        <v/>
      </c>
      <c r="J120" s="22">
        <f>IF(H120="","",IFERROR(INDEX(VENDAS!$M$5:$M$1004,MATCH(H120,VENDAS!$A$5:$A$1004,0))&amp;"",""))</f>
        <v/>
      </c>
      <c r="K120" s="22">
        <f>IF(H120="","",IFERROR(INDEX(VENDAS!$J$5:$J$1004,MATCH(H120,VENDAS!$A$5:$A$1004,0))&amp;"",""))</f>
        <v/>
      </c>
      <c r="L120" s="26">
        <f>IF(H120="","",SUMIFS(VENDAS!$F$5:$F$1004,VENDAS!$A$5:$A$1004,H120))</f>
        <v/>
      </c>
      <c r="M120" s="26">
        <f>IF(H120="","",SUMIFS(VENDAS!$F$5:$F$1004,VENDAS!$A$5:$A$1004,H120,VENDAS!$D$5:$D$1004,M$4))</f>
        <v/>
      </c>
      <c r="N120" s="26">
        <f>IF(H120="","",SUMIFS(VENDAS!$F$5:$F$1004,VENDAS!$A$5:$A$1004,H120,VENDAS!$D$5:$D$1004,N$4))</f>
        <v/>
      </c>
      <c r="O120" s="26">
        <f>IF(H120="","",SUMIFS(VENDAS!$F$5:$F$1004,VENDAS!$A$5:$A$1004,H120,VENDAS!$D$5:$D$1004,O$4))</f>
        <v/>
      </c>
      <c r="P120" s="26">
        <f>IF(H120="","",SUMIFS(VENDAS!$F$5:$F$1004,VENDAS!$A$5:$A$1004,H120,VENDAS!$D$5:$D$1004,P$4))</f>
        <v/>
      </c>
      <c r="Q120" s="24">
        <f>IF(H120="","",SUMIFS(VENDAS!$H$5:$H$1004,VENDAS!$A$5:$A$1004,H120))</f>
        <v/>
      </c>
      <c r="R120" s="24">
        <f>IF(H120="","",SUMIFS(VENDAS!$K$5:$K$1004,VENDAS!$A$5:$A$1004,H120))</f>
        <v/>
      </c>
      <c r="S120" s="20" t="n"/>
      <c r="T120" s="31" t="n"/>
    </row>
    <row r="121">
      <c r="H121" s="20" t="n"/>
      <c r="I121" s="30">
        <f>IF(H121="","",IFERROR(INDEX(VENDAS!$B$5:$B$1004,MATCH(H121,VENDAS!$A$5:$A$1004,0)),"não lançado"))</f>
        <v/>
      </c>
      <c r="J121" s="22">
        <f>IF(H121="","",IFERROR(INDEX(VENDAS!$M$5:$M$1004,MATCH(H121,VENDAS!$A$5:$A$1004,0))&amp;"",""))</f>
        <v/>
      </c>
      <c r="K121" s="22">
        <f>IF(H121="","",IFERROR(INDEX(VENDAS!$J$5:$J$1004,MATCH(H121,VENDAS!$A$5:$A$1004,0))&amp;"",""))</f>
        <v/>
      </c>
      <c r="L121" s="26">
        <f>IF(H121="","",SUMIFS(VENDAS!$F$5:$F$1004,VENDAS!$A$5:$A$1004,H121))</f>
        <v/>
      </c>
      <c r="M121" s="26">
        <f>IF(H121="","",SUMIFS(VENDAS!$F$5:$F$1004,VENDAS!$A$5:$A$1004,H121,VENDAS!$D$5:$D$1004,M$4))</f>
        <v/>
      </c>
      <c r="N121" s="26">
        <f>IF(H121="","",SUMIFS(VENDAS!$F$5:$F$1004,VENDAS!$A$5:$A$1004,H121,VENDAS!$D$5:$D$1004,N$4))</f>
        <v/>
      </c>
      <c r="O121" s="26">
        <f>IF(H121="","",SUMIFS(VENDAS!$F$5:$F$1004,VENDAS!$A$5:$A$1004,H121,VENDAS!$D$5:$D$1004,O$4))</f>
        <v/>
      </c>
      <c r="P121" s="26">
        <f>IF(H121="","",SUMIFS(VENDAS!$F$5:$F$1004,VENDAS!$A$5:$A$1004,H121,VENDAS!$D$5:$D$1004,P$4))</f>
        <v/>
      </c>
      <c r="Q121" s="24">
        <f>IF(H121="","",SUMIFS(VENDAS!$H$5:$H$1004,VENDAS!$A$5:$A$1004,H121))</f>
        <v/>
      </c>
      <c r="R121" s="24">
        <f>IF(H121="","",SUMIFS(VENDAS!$K$5:$K$1004,VENDAS!$A$5:$A$1004,H121))</f>
        <v/>
      </c>
      <c r="S121" s="20" t="n"/>
      <c r="T121" s="31" t="n"/>
    </row>
    <row r="122">
      <c r="H122" s="20" t="n"/>
      <c r="I122" s="30">
        <f>IF(H122="","",IFERROR(INDEX(VENDAS!$B$5:$B$1004,MATCH(H122,VENDAS!$A$5:$A$1004,0)),"não lançado"))</f>
        <v/>
      </c>
      <c r="J122" s="22">
        <f>IF(H122="","",IFERROR(INDEX(VENDAS!$M$5:$M$1004,MATCH(H122,VENDAS!$A$5:$A$1004,0))&amp;"",""))</f>
        <v/>
      </c>
      <c r="K122" s="22">
        <f>IF(H122="","",IFERROR(INDEX(VENDAS!$J$5:$J$1004,MATCH(H122,VENDAS!$A$5:$A$1004,0))&amp;"",""))</f>
        <v/>
      </c>
      <c r="L122" s="26">
        <f>IF(H122="","",SUMIFS(VENDAS!$F$5:$F$1004,VENDAS!$A$5:$A$1004,H122))</f>
        <v/>
      </c>
      <c r="M122" s="26">
        <f>IF(H122="","",SUMIFS(VENDAS!$F$5:$F$1004,VENDAS!$A$5:$A$1004,H122,VENDAS!$D$5:$D$1004,M$4))</f>
        <v/>
      </c>
      <c r="N122" s="26">
        <f>IF(H122="","",SUMIFS(VENDAS!$F$5:$F$1004,VENDAS!$A$5:$A$1004,H122,VENDAS!$D$5:$D$1004,N$4))</f>
        <v/>
      </c>
      <c r="O122" s="26">
        <f>IF(H122="","",SUMIFS(VENDAS!$F$5:$F$1004,VENDAS!$A$5:$A$1004,H122,VENDAS!$D$5:$D$1004,O$4))</f>
        <v/>
      </c>
      <c r="P122" s="26">
        <f>IF(H122="","",SUMIFS(VENDAS!$F$5:$F$1004,VENDAS!$A$5:$A$1004,H122,VENDAS!$D$5:$D$1004,P$4))</f>
        <v/>
      </c>
      <c r="Q122" s="24">
        <f>IF(H122="","",SUMIFS(VENDAS!$H$5:$H$1004,VENDAS!$A$5:$A$1004,H122))</f>
        <v/>
      </c>
      <c r="R122" s="24">
        <f>IF(H122="","",SUMIFS(VENDAS!$K$5:$K$1004,VENDAS!$A$5:$A$1004,H122))</f>
        <v/>
      </c>
      <c r="S122" s="20" t="n"/>
      <c r="T122" s="31" t="n"/>
    </row>
    <row r="123">
      <c r="H123" s="20" t="n"/>
      <c r="I123" s="30">
        <f>IF(H123="","",IFERROR(INDEX(VENDAS!$B$5:$B$1004,MATCH(H123,VENDAS!$A$5:$A$1004,0)),"não lançado"))</f>
        <v/>
      </c>
      <c r="J123" s="22">
        <f>IF(H123="","",IFERROR(INDEX(VENDAS!$M$5:$M$1004,MATCH(H123,VENDAS!$A$5:$A$1004,0))&amp;"",""))</f>
        <v/>
      </c>
      <c r="K123" s="22">
        <f>IF(H123="","",IFERROR(INDEX(VENDAS!$J$5:$J$1004,MATCH(H123,VENDAS!$A$5:$A$1004,0))&amp;"",""))</f>
        <v/>
      </c>
      <c r="L123" s="26">
        <f>IF(H123="","",SUMIFS(VENDAS!$F$5:$F$1004,VENDAS!$A$5:$A$1004,H123))</f>
        <v/>
      </c>
      <c r="M123" s="26">
        <f>IF(H123="","",SUMIFS(VENDAS!$F$5:$F$1004,VENDAS!$A$5:$A$1004,H123,VENDAS!$D$5:$D$1004,M$4))</f>
        <v/>
      </c>
      <c r="N123" s="26">
        <f>IF(H123="","",SUMIFS(VENDAS!$F$5:$F$1004,VENDAS!$A$5:$A$1004,H123,VENDAS!$D$5:$D$1004,N$4))</f>
        <v/>
      </c>
      <c r="O123" s="26">
        <f>IF(H123="","",SUMIFS(VENDAS!$F$5:$F$1004,VENDAS!$A$5:$A$1004,H123,VENDAS!$D$5:$D$1004,O$4))</f>
        <v/>
      </c>
      <c r="P123" s="26">
        <f>IF(H123="","",SUMIFS(VENDAS!$F$5:$F$1004,VENDAS!$A$5:$A$1004,H123,VENDAS!$D$5:$D$1004,P$4))</f>
        <v/>
      </c>
      <c r="Q123" s="24">
        <f>IF(H123="","",SUMIFS(VENDAS!$H$5:$H$1004,VENDAS!$A$5:$A$1004,H123))</f>
        <v/>
      </c>
      <c r="R123" s="24">
        <f>IF(H123="","",SUMIFS(VENDAS!$K$5:$K$1004,VENDAS!$A$5:$A$1004,H123))</f>
        <v/>
      </c>
      <c r="S123" s="20" t="n"/>
      <c r="T123" s="31" t="n"/>
    </row>
    <row r="124">
      <c r="H124" s="20" t="n"/>
      <c r="I124" s="30">
        <f>IF(H124="","",IFERROR(INDEX(VENDAS!$B$5:$B$1004,MATCH(H124,VENDAS!$A$5:$A$1004,0)),"não lançado"))</f>
        <v/>
      </c>
      <c r="J124" s="22">
        <f>IF(H124="","",IFERROR(INDEX(VENDAS!$M$5:$M$1004,MATCH(H124,VENDAS!$A$5:$A$1004,0))&amp;"",""))</f>
        <v/>
      </c>
      <c r="K124" s="22">
        <f>IF(H124="","",IFERROR(INDEX(VENDAS!$J$5:$J$1004,MATCH(H124,VENDAS!$A$5:$A$1004,0))&amp;"",""))</f>
        <v/>
      </c>
      <c r="L124" s="26">
        <f>IF(H124="","",SUMIFS(VENDAS!$F$5:$F$1004,VENDAS!$A$5:$A$1004,H124))</f>
        <v/>
      </c>
      <c r="M124" s="26">
        <f>IF(H124="","",SUMIFS(VENDAS!$F$5:$F$1004,VENDAS!$A$5:$A$1004,H124,VENDAS!$D$5:$D$1004,M$4))</f>
        <v/>
      </c>
      <c r="N124" s="26">
        <f>IF(H124="","",SUMIFS(VENDAS!$F$5:$F$1004,VENDAS!$A$5:$A$1004,H124,VENDAS!$D$5:$D$1004,N$4))</f>
        <v/>
      </c>
      <c r="O124" s="26">
        <f>IF(H124="","",SUMIFS(VENDAS!$F$5:$F$1004,VENDAS!$A$5:$A$1004,H124,VENDAS!$D$5:$D$1004,O$4))</f>
        <v/>
      </c>
      <c r="P124" s="26">
        <f>IF(H124="","",SUMIFS(VENDAS!$F$5:$F$1004,VENDAS!$A$5:$A$1004,H124,VENDAS!$D$5:$D$1004,P$4))</f>
        <v/>
      </c>
      <c r="Q124" s="24">
        <f>IF(H124="","",SUMIFS(VENDAS!$H$5:$H$1004,VENDAS!$A$5:$A$1004,H124))</f>
        <v/>
      </c>
      <c r="R124" s="24">
        <f>IF(H124="","",SUMIFS(VENDAS!$K$5:$K$1004,VENDAS!$A$5:$A$1004,H124))</f>
        <v/>
      </c>
      <c r="S124" s="20" t="n"/>
      <c r="T124" s="31" t="n"/>
    </row>
    <row r="125">
      <c r="H125" s="20" t="n"/>
      <c r="I125" s="30">
        <f>IF(H125="","",IFERROR(INDEX(VENDAS!$B$5:$B$1004,MATCH(H125,VENDAS!$A$5:$A$1004,0)),"não lançado"))</f>
        <v/>
      </c>
      <c r="J125" s="22">
        <f>IF(H125="","",IFERROR(INDEX(VENDAS!$M$5:$M$1004,MATCH(H125,VENDAS!$A$5:$A$1004,0))&amp;"",""))</f>
        <v/>
      </c>
      <c r="K125" s="22">
        <f>IF(H125="","",IFERROR(INDEX(VENDAS!$J$5:$J$1004,MATCH(H125,VENDAS!$A$5:$A$1004,0))&amp;"",""))</f>
        <v/>
      </c>
      <c r="L125" s="26">
        <f>IF(H125="","",SUMIFS(VENDAS!$F$5:$F$1004,VENDAS!$A$5:$A$1004,H125))</f>
        <v/>
      </c>
      <c r="M125" s="26">
        <f>IF(H125="","",SUMIFS(VENDAS!$F$5:$F$1004,VENDAS!$A$5:$A$1004,H125,VENDAS!$D$5:$D$1004,M$4))</f>
        <v/>
      </c>
      <c r="N125" s="26">
        <f>IF(H125="","",SUMIFS(VENDAS!$F$5:$F$1004,VENDAS!$A$5:$A$1004,H125,VENDAS!$D$5:$D$1004,N$4))</f>
        <v/>
      </c>
      <c r="O125" s="26">
        <f>IF(H125="","",SUMIFS(VENDAS!$F$5:$F$1004,VENDAS!$A$5:$A$1004,H125,VENDAS!$D$5:$D$1004,O$4))</f>
        <v/>
      </c>
      <c r="P125" s="26">
        <f>IF(H125="","",SUMIFS(VENDAS!$F$5:$F$1004,VENDAS!$A$5:$A$1004,H125,VENDAS!$D$5:$D$1004,P$4))</f>
        <v/>
      </c>
      <c r="Q125" s="24">
        <f>IF(H125="","",SUMIFS(VENDAS!$H$5:$H$1004,VENDAS!$A$5:$A$1004,H125))</f>
        <v/>
      </c>
      <c r="R125" s="24">
        <f>IF(H125="","",SUMIFS(VENDAS!$K$5:$K$1004,VENDAS!$A$5:$A$1004,H125))</f>
        <v/>
      </c>
      <c r="S125" s="20" t="n"/>
      <c r="T125" s="31" t="n"/>
    </row>
    <row r="126">
      <c r="H126" s="20" t="n"/>
      <c r="I126" s="30">
        <f>IF(H126="","",IFERROR(INDEX(VENDAS!$B$5:$B$1004,MATCH(H126,VENDAS!$A$5:$A$1004,0)),"não lançado"))</f>
        <v/>
      </c>
      <c r="J126" s="22">
        <f>IF(H126="","",IFERROR(INDEX(VENDAS!$M$5:$M$1004,MATCH(H126,VENDAS!$A$5:$A$1004,0))&amp;"",""))</f>
        <v/>
      </c>
      <c r="K126" s="22">
        <f>IF(H126="","",IFERROR(INDEX(VENDAS!$J$5:$J$1004,MATCH(H126,VENDAS!$A$5:$A$1004,0))&amp;"",""))</f>
        <v/>
      </c>
      <c r="L126" s="26">
        <f>IF(H126="","",SUMIFS(VENDAS!$F$5:$F$1004,VENDAS!$A$5:$A$1004,H126))</f>
        <v/>
      </c>
      <c r="M126" s="26">
        <f>IF(H126="","",SUMIFS(VENDAS!$F$5:$F$1004,VENDAS!$A$5:$A$1004,H126,VENDAS!$D$5:$D$1004,M$4))</f>
        <v/>
      </c>
      <c r="N126" s="26">
        <f>IF(H126="","",SUMIFS(VENDAS!$F$5:$F$1004,VENDAS!$A$5:$A$1004,H126,VENDAS!$D$5:$D$1004,N$4))</f>
        <v/>
      </c>
      <c r="O126" s="26">
        <f>IF(H126="","",SUMIFS(VENDAS!$F$5:$F$1004,VENDAS!$A$5:$A$1004,H126,VENDAS!$D$5:$D$1004,O$4))</f>
        <v/>
      </c>
      <c r="P126" s="26">
        <f>IF(H126="","",SUMIFS(VENDAS!$F$5:$F$1004,VENDAS!$A$5:$A$1004,H126,VENDAS!$D$5:$D$1004,P$4))</f>
        <v/>
      </c>
      <c r="Q126" s="24">
        <f>IF(H126="","",SUMIFS(VENDAS!$H$5:$H$1004,VENDAS!$A$5:$A$1004,H126))</f>
        <v/>
      </c>
      <c r="R126" s="24">
        <f>IF(H126="","",SUMIFS(VENDAS!$K$5:$K$1004,VENDAS!$A$5:$A$1004,H126))</f>
        <v/>
      </c>
      <c r="S126" s="20" t="n"/>
      <c r="T126" s="31" t="n"/>
    </row>
    <row r="127">
      <c r="H127" s="20" t="n"/>
      <c r="I127" s="30">
        <f>IF(H127="","",IFERROR(INDEX(VENDAS!$B$5:$B$1004,MATCH(H127,VENDAS!$A$5:$A$1004,0)),"não lançado"))</f>
        <v/>
      </c>
      <c r="J127" s="22">
        <f>IF(H127="","",IFERROR(INDEX(VENDAS!$M$5:$M$1004,MATCH(H127,VENDAS!$A$5:$A$1004,0))&amp;"",""))</f>
        <v/>
      </c>
      <c r="K127" s="22">
        <f>IF(H127="","",IFERROR(INDEX(VENDAS!$J$5:$J$1004,MATCH(H127,VENDAS!$A$5:$A$1004,0))&amp;"",""))</f>
        <v/>
      </c>
      <c r="L127" s="26">
        <f>IF(H127="","",SUMIFS(VENDAS!$F$5:$F$1004,VENDAS!$A$5:$A$1004,H127))</f>
        <v/>
      </c>
      <c r="M127" s="26">
        <f>IF(H127="","",SUMIFS(VENDAS!$F$5:$F$1004,VENDAS!$A$5:$A$1004,H127,VENDAS!$D$5:$D$1004,M$4))</f>
        <v/>
      </c>
      <c r="N127" s="26">
        <f>IF(H127="","",SUMIFS(VENDAS!$F$5:$F$1004,VENDAS!$A$5:$A$1004,H127,VENDAS!$D$5:$D$1004,N$4))</f>
        <v/>
      </c>
      <c r="O127" s="26">
        <f>IF(H127="","",SUMIFS(VENDAS!$F$5:$F$1004,VENDAS!$A$5:$A$1004,H127,VENDAS!$D$5:$D$1004,O$4))</f>
        <v/>
      </c>
      <c r="P127" s="26">
        <f>IF(H127="","",SUMIFS(VENDAS!$F$5:$F$1004,VENDAS!$A$5:$A$1004,H127,VENDAS!$D$5:$D$1004,P$4))</f>
        <v/>
      </c>
      <c r="Q127" s="24">
        <f>IF(H127="","",SUMIFS(VENDAS!$H$5:$H$1004,VENDAS!$A$5:$A$1004,H127))</f>
        <v/>
      </c>
      <c r="R127" s="24">
        <f>IF(H127="","",SUMIFS(VENDAS!$K$5:$K$1004,VENDAS!$A$5:$A$1004,H127))</f>
        <v/>
      </c>
      <c r="S127" s="20" t="n"/>
      <c r="T127" s="31" t="n"/>
    </row>
    <row r="128">
      <c r="H128" s="20" t="n"/>
      <c r="I128" s="30">
        <f>IF(H128="","",IFERROR(INDEX(VENDAS!$B$5:$B$1004,MATCH(H128,VENDAS!$A$5:$A$1004,0)),"não lançado"))</f>
        <v/>
      </c>
      <c r="J128" s="22">
        <f>IF(H128="","",IFERROR(INDEX(VENDAS!$M$5:$M$1004,MATCH(H128,VENDAS!$A$5:$A$1004,0))&amp;"",""))</f>
        <v/>
      </c>
      <c r="K128" s="22">
        <f>IF(H128="","",IFERROR(INDEX(VENDAS!$J$5:$J$1004,MATCH(H128,VENDAS!$A$5:$A$1004,0))&amp;"",""))</f>
        <v/>
      </c>
      <c r="L128" s="26">
        <f>IF(H128="","",SUMIFS(VENDAS!$F$5:$F$1004,VENDAS!$A$5:$A$1004,H128))</f>
        <v/>
      </c>
      <c r="M128" s="26">
        <f>IF(H128="","",SUMIFS(VENDAS!$F$5:$F$1004,VENDAS!$A$5:$A$1004,H128,VENDAS!$D$5:$D$1004,M$4))</f>
        <v/>
      </c>
      <c r="N128" s="26">
        <f>IF(H128="","",SUMIFS(VENDAS!$F$5:$F$1004,VENDAS!$A$5:$A$1004,H128,VENDAS!$D$5:$D$1004,N$4))</f>
        <v/>
      </c>
      <c r="O128" s="26">
        <f>IF(H128="","",SUMIFS(VENDAS!$F$5:$F$1004,VENDAS!$A$5:$A$1004,H128,VENDAS!$D$5:$D$1004,O$4))</f>
        <v/>
      </c>
      <c r="P128" s="26">
        <f>IF(H128="","",SUMIFS(VENDAS!$F$5:$F$1004,VENDAS!$A$5:$A$1004,H128,VENDAS!$D$5:$D$1004,P$4))</f>
        <v/>
      </c>
      <c r="Q128" s="24">
        <f>IF(H128="","",SUMIFS(VENDAS!$H$5:$H$1004,VENDAS!$A$5:$A$1004,H128))</f>
        <v/>
      </c>
      <c r="R128" s="24">
        <f>IF(H128="","",SUMIFS(VENDAS!$K$5:$K$1004,VENDAS!$A$5:$A$1004,H128))</f>
        <v/>
      </c>
      <c r="S128" s="20" t="n"/>
      <c r="T128" s="31" t="n"/>
    </row>
    <row r="129">
      <c r="H129" s="20" t="n"/>
      <c r="I129" s="30">
        <f>IF(H129="","",IFERROR(INDEX(VENDAS!$B$5:$B$1004,MATCH(H129,VENDAS!$A$5:$A$1004,0)),"não lançado"))</f>
        <v/>
      </c>
      <c r="J129" s="22">
        <f>IF(H129="","",IFERROR(INDEX(VENDAS!$M$5:$M$1004,MATCH(H129,VENDAS!$A$5:$A$1004,0))&amp;"",""))</f>
        <v/>
      </c>
      <c r="K129" s="22">
        <f>IF(H129="","",IFERROR(INDEX(VENDAS!$J$5:$J$1004,MATCH(H129,VENDAS!$A$5:$A$1004,0))&amp;"",""))</f>
        <v/>
      </c>
      <c r="L129" s="26">
        <f>IF(H129="","",SUMIFS(VENDAS!$F$5:$F$1004,VENDAS!$A$5:$A$1004,H129))</f>
        <v/>
      </c>
      <c r="M129" s="26">
        <f>IF(H129="","",SUMIFS(VENDAS!$F$5:$F$1004,VENDAS!$A$5:$A$1004,H129,VENDAS!$D$5:$D$1004,M$4))</f>
        <v/>
      </c>
      <c r="N129" s="26">
        <f>IF(H129="","",SUMIFS(VENDAS!$F$5:$F$1004,VENDAS!$A$5:$A$1004,H129,VENDAS!$D$5:$D$1004,N$4))</f>
        <v/>
      </c>
      <c r="O129" s="26">
        <f>IF(H129="","",SUMIFS(VENDAS!$F$5:$F$1004,VENDAS!$A$5:$A$1004,H129,VENDAS!$D$5:$D$1004,O$4))</f>
        <v/>
      </c>
      <c r="P129" s="26">
        <f>IF(H129="","",SUMIFS(VENDAS!$F$5:$F$1004,VENDAS!$A$5:$A$1004,H129,VENDAS!$D$5:$D$1004,P$4))</f>
        <v/>
      </c>
      <c r="Q129" s="24">
        <f>IF(H129="","",SUMIFS(VENDAS!$H$5:$H$1004,VENDAS!$A$5:$A$1004,H129))</f>
        <v/>
      </c>
      <c r="R129" s="24">
        <f>IF(H129="","",SUMIFS(VENDAS!$K$5:$K$1004,VENDAS!$A$5:$A$1004,H129))</f>
        <v/>
      </c>
      <c r="S129" s="20" t="n"/>
      <c r="T129" s="31" t="n"/>
    </row>
    <row r="130">
      <c r="H130" s="20" t="n"/>
      <c r="I130" s="30">
        <f>IF(H130="","",IFERROR(INDEX(VENDAS!$B$5:$B$1004,MATCH(H130,VENDAS!$A$5:$A$1004,0)),"não lançado"))</f>
        <v/>
      </c>
      <c r="J130" s="22">
        <f>IF(H130="","",IFERROR(INDEX(VENDAS!$M$5:$M$1004,MATCH(H130,VENDAS!$A$5:$A$1004,0))&amp;"",""))</f>
        <v/>
      </c>
      <c r="K130" s="22">
        <f>IF(H130="","",IFERROR(INDEX(VENDAS!$J$5:$J$1004,MATCH(H130,VENDAS!$A$5:$A$1004,0))&amp;"",""))</f>
        <v/>
      </c>
      <c r="L130" s="26">
        <f>IF(H130="","",SUMIFS(VENDAS!$F$5:$F$1004,VENDAS!$A$5:$A$1004,H130))</f>
        <v/>
      </c>
      <c r="M130" s="26">
        <f>IF(H130="","",SUMIFS(VENDAS!$F$5:$F$1004,VENDAS!$A$5:$A$1004,H130,VENDAS!$D$5:$D$1004,M$4))</f>
        <v/>
      </c>
      <c r="N130" s="26">
        <f>IF(H130="","",SUMIFS(VENDAS!$F$5:$F$1004,VENDAS!$A$5:$A$1004,H130,VENDAS!$D$5:$D$1004,N$4))</f>
        <v/>
      </c>
      <c r="O130" s="26">
        <f>IF(H130="","",SUMIFS(VENDAS!$F$5:$F$1004,VENDAS!$A$5:$A$1004,H130,VENDAS!$D$5:$D$1004,O$4))</f>
        <v/>
      </c>
      <c r="P130" s="26">
        <f>IF(H130="","",SUMIFS(VENDAS!$F$5:$F$1004,VENDAS!$A$5:$A$1004,H130,VENDAS!$D$5:$D$1004,P$4))</f>
        <v/>
      </c>
      <c r="Q130" s="24">
        <f>IF(H130="","",SUMIFS(VENDAS!$H$5:$H$1004,VENDAS!$A$5:$A$1004,H130))</f>
        <v/>
      </c>
      <c r="R130" s="24">
        <f>IF(H130="","",SUMIFS(VENDAS!$K$5:$K$1004,VENDAS!$A$5:$A$1004,H130))</f>
        <v/>
      </c>
      <c r="S130" s="20" t="n"/>
      <c r="T130" s="31" t="n"/>
    </row>
    <row r="131">
      <c r="H131" s="20" t="n"/>
      <c r="I131" s="30">
        <f>IF(H131="","",IFERROR(INDEX(VENDAS!$B$5:$B$1004,MATCH(H131,VENDAS!$A$5:$A$1004,0)),"não lançado"))</f>
        <v/>
      </c>
      <c r="J131" s="22">
        <f>IF(H131="","",IFERROR(INDEX(VENDAS!$M$5:$M$1004,MATCH(H131,VENDAS!$A$5:$A$1004,0))&amp;"",""))</f>
        <v/>
      </c>
      <c r="K131" s="22">
        <f>IF(H131="","",IFERROR(INDEX(VENDAS!$J$5:$J$1004,MATCH(H131,VENDAS!$A$5:$A$1004,0))&amp;"",""))</f>
        <v/>
      </c>
      <c r="L131" s="26">
        <f>IF(H131="","",SUMIFS(VENDAS!$F$5:$F$1004,VENDAS!$A$5:$A$1004,H131))</f>
        <v/>
      </c>
      <c r="M131" s="26">
        <f>IF(H131="","",SUMIFS(VENDAS!$F$5:$F$1004,VENDAS!$A$5:$A$1004,H131,VENDAS!$D$5:$D$1004,M$4))</f>
        <v/>
      </c>
      <c r="N131" s="26">
        <f>IF(H131="","",SUMIFS(VENDAS!$F$5:$F$1004,VENDAS!$A$5:$A$1004,H131,VENDAS!$D$5:$D$1004,N$4))</f>
        <v/>
      </c>
      <c r="O131" s="26">
        <f>IF(H131="","",SUMIFS(VENDAS!$F$5:$F$1004,VENDAS!$A$5:$A$1004,H131,VENDAS!$D$5:$D$1004,O$4))</f>
        <v/>
      </c>
      <c r="P131" s="26">
        <f>IF(H131="","",SUMIFS(VENDAS!$F$5:$F$1004,VENDAS!$A$5:$A$1004,H131,VENDAS!$D$5:$D$1004,P$4))</f>
        <v/>
      </c>
      <c r="Q131" s="24">
        <f>IF(H131="","",SUMIFS(VENDAS!$H$5:$H$1004,VENDAS!$A$5:$A$1004,H131))</f>
        <v/>
      </c>
      <c r="R131" s="24">
        <f>IF(H131="","",SUMIFS(VENDAS!$K$5:$K$1004,VENDAS!$A$5:$A$1004,H131))</f>
        <v/>
      </c>
      <c r="S131" s="20" t="n"/>
      <c r="T131" s="31" t="n"/>
    </row>
    <row r="132">
      <c r="H132" s="20" t="n"/>
      <c r="I132" s="30">
        <f>IF(H132="","",IFERROR(INDEX(VENDAS!$B$5:$B$1004,MATCH(H132,VENDAS!$A$5:$A$1004,0)),"não lançado"))</f>
        <v/>
      </c>
      <c r="J132" s="22">
        <f>IF(H132="","",IFERROR(INDEX(VENDAS!$M$5:$M$1004,MATCH(H132,VENDAS!$A$5:$A$1004,0))&amp;"",""))</f>
        <v/>
      </c>
      <c r="K132" s="22">
        <f>IF(H132="","",IFERROR(INDEX(VENDAS!$J$5:$J$1004,MATCH(H132,VENDAS!$A$5:$A$1004,0))&amp;"",""))</f>
        <v/>
      </c>
      <c r="L132" s="26">
        <f>IF(H132="","",SUMIFS(VENDAS!$F$5:$F$1004,VENDAS!$A$5:$A$1004,H132))</f>
        <v/>
      </c>
      <c r="M132" s="26">
        <f>IF(H132="","",SUMIFS(VENDAS!$F$5:$F$1004,VENDAS!$A$5:$A$1004,H132,VENDAS!$D$5:$D$1004,M$4))</f>
        <v/>
      </c>
      <c r="N132" s="26">
        <f>IF(H132="","",SUMIFS(VENDAS!$F$5:$F$1004,VENDAS!$A$5:$A$1004,H132,VENDAS!$D$5:$D$1004,N$4))</f>
        <v/>
      </c>
      <c r="O132" s="26">
        <f>IF(H132="","",SUMIFS(VENDAS!$F$5:$F$1004,VENDAS!$A$5:$A$1004,H132,VENDAS!$D$5:$D$1004,O$4))</f>
        <v/>
      </c>
      <c r="P132" s="26">
        <f>IF(H132="","",SUMIFS(VENDAS!$F$5:$F$1004,VENDAS!$A$5:$A$1004,H132,VENDAS!$D$5:$D$1004,P$4))</f>
        <v/>
      </c>
      <c r="Q132" s="24">
        <f>IF(H132="","",SUMIFS(VENDAS!$H$5:$H$1004,VENDAS!$A$5:$A$1004,H132))</f>
        <v/>
      </c>
      <c r="R132" s="24">
        <f>IF(H132="","",SUMIFS(VENDAS!$K$5:$K$1004,VENDAS!$A$5:$A$1004,H132))</f>
        <v/>
      </c>
      <c r="S132" s="20" t="n"/>
      <c r="T132" s="31" t="n"/>
    </row>
    <row r="133">
      <c r="H133" s="20" t="n"/>
      <c r="I133" s="30">
        <f>IF(H133="","",IFERROR(INDEX(VENDAS!$B$5:$B$1004,MATCH(H133,VENDAS!$A$5:$A$1004,0)),"não lançado"))</f>
        <v/>
      </c>
      <c r="J133" s="22">
        <f>IF(H133="","",IFERROR(INDEX(VENDAS!$M$5:$M$1004,MATCH(H133,VENDAS!$A$5:$A$1004,0))&amp;"",""))</f>
        <v/>
      </c>
      <c r="K133" s="22">
        <f>IF(H133="","",IFERROR(INDEX(VENDAS!$J$5:$J$1004,MATCH(H133,VENDAS!$A$5:$A$1004,0))&amp;"",""))</f>
        <v/>
      </c>
      <c r="L133" s="26">
        <f>IF(H133="","",SUMIFS(VENDAS!$F$5:$F$1004,VENDAS!$A$5:$A$1004,H133))</f>
        <v/>
      </c>
      <c r="M133" s="26">
        <f>IF(H133="","",SUMIFS(VENDAS!$F$5:$F$1004,VENDAS!$A$5:$A$1004,H133,VENDAS!$D$5:$D$1004,M$4))</f>
        <v/>
      </c>
      <c r="N133" s="26">
        <f>IF(H133="","",SUMIFS(VENDAS!$F$5:$F$1004,VENDAS!$A$5:$A$1004,H133,VENDAS!$D$5:$D$1004,N$4))</f>
        <v/>
      </c>
      <c r="O133" s="26">
        <f>IF(H133="","",SUMIFS(VENDAS!$F$5:$F$1004,VENDAS!$A$5:$A$1004,H133,VENDAS!$D$5:$D$1004,O$4))</f>
        <v/>
      </c>
      <c r="P133" s="26">
        <f>IF(H133="","",SUMIFS(VENDAS!$F$5:$F$1004,VENDAS!$A$5:$A$1004,H133,VENDAS!$D$5:$D$1004,P$4))</f>
        <v/>
      </c>
      <c r="Q133" s="24">
        <f>IF(H133="","",SUMIFS(VENDAS!$H$5:$H$1004,VENDAS!$A$5:$A$1004,H133))</f>
        <v/>
      </c>
      <c r="R133" s="24">
        <f>IF(H133="","",SUMIFS(VENDAS!$K$5:$K$1004,VENDAS!$A$5:$A$1004,H133))</f>
        <v/>
      </c>
      <c r="S133" s="20" t="n"/>
      <c r="T133" s="31" t="n"/>
    </row>
    <row r="134">
      <c r="H134" s="20" t="n"/>
      <c r="I134" s="30">
        <f>IF(H134="","",IFERROR(INDEX(VENDAS!$B$5:$B$1004,MATCH(H134,VENDAS!$A$5:$A$1004,0)),"não lançado"))</f>
        <v/>
      </c>
      <c r="J134" s="22">
        <f>IF(H134="","",IFERROR(INDEX(VENDAS!$M$5:$M$1004,MATCH(H134,VENDAS!$A$5:$A$1004,0))&amp;"",""))</f>
        <v/>
      </c>
      <c r="K134" s="22">
        <f>IF(H134="","",IFERROR(INDEX(VENDAS!$J$5:$J$1004,MATCH(H134,VENDAS!$A$5:$A$1004,0))&amp;"",""))</f>
        <v/>
      </c>
      <c r="L134" s="26">
        <f>IF(H134="","",SUMIFS(VENDAS!$F$5:$F$1004,VENDAS!$A$5:$A$1004,H134))</f>
        <v/>
      </c>
      <c r="M134" s="26">
        <f>IF(H134="","",SUMIFS(VENDAS!$F$5:$F$1004,VENDAS!$A$5:$A$1004,H134,VENDAS!$D$5:$D$1004,M$4))</f>
        <v/>
      </c>
      <c r="N134" s="26">
        <f>IF(H134="","",SUMIFS(VENDAS!$F$5:$F$1004,VENDAS!$A$5:$A$1004,H134,VENDAS!$D$5:$D$1004,N$4))</f>
        <v/>
      </c>
      <c r="O134" s="26">
        <f>IF(H134="","",SUMIFS(VENDAS!$F$5:$F$1004,VENDAS!$A$5:$A$1004,H134,VENDAS!$D$5:$D$1004,O$4))</f>
        <v/>
      </c>
      <c r="P134" s="26">
        <f>IF(H134="","",SUMIFS(VENDAS!$F$5:$F$1004,VENDAS!$A$5:$A$1004,H134,VENDAS!$D$5:$D$1004,P$4))</f>
        <v/>
      </c>
      <c r="Q134" s="24">
        <f>IF(H134="","",SUMIFS(VENDAS!$H$5:$H$1004,VENDAS!$A$5:$A$1004,H134))</f>
        <v/>
      </c>
      <c r="R134" s="24">
        <f>IF(H134="","",SUMIFS(VENDAS!$K$5:$K$1004,VENDAS!$A$5:$A$1004,H134))</f>
        <v/>
      </c>
      <c r="S134" s="20" t="n"/>
      <c r="T134" s="31" t="n"/>
    </row>
    <row r="135">
      <c r="H135" s="20" t="n"/>
      <c r="I135" s="30">
        <f>IF(H135="","",IFERROR(INDEX(VENDAS!$B$5:$B$1004,MATCH(H135,VENDAS!$A$5:$A$1004,0)),"não lançado"))</f>
        <v/>
      </c>
      <c r="J135" s="22">
        <f>IF(H135="","",IFERROR(INDEX(VENDAS!$M$5:$M$1004,MATCH(H135,VENDAS!$A$5:$A$1004,0))&amp;"",""))</f>
        <v/>
      </c>
      <c r="K135" s="22">
        <f>IF(H135="","",IFERROR(INDEX(VENDAS!$J$5:$J$1004,MATCH(H135,VENDAS!$A$5:$A$1004,0))&amp;"",""))</f>
        <v/>
      </c>
      <c r="L135" s="26">
        <f>IF(H135="","",SUMIFS(VENDAS!$F$5:$F$1004,VENDAS!$A$5:$A$1004,H135))</f>
        <v/>
      </c>
      <c r="M135" s="26">
        <f>IF(H135="","",SUMIFS(VENDAS!$F$5:$F$1004,VENDAS!$A$5:$A$1004,H135,VENDAS!$D$5:$D$1004,M$4))</f>
        <v/>
      </c>
      <c r="N135" s="26">
        <f>IF(H135="","",SUMIFS(VENDAS!$F$5:$F$1004,VENDAS!$A$5:$A$1004,H135,VENDAS!$D$5:$D$1004,N$4))</f>
        <v/>
      </c>
      <c r="O135" s="26">
        <f>IF(H135="","",SUMIFS(VENDAS!$F$5:$F$1004,VENDAS!$A$5:$A$1004,H135,VENDAS!$D$5:$D$1004,O$4))</f>
        <v/>
      </c>
      <c r="P135" s="26">
        <f>IF(H135="","",SUMIFS(VENDAS!$F$5:$F$1004,VENDAS!$A$5:$A$1004,H135,VENDAS!$D$5:$D$1004,P$4))</f>
        <v/>
      </c>
      <c r="Q135" s="24">
        <f>IF(H135="","",SUMIFS(VENDAS!$H$5:$H$1004,VENDAS!$A$5:$A$1004,H135))</f>
        <v/>
      </c>
      <c r="R135" s="24">
        <f>IF(H135="","",SUMIFS(VENDAS!$K$5:$K$1004,VENDAS!$A$5:$A$1004,H135))</f>
        <v/>
      </c>
      <c r="S135" s="20" t="n"/>
      <c r="T135" s="31" t="n"/>
    </row>
    <row r="136">
      <c r="H136" s="20" t="n"/>
      <c r="I136" s="30">
        <f>IF(H136="","",IFERROR(INDEX(VENDAS!$B$5:$B$1004,MATCH(H136,VENDAS!$A$5:$A$1004,0)),"não lançado"))</f>
        <v/>
      </c>
      <c r="J136" s="22">
        <f>IF(H136="","",IFERROR(INDEX(VENDAS!$M$5:$M$1004,MATCH(H136,VENDAS!$A$5:$A$1004,0))&amp;"",""))</f>
        <v/>
      </c>
      <c r="K136" s="22">
        <f>IF(H136="","",IFERROR(INDEX(VENDAS!$J$5:$J$1004,MATCH(H136,VENDAS!$A$5:$A$1004,0))&amp;"",""))</f>
        <v/>
      </c>
      <c r="L136" s="26">
        <f>IF(H136="","",SUMIFS(VENDAS!$F$5:$F$1004,VENDAS!$A$5:$A$1004,H136))</f>
        <v/>
      </c>
      <c r="M136" s="26">
        <f>IF(H136="","",SUMIFS(VENDAS!$F$5:$F$1004,VENDAS!$A$5:$A$1004,H136,VENDAS!$D$5:$D$1004,M$4))</f>
        <v/>
      </c>
      <c r="N136" s="26">
        <f>IF(H136="","",SUMIFS(VENDAS!$F$5:$F$1004,VENDAS!$A$5:$A$1004,H136,VENDAS!$D$5:$D$1004,N$4))</f>
        <v/>
      </c>
      <c r="O136" s="26">
        <f>IF(H136="","",SUMIFS(VENDAS!$F$5:$F$1004,VENDAS!$A$5:$A$1004,H136,VENDAS!$D$5:$D$1004,O$4))</f>
        <v/>
      </c>
      <c r="P136" s="26">
        <f>IF(H136="","",SUMIFS(VENDAS!$F$5:$F$1004,VENDAS!$A$5:$A$1004,H136,VENDAS!$D$5:$D$1004,P$4))</f>
        <v/>
      </c>
      <c r="Q136" s="24">
        <f>IF(H136="","",SUMIFS(VENDAS!$H$5:$H$1004,VENDAS!$A$5:$A$1004,H136))</f>
        <v/>
      </c>
      <c r="R136" s="24">
        <f>IF(H136="","",SUMIFS(VENDAS!$K$5:$K$1004,VENDAS!$A$5:$A$1004,H136))</f>
        <v/>
      </c>
      <c r="S136" s="20" t="n"/>
      <c r="T136" s="31" t="n"/>
    </row>
    <row r="137">
      <c r="H137" s="20" t="n"/>
      <c r="I137" s="30">
        <f>IF(H137="","",IFERROR(INDEX(VENDAS!$B$5:$B$1004,MATCH(H137,VENDAS!$A$5:$A$1004,0)),"não lançado"))</f>
        <v/>
      </c>
      <c r="J137" s="22">
        <f>IF(H137="","",IFERROR(INDEX(VENDAS!$M$5:$M$1004,MATCH(H137,VENDAS!$A$5:$A$1004,0))&amp;"",""))</f>
        <v/>
      </c>
      <c r="K137" s="22">
        <f>IF(H137="","",IFERROR(INDEX(VENDAS!$J$5:$J$1004,MATCH(H137,VENDAS!$A$5:$A$1004,0))&amp;"",""))</f>
        <v/>
      </c>
      <c r="L137" s="26">
        <f>IF(H137="","",SUMIFS(VENDAS!$F$5:$F$1004,VENDAS!$A$5:$A$1004,H137))</f>
        <v/>
      </c>
      <c r="M137" s="26">
        <f>IF(H137="","",SUMIFS(VENDAS!$F$5:$F$1004,VENDAS!$A$5:$A$1004,H137,VENDAS!$D$5:$D$1004,M$4))</f>
        <v/>
      </c>
      <c r="N137" s="26">
        <f>IF(H137="","",SUMIFS(VENDAS!$F$5:$F$1004,VENDAS!$A$5:$A$1004,H137,VENDAS!$D$5:$D$1004,N$4))</f>
        <v/>
      </c>
      <c r="O137" s="26">
        <f>IF(H137="","",SUMIFS(VENDAS!$F$5:$F$1004,VENDAS!$A$5:$A$1004,H137,VENDAS!$D$5:$D$1004,O$4))</f>
        <v/>
      </c>
      <c r="P137" s="26">
        <f>IF(H137="","",SUMIFS(VENDAS!$F$5:$F$1004,VENDAS!$A$5:$A$1004,H137,VENDAS!$D$5:$D$1004,P$4))</f>
        <v/>
      </c>
      <c r="Q137" s="24">
        <f>IF(H137="","",SUMIFS(VENDAS!$H$5:$H$1004,VENDAS!$A$5:$A$1004,H137))</f>
        <v/>
      </c>
      <c r="R137" s="24">
        <f>IF(H137="","",SUMIFS(VENDAS!$K$5:$K$1004,VENDAS!$A$5:$A$1004,H137))</f>
        <v/>
      </c>
      <c r="S137" s="20" t="n"/>
      <c r="T137" s="31" t="n"/>
    </row>
    <row r="138">
      <c r="H138" s="20" t="n"/>
      <c r="I138" s="30">
        <f>IF(H138="","",IFERROR(INDEX(VENDAS!$B$5:$B$1004,MATCH(H138,VENDAS!$A$5:$A$1004,0)),"não lançado"))</f>
        <v/>
      </c>
      <c r="J138" s="22">
        <f>IF(H138="","",IFERROR(INDEX(VENDAS!$M$5:$M$1004,MATCH(H138,VENDAS!$A$5:$A$1004,0))&amp;"",""))</f>
        <v/>
      </c>
      <c r="K138" s="22">
        <f>IF(H138="","",IFERROR(INDEX(VENDAS!$J$5:$J$1004,MATCH(H138,VENDAS!$A$5:$A$1004,0))&amp;"",""))</f>
        <v/>
      </c>
      <c r="L138" s="26">
        <f>IF(H138="","",SUMIFS(VENDAS!$F$5:$F$1004,VENDAS!$A$5:$A$1004,H138))</f>
        <v/>
      </c>
      <c r="M138" s="26">
        <f>IF(H138="","",SUMIFS(VENDAS!$F$5:$F$1004,VENDAS!$A$5:$A$1004,H138,VENDAS!$D$5:$D$1004,M$4))</f>
        <v/>
      </c>
      <c r="N138" s="26">
        <f>IF(H138="","",SUMIFS(VENDAS!$F$5:$F$1004,VENDAS!$A$5:$A$1004,H138,VENDAS!$D$5:$D$1004,N$4))</f>
        <v/>
      </c>
      <c r="O138" s="26">
        <f>IF(H138="","",SUMIFS(VENDAS!$F$5:$F$1004,VENDAS!$A$5:$A$1004,H138,VENDAS!$D$5:$D$1004,O$4))</f>
        <v/>
      </c>
      <c r="P138" s="26">
        <f>IF(H138="","",SUMIFS(VENDAS!$F$5:$F$1004,VENDAS!$A$5:$A$1004,H138,VENDAS!$D$5:$D$1004,P$4))</f>
        <v/>
      </c>
      <c r="Q138" s="24">
        <f>IF(H138="","",SUMIFS(VENDAS!$H$5:$H$1004,VENDAS!$A$5:$A$1004,H138))</f>
        <v/>
      </c>
      <c r="R138" s="24">
        <f>IF(H138="","",SUMIFS(VENDAS!$K$5:$K$1004,VENDAS!$A$5:$A$1004,H138))</f>
        <v/>
      </c>
      <c r="S138" s="20" t="n"/>
      <c r="T138" s="31" t="n"/>
    </row>
    <row r="139">
      <c r="H139" s="20" t="n"/>
      <c r="I139" s="30">
        <f>IF(H139="","",IFERROR(INDEX(VENDAS!$B$5:$B$1004,MATCH(H139,VENDAS!$A$5:$A$1004,0)),"não lançado"))</f>
        <v/>
      </c>
      <c r="J139" s="22">
        <f>IF(H139="","",IFERROR(INDEX(VENDAS!$M$5:$M$1004,MATCH(H139,VENDAS!$A$5:$A$1004,0))&amp;"",""))</f>
        <v/>
      </c>
      <c r="K139" s="22">
        <f>IF(H139="","",IFERROR(INDEX(VENDAS!$J$5:$J$1004,MATCH(H139,VENDAS!$A$5:$A$1004,0))&amp;"",""))</f>
        <v/>
      </c>
      <c r="L139" s="26">
        <f>IF(H139="","",SUMIFS(VENDAS!$F$5:$F$1004,VENDAS!$A$5:$A$1004,H139))</f>
        <v/>
      </c>
      <c r="M139" s="26">
        <f>IF(H139="","",SUMIFS(VENDAS!$F$5:$F$1004,VENDAS!$A$5:$A$1004,H139,VENDAS!$D$5:$D$1004,M$4))</f>
        <v/>
      </c>
      <c r="N139" s="26">
        <f>IF(H139="","",SUMIFS(VENDAS!$F$5:$F$1004,VENDAS!$A$5:$A$1004,H139,VENDAS!$D$5:$D$1004,N$4))</f>
        <v/>
      </c>
      <c r="O139" s="26">
        <f>IF(H139="","",SUMIFS(VENDAS!$F$5:$F$1004,VENDAS!$A$5:$A$1004,H139,VENDAS!$D$5:$D$1004,O$4))</f>
        <v/>
      </c>
      <c r="P139" s="26">
        <f>IF(H139="","",SUMIFS(VENDAS!$F$5:$F$1004,VENDAS!$A$5:$A$1004,H139,VENDAS!$D$5:$D$1004,P$4))</f>
        <v/>
      </c>
      <c r="Q139" s="24">
        <f>IF(H139="","",SUMIFS(VENDAS!$H$5:$H$1004,VENDAS!$A$5:$A$1004,H139))</f>
        <v/>
      </c>
      <c r="R139" s="24">
        <f>IF(H139="","",SUMIFS(VENDAS!$K$5:$K$1004,VENDAS!$A$5:$A$1004,H139))</f>
        <v/>
      </c>
      <c r="S139" s="20" t="n"/>
      <c r="T139" s="31" t="n"/>
    </row>
    <row r="140">
      <c r="H140" s="20" t="n"/>
      <c r="I140" s="30">
        <f>IF(H140="","",IFERROR(INDEX(VENDAS!$B$5:$B$1004,MATCH(H140,VENDAS!$A$5:$A$1004,0)),"não lançado"))</f>
        <v/>
      </c>
      <c r="J140" s="22">
        <f>IF(H140="","",IFERROR(INDEX(VENDAS!$M$5:$M$1004,MATCH(H140,VENDAS!$A$5:$A$1004,0))&amp;"",""))</f>
        <v/>
      </c>
      <c r="K140" s="22">
        <f>IF(H140="","",IFERROR(INDEX(VENDAS!$J$5:$J$1004,MATCH(H140,VENDAS!$A$5:$A$1004,0))&amp;"",""))</f>
        <v/>
      </c>
      <c r="L140" s="26">
        <f>IF(H140="","",SUMIFS(VENDAS!$F$5:$F$1004,VENDAS!$A$5:$A$1004,H140))</f>
        <v/>
      </c>
      <c r="M140" s="26">
        <f>IF(H140="","",SUMIFS(VENDAS!$F$5:$F$1004,VENDAS!$A$5:$A$1004,H140,VENDAS!$D$5:$D$1004,M$4))</f>
        <v/>
      </c>
      <c r="N140" s="26">
        <f>IF(H140="","",SUMIFS(VENDAS!$F$5:$F$1004,VENDAS!$A$5:$A$1004,H140,VENDAS!$D$5:$D$1004,N$4))</f>
        <v/>
      </c>
      <c r="O140" s="26">
        <f>IF(H140="","",SUMIFS(VENDAS!$F$5:$F$1004,VENDAS!$A$5:$A$1004,H140,VENDAS!$D$5:$D$1004,O$4))</f>
        <v/>
      </c>
      <c r="P140" s="26">
        <f>IF(H140="","",SUMIFS(VENDAS!$F$5:$F$1004,VENDAS!$A$5:$A$1004,H140,VENDAS!$D$5:$D$1004,P$4))</f>
        <v/>
      </c>
      <c r="Q140" s="24">
        <f>IF(H140="","",SUMIFS(VENDAS!$H$5:$H$1004,VENDAS!$A$5:$A$1004,H140))</f>
        <v/>
      </c>
      <c r="R140" s="24">
        <f>IF(H140="","",SUMIFS(VENDAS!$K$5:$K$1004,VENDAS!$A$5:$A$1004,H140))</f>
        <v/>
      </c>
      <c r="S140" s="20" t="n"/>
      <c r="T140" s="31" t="n"/>
    </row>
    <row r="141">
      <c r="H141" s="20" t="n"/>
      <c r="I141" s="30">
        <f>IF(H141="","",IFERROR(INDEX(VENDAS!$B$5:$B$1004,MATCH(H141,VENDAS!$A$5:$A$1004,0)),"não lançado"))</f>
        <v/>
      </c>
      <c r="J141" s="22">
        <f>IF(H141="","",IFERROR(INDEX(VENDAS!$M$5:$M$1004,MATCH(H141,VENDAS!$A$5:$A$1004,0))&amp;"",""))</f>
        <v/>
      </c>
      <c r="K141" s="22">
        <f>IF(H141="","",IFERROR(INDEX(VENDAS!$J$5:$J$1004,MATCH(H141,VENDAS!$A$5:$A$1004,0))&amp;"",""))</f>
        <v/>
      </c>
      <c r="L141" s="26">
        <f>IF(H141="","",SUMIFS(VENDAS!$F$5:$F$1004,VENDAS!$A$5:$A$1004,H141))</f>
        <v/>
      </c>
      <c r="M141" s="26">
        <f>IF(H141="","",SUMIFS(VENDAS!$F$5:$F$1004,VENDAS!$A$5:$A$1004,H141,VENDAS!$D$5:$D$1004,M$4))</f>
        <v/>
      </c>
      <c r="N141" s="26">
        <f>IF(H141="","",SUMIFS(VENDAS!$F$5:$F$1004,VENDAS!$A$5:$A$1004,H141,VENDAS!$D$5:$D$1004,N$4))</f>
        <v/>
      </c>
      <c r="O141" s="26">
        <f>IF(H141="","",SUMIFS(VENDAS!$F$5:$F$1004,VENDAS!$A$5:$A$1004,H141,VENDAS!$D$5:$D$1004,O$4))</f>
        <v/>
      </c>
      <c r="P141" s="26">
        <f>IF(H141="","",SUMIFS(VENDAS!$F$5:$F$1004,VENDAS!$A$5:$A$1004,H141,VENDAS!$D$5:$D$1004,P$4))</f>
        <v/>
      </c>
      <c r="Q141" s="24">
        <f>IF(H141="","",SUMIFS(VENDAS!$H$5:$H$1004,VENDAS!$A$5:$A$1004,H141))</f>
        <v/>
      </c>
      <c r="R141" s="24">
        <f>IF(H141="","",SUMIFS(VENDAS!$K$5:$K$1004,VENDAS!$A$5:$A$1004,H141))</f>
        <v/>
      </c>
      <c r="S141" s="20" t="n"/>
      <c r="T141" s="31" t="n"/>
    </row>
    <row r="142">
      <c r="H142" s="20" t="n"/>
      <c r="I142" s="30">
        <f>IF(H142="","",IFERROR(INDEX(VENDAS!$B$5:$B$1004,MATCH(H142,VENDAS!$A$5:$A$1004,0)),"não lançado"))</f>
        <v/>
      </c>
      <c r="J142" s="22">
        <f>IF(H142="","",IFERROR(INDEX(VENDAS!$M$5:$M$1004,MATCH(H142,VENDAS!$A$5:$A$1004,0))&amp;"",""))</f>
        <v/>
      </c>
      <c r="K142" s="22">
        <f>IF(H142="","",IFERROR(INDEX(VENDAS!$J$5:$J$1004,MATCH(H142,VENDAS!$A$5:$A$1004,0))&amp;"",""))</f>
        <v/>
      </c>
      <c r="L142" s="26">
        <f>IF(H142="","",SUMIFS(VENDAS!$F$5:$F$1004,VENDAS!$A$5:$A$1004,H142))</f>
        <v/>
      </c>
      <c r="M142" s="26">
        <f>IF(H142="","",SUMIFS(VENDAS!$F$5:$F$1004,VENDAS!$A$5:$A$1004,H142,VENDAS!$D$5:$D$1004,M$4))</f>
        <v/>
      </c>
      <c r="N142" s="26">
        <f>IF(H142="","",SUMIFS(VENDAS!$F$5:$F$1004,VENDAS!$A$5:$A$1004,H142,VENDAS!$D$5:$D$1004,N$4))</f>
        <v/>
      </c>
      <c r="O142" s="26">
        <f>IF(H142="","",SUMIFS(VENDAS!$F$5:$F$1004,VENDAS!$A$5:$A$1004,H142,VENDAS!$D$5:$D$1004,O$4))</f>
        <v/>
      </c>
      <c r="P142" s="26">
        <f>IF(H142="","",SUMIFS(VENDAS!$F$5:$F$1004,VENDAS!$A$5:$A$1004,H142,VENDAS!$D$5:$D$1004,P$4))</f>
        <v/>
      </c>
      <c r="Q142" s="24">
        <f>IF(H142="","",SUMIFS(VENDAS!$H$5:$H$1004,VENDAS!$A$5:$A$1004,H142))</f>
        <v/>
      </c>
      <c r="R142" s="24">
        <f>IF(H142="","",SUMIFS(VENDAS!$K$5:$K$1004,VENDAS!$A$5:$A$1004,H142))</f>
        <v/>
      </c>
      <c r="S142" s="20" t="n"/>
      <c r="T142" s="31" t="n"/>
    </row>
    <row r="143">
      <c r="H143" s="20" t="n"/>
      <c r="I143" s="30">
        <f>IF(H143="","",IFERROR(INDEX(VENDAS!$B$5:$B$1004,MATCH(H143,VENDAS!$A$5:$A$1004,0)),"não lançado"))</f>
        <v/>
      </c>
      <c r="J143" s="22">
        <f>IF(H143="","",IFERROR(INDEX(VENDAS!$M$5:$M$1004,MATCH(H143,VENDAS!$A$5:$A$1004,0))&amp;"",""))</f>
        <v/>
      </c>
      <c r="K143" s="22">
        <f>IF(H143="","",IFERROR(INDEX(VENDAS!$J$5:$J$1004,MATCH(H143,VENDAS!$A$5:$A$1004,0))&amp;"",""))</f>
        <v/>
      </c>
      <c r="L143" s="26">
        <f>IF(H143="","",SUMIFS(VENDAS!$F$5:$F$1004,VENDAS!$A$5:$A$1004,H143))</f>
        <v/>
      </c>
      <c r="M143" s="26">
        <f>IF(H143="","",SUMIFS(VENDAS!$F$5:$F$1004,VENDAS!$A$5:$A$1004,H143,VENDAS!$D$5:$D$1004,M$4))</f>
        <v/>
      </c>
      <c r="N143" s="26">
        <f>IF(H143="","",SUMIFS(VENDAS!$F$5:$F$1004,VENDAS!$A$5:$A$1004,H143,VENDAS!$D$5:$D$1004,N$4))</f>
        <v/>
      </c>
      <c r="O143" s="26">
        <f>IF(H143="","",SUMIFS(VENDAS!$F$5:$F$1004,VENDAS!$A$5:$A$1004,H143,VENDAS!$D$5:$D$1004,O$4))</f>
        <v/>
      </c>
      <c r="P143" s="26">
        <f>IF(H143="","",SUMIFS(VENDAS!$F$5:$F$1004,VENDAS!$A$5:$A$1004,H143,VENDAS!$D$5:$D$1004,P$4))</f>
        <v/>
      </c>
      <c r="Q143" s="24">
        <f>IF(H143="","",SUMIFS(VENDAS!$H$5:$H$1004,VENDAS!$A$5:$A$1004,H143))</f>
        <v/>
      </c>
      <c r="R143" s="24">
        <f>IF(H143="","",SUMIFS(VENDAS!$K$5:$K$1004,VENDAS!$A$5:$A$1004,H143))</f>
        <v/>
      </c>
      <c r="S143" s="20" t="n"/>
      <c r="T143" s="31" t="n"/>
    </row>
    <row r="144">
      <c r="H144" s="20" t="n"/>
      <c r="I144" s="30">
        <f>IF(H144="","",IFERROR(INDEX(VENDAS!$B$5:$B$1004,MATCH(H144,VENDAS!$A$5:$A$1004,0)),"não lançado"))</f>
        <v/>
      </c>
      <c r="J144" s="22">
        <f>IF(H144="","",IFERROR(INDEX(VENDAS!$M$5:$M$1004,MATCH(H144,VENDAS!$A$5:$A$1004,0))&amp;"",""))</f>
        <v/>
      </c>
      <c r="K144" s="22">
        <f>IF(H144="","",IFERROR(INDEX(VENDAS!$J$5:$J$1004,MATCH(H144,VENDAS!$A$5:$A$1004,0))&amp;"",""))</f>
        <v/>
      </c>
      <c r="L144" s="26">
        <f>IF(H144="","",SUMIFS(VENDAS!$F$5:$F$1004,VENDAS!$A$5:$A$1004,H144))</f>
        <v/>
      </c>
      <c r="M144" s="26">
        <f>IF(H144="","",SUMIFS(VENDAS!$F$5:$F$1004,VENDAS!$A$5:$A$1004,H144,VENDAS!$D$5:$D$1004,M$4))</f>
        <v/>
      </c>
      <c r="N144" s="26">
        <f>IF(H144="","",SUMIFS(VENDAS!$F$5:$F$1004,VENDAS!$A$5:$A$1004,H144,VENDAS!$D$5:$D$1004,N$4))</f>
        <v/>
      </c>
      <c r="O144" s="26">
        <f>IF(H144="","",SUMIFS(VENDAS!$F$5:$F$1004,VENDAS!$A$5:$A$1004,H144,VENDAS!$D$5:$D$1004,O$4))</f>
        <v/>
      </c>
      <c r="P144" s="26">
        <f>IF(H144="","",SUMIFS(VENDAS!$F$5:$F$1004,VENDAS!$A$5:$A$1004,H144,VENDAS!$D$5:$D$1004,P$4))</f>
        <v/>
      </c>
      <c r="Q144" s="24">
        <f>IF(H144="","",SUMIFS(VENDAS!$H$5:$H$1004,VENDAS!$A$5:$A$1004,H144))</f>
        <v/>
      </c>
      <c r="R144" s="24">
        <f>IF(H144="","",SUMIFS(VENDAS!$K$5:$K$1004,VENDAS!$A$5:$A$1004,H144))</f>
        <v/>
      </c>
      <c r="S144" s="20" t="n"/>
      <c r="T144" s="31" t="n"/>
    </row>
    <row r="145">
      <c r="H145" s="20" t="n"/>
      <c r="I145" s="30">
        <f>IF(H145="","",IFERROR(INDEX(VENDAS!$B$5:$B$1004,MATCH(H145,VENDAS!$A$5:$A$1004,0)),"não lançado"))</f>
        <v/>
      </c>
      <c r="J145" s="22">
        <f>IF(H145="","",IFERROR(INDEX(VENDAS!$M$5:$M$1004,MATCH(H145,VENDAS!$A$5:$A$1004,0))&amp;"",""))</f>
        <v/>
      </c>
      <c r="K145" s="22">
        <f>IF(H145="","",IFERROR(INDEX(VENDAS!$J$5:$J$1004,MATCH(H145,VENDAS!$A$5:$A$1004,0))&amp;"",""))</f>
        <v/>
      </c>
      <c r="L145" s="26">
        <f>IF(H145="","",SUMIFS(VENDAS!$F$5:$F$1004,VENDAS!$A$5:$A$1004,H145))</f>
        <v/>
      </c>
      <c r="M145" s="26">
        <f>IF(H145="","",SUMIFS(VENDAS!$F$5:$F$1004,VENDAS!$A$5:$A$1004,H145,VENDAS!$D$5:$D$1004,M$4))</f>
        <v/>
      </c>
      <c r="N145" s="26">
        <f>IF(H145="","",SUMIFS(VENDAS!$F$5:$F$1004,VENDAS!$A$5:$A$1004,H145,VENDAS!$D$5:$D$1004,N$4))</f>
        <v/>
      </c>
      <c r="O145" s="26">
        <f>IF(H145="","",SUMIFS(VENDAS!$F$5:$F$1004,VENDAS!$A$5:$A$1004,H145,VENDAS!$D$5:$D$1004,O$4))</f>
        <v/>
      </c>
      <c r="P145" s="26">
        <f>IF(H145="","",SUMIFS(VENDAS!$F$5:$F$1004,VENDAS!$A$5:$A$1004,H145,VENDAS!$D$5:$D$1004,P$4))</f>
        <v/>
      </c>
      <c r="Q145" s="24">
        <f>IF(H145="","",SUMIFS(VENDAS!$H$5:$H$1004,VENDAS!$A$5:$A$1004,H145))</f>
        <v/>
      </c>
      <c r="R145" s="24">
        <f>IF(H145="","",SUMIFS(VENDAS!$K$5:$K$1004,VENDAS!$A$5:$A$1004,H145))</f>
        <v/>
      </c>
      <c r="S145" s="20" t="n"/>
      <c r="T145" s="31" t="n"/>
    </row>
    <row r="146">
      <c r="H146" s="20" t="n"/>
      <c r="I146" s="30">
        <f>IF(H146="","",IFERROR(INDEX(VENDAS!$B$5:$B$1004,MATCH(H146,VENDAS!$A$5:$A$1004,0)),"não lançado"))</f>
        <v/>
      </c>
      <c r="J146" s="22">
        <f>IF(H146="","",IFERROR(INDEX(VENDAS!$M$5:$M$1004,MATCH(H146,VENDAS!$A$5:$A$1004,0))&amp;"",""))</f>
        <v/>
      </c>
      <c r="K146" s="22">
        <f>IF(H146="","",IFERROR(INDEX(VENDAS!$J$5:$J$1004,MATCH(H146,VENDAS!$A$5:$A$1004,0))&amp;"",""))</f>
        <v/>
      </c>
      <c r="L146" s="26">
        <f>IF(H146="","",SUMIFS(VENDAS!$F$5:$F$1004,VENDAS!$A$5:$A$1004,H146))</f>
        <v/>
      </c>
      <c r="M146" s="26">
        <f>IF(H146="","",SUMIFS(VENDAS!$F$5:$F$1004,VENDAS!$A$5:$A$1004,H146,VENDAS!$D$5:$D$1004,M$4))</f>
        <v/>
      </c>
      <c r="N146" s="26">
        <f>IF(H146="","",SUMIFS(VENDAS!$F$5:$F$1004,VENDAS!$A$5:$A$1004,H146,VENDAS!$D$5:$D$1004,N$4))</f>
        <v/>
      </c>
      <c r="O146" s="26">
        <f>IF(H146="","",SUMIFS(VENDAS!$F$5:$F$1004,VENDAS!$A$5:$A$1004,H146,VENDAS!$D$5:$D$1004,O$4))</f>
        <v/>
      </c>
      <c r="P146" s="26">
        <f>IF(H146="","",SUMIFS(VENDAS!$F$5:$F$1004,VENDAS!$A$5:$A$1004,H146,VENDAS!$D$5:$D$1004,P$4))</f>
        <v/>
      </c>
      <c r="Q146" s="24">
        <f>IF(H146="","",SUMIFS(VENDAS!$H$5:$H$1004,VENDAS!$A$5:$A$1004,H146))</f>
        <v/>
      </c>
      <c r="R146" s="24">
        <f>IF(H146="","",SUMIFS(VENDAS!$K$5:$K$1004,VENDAS!$A$5:$A$1004,H146))</f>
        <v/>
      </c>
      <c r="S146" s="20" t="n"/>
      <c r="T146" s="31" t="n"/>
    </row>
    <row r="147">
      <c r="H147" s="20" t="n"/>
      <c r="I147" s="30">
        <f>IF(H147="","",IFERROR(INDEX(VENDAS!$B$5:$B$1004,MATCH(H147,VENDAS!$A$5:$A$1004,0)),"não lançado"))</f>
        <v/>
      </c>
      <c r="J147" s="22">
        <f>IF(H147="","",IFERROR(INDEX(VENDAS!$M$5:$M$1004,MATCH(H147,VENDAS!$A$5:$A$1004,0))&amp;"",""))</f>
        <v/>
      </c>
      <c r="K147" s="22">
        <f>IF(H147="","",IFERROR(INDEX(VENDAS!$J$5:$J$1004,MATCH(H147,VENDAS!$A$5:$A$1004,0))&amp;"",""))</f>
        <v/>
      </c>
      <c r="L147" s="26">
        <f>IF(H147="","",SUMIFS(VENDAS!$F$5:$F$1004,VENDAS!$A$5:$A$1004,H147))</f>
        <v/>
      </c>
      <c r="M147" s="26">
        <f>IF(H147="","",SUMIFS(VENDAS!$F$5:$F$1004,VENDAS!$A$5:$A$1004,H147,VENDAS!$D$5:$D$1004,M$4))</f>
        <v/>
      </c>
      <c r="N147" s="26">
        <f>IF(H147="","",SUMIFS(VENDAS!$F$5:$F$1004,VENDAS!$A$5:$A$1004,H147,VENDAS!$D$5:$D$1004,N$4))</f>
        <v/>
      </c>
      <c r="O147" s="26">
        <f>IF(H147="","",SUMIFS(VENDAS!$F$5:$F$1004,VENDAS!$A$5:$A$1004,H147,VENDAS!$D$5:$D$1004,O$4))</f>
        <v/>
      </c>
      <c r="P147" s="26">
        <f>IF(H147="","",SUMIFS(VENDAS!$F$5:$F$1004,VENDAS!$A$5:$A$1004,H147,VENDAS!$D$5:$D$1004,P$4))</f>
        <v/>
      </c>
      <c r="Q147" s="24">
        <f>IF(H147="","",SUMIFS(VENDAS!$H$5:$H$1004,VENDAS!$A$5:$A$1004,H147))</f>
        <v/>
      </c>
      <c r="R147" s="24">
        <f>IF(H147="","",SUMIFS(VENDAS!$K$5:$K$1004,VENDAS!$A$5:$A$1004,H147))</f>
        <v/>
      </c>
      <c r="S147" s="20" t="n"/>
      <c r="T147" s="31" t="n"/>
    </row>
    <row r="148">
      <c r="H148" s="20" t="n"/>
      <c r="I148" s="30">
        <f>IF(H148="","",IFERROR(INDEX(VENDAS!$B$5:$B$1004,MATCH(H148,VENDAS!$A$5:$A$1004,0)),"não lançado"))</f>
        <v/>
      </c>
      <c r="J148" s="22">
        <f>IF(H148="","",IFERROR(INDEX(VENDAS!$M$5:$M$1004,MATCH(H148,VENDAS!$A$5:$A$1004,0))&amp;"",""))</f>
        <v/>
      </c>
      <c r="K148" s="22">
        <f>IF(H148="","",IFERROR(INDEX(VENDAS!$J$5:$J$1004,MATCH(H148,VENDAS!$A$5:$A$1004,0))&amp;"",""))</f>
        <v/>
      </c>
      <c r="L148" s="26">
        <f>IF(H148="","",SUMIFS(VENDAS!$F$5:$F$1004,VENDAS!$A$5:$A$1004,H148))</f>
        <v/>
      </c>
      <c r="M148" s="26">
        <f>IF(H148="","",SUMIFS(VENDAS!$F$5:$F$1004,VENDAS!$A$5:$A$1004,H148,VENDAS!$D$5:$D$1004,M$4))</f>
        <v/>
      </c>
      <c r="N148" s="26">
        <f>IF(H148="","",SUMIFS(VENDAS!$F$5:$F$1004,VENDAS!$A$5:$A$1004,H148,VENDAS!$D$5:$D$1004,N$4))</f>
        <v/>
      </c>
      <c r="O148" s="26">
        <f>IF(H148="","",SUMIFS(VENDAS!$F$5:$F$1004,VENDAS!$A$5:$A$1004,H148,VENDAS!$D$5:$D$1004,O$4))</f>
        <v/>
      </c>
      <c r="P148" s="26">
        <f>IF(H148="","",SUMIFS(VENDAS!$F$5:$F$1004,VENDAS!$A$5:$A$1004,H148,VENDAS!$D$5:$D$1004,P$4))</f>
        <v/>
      </c>
      <c r="Q148" s="24">
        <f>IF(H148="","",SUMIFS(VENDAS!$H$5:$H$1004,VENDAS!$A$5:$A$1004,H148))</f>
        <v/>
      </c>
      <c r="R148" s="24">
        <f>IF(H148="","",SUMIFS(VENDAS!$K$5:$K$1004,VENDAS!$A$5:$A$1004,H148))</f>
        <v/>
      </c>
      <c r="S148" s="20" t="n"/>
      <c r="T148" s="31" t="n"/>
    </row>
    <row r="149">
      <c r="H149" s="20" t="n"/>
      <c r="I149" s="30">
        <f>IF(H149="","",IFERROR(INDEX(VENDAS!$B$5:$B$1004,MATCH(H149,VENDAS!$A$5:$A$1004,0)),"não lançado"))</f>
        <v/>
      </c>
      <c r="J149" s="22">
        <f>IF(H149="","",IFERROR(INDEX(VENDAS!$M$5:$M$1004,MATCH(H149,VENDAS!$A$5:$A$1004,0))&amp;"",""))</f>
        <v/>
      </c>
      <c r="K149" s="22">
        <f>IF(H149="","",IFERROR(INDEX(VENDAS!$J$5:$J$1004,MATCH(H149,VENDAS!$A$5:$A$1004,0))&amp;"",""))</f>
        <v/>
      </c>
      <c r="L149" s="26">
        <f>IF(H149="","",SUMIFS(VENDAS!$F$5:$F$1004,VENDAS!$A$5:$A$1004,H149))</f>
        <v/>
      </c>
      <c r="M149" s="26">
        <f>IF(H149="","",SUMIFS(VENDAS!$F$5:$F$1004,VENDAS!$A$5:$A$1004,H149,VENDAS!$D$5:$D$1004,M$4))</f>
        <v/>
      </c>
      <c r="N149" s="26">
        <f>IF(H149="","",SUMIFS(VENDAS!$F$5:$F$1004,VENDAS!$A$5:$A$1004,H149,VENDAS!$D$5:$D$1004,N$4))</f>
        <v/>
      </c>
      <c r="O149" s="26">
        <f>IF(H149="","",SUMIFS(VENDAS!$F$5:$F$1004,VENDAS!$A$5:$A$1004,H149,VENDAS!$D$5:$D$1004,O$4))</f>
        <v/>
      </c>
      <c r="P149" s="26">
        <f>IF(H149="","",SUMIFS(VENDAS!$F$5:$F$1004,VENDAS!$A$5:$A$1004,H149,VENDAS!$D$5:$D$1004,P$4))</f>
        <v/>
      </c>
      <c r="Q149" s="24">
        <f>IF(H149="","",SUMIFS(VENDAS!$H$5:$H$1004,VENDAS!$A$5:$A$1004,H149))</f>
        <v/>
      </c>
      <c r="R149" s="24">
        <f>IF(H149="","",SUMIFS(VENDAS!$K$5:$K$1004,VENDAS!$A$5:$A$1004,H149))</f>
        <v/>
      </c>
      <c r="S149" s="20" t="n"/>
      <c r="T149" s="31" t="n"/>
    </row>
    <row r="150">
      <c r="H150" s="20" t="n"/>
      <c r="I150" s="30">
        <f>IF(H150="","",IFERROR(INDEX(VENDAS!$B$5:$B$1004,MATCH(H150,VENDAS!$A$5:$A$1004,0)),"não lançado"))</f>
        <v/>
      </c>
      <c r="J150" s="22">
        <f>IF(H150="","",IFERROR(INDEX(VENDAS!$M$5:$M$1004,MATCH(H150,VENDAS!$A$5:$A$1004,0))&amp;"",""))</f>
        <v/>
      </c>
      <c r="K150" s="22">
        <f>IF(H150="","",IFERROR(INDEX(VENDAS!$J$5:$J$1004,MATCH(H150,VENDAS!$A$5:$A$1004,0))&amp;"",""))</f>
        <v/>
      </c>
      <c r="L150" s="26">
        <f>IF(H150="","",SUMIFS(VENDAS!$F$5:$F$1004,VENDAS!$A$5:$A$1004,H150))</f>
        <v/>
      </c>
      <c r="M150" s="26">
        <f>IF(H150="","",SUMIFS(VENDAS!$F$5:$F$1004,VENDAS!$A$5:$A$1004,H150,VENDAS!$D$5:$D$1004,M$4))</f>
        <v/>
      </c>
      <c r="N150" s="26">
        <f>IF(H150="","",SUMIFS(VENDAS!$F$5:$F$1004,VENDAS!$A$5:$A$1004,H150,VENDAS!$D$5:$D$1004,N$4))</f>
        <v/>
      </c>
      <c r="O150" s="26">
        <f>IF(H150="","",SUMIFS(VENDAS!$F$5:$F$1004,VENDAS!$A$5:$A$1004,H150,VENDAS!$D$5:$D$1004,O$4))</f>
        <v/>
      </c>
      <c r="P150" s="26">
        <f>IF(H150="","",SUMIFS(VENDAS!$F$5:$F$1004,VENDAS!$A$5:$A$1004,H150,VENDAS!$D$5:$D$1004,P$4))</f>
        <v/>
      </c>
      <c r="Q150" s="24">
        <f>IF(H150="","",SUMIFS(VENDAS!$H$5:$H$1004,VENDAS!$A$5:$A$1004,H150))</f>
        <v/>
      </c>
      <c r="R150" s="24">
        <f>IF(H150="","",SUMIFS(VENDAS!$K$5:$K$1004,VENDAS!$A$5:$A$1004,H150))</f>
        <v/>
      </c>
      <c r="S150" s="20" t="n"/>
      <c r="T150" s="31" t="n"/>
    </row>
    <row r="151">
      <c r="H151" s="20" t="n"/>
      <c r="I151" s="30">
        <f>IF(H151="","",IFERROR(INDEX(VENDAS!$B$5:$B$1004,MATCH(H151,VENDAS!$A$5:$A$1004,0)),"não lançado"))</f>
        <v/>
      </c>
      <c r="J151" s="22">
        <f>IF(H151="","",IFERROR(INDEX(VENDAS!$M$5:$M$1004,MATCH(H151,VENDAS!$A$5:$A$1004,0))&amp;"",""))</f>
        <v/>
      </c>
      <c r="K151" s="22">
        <f>IF(H151="","",IFERROR(INDEX(VENDAS!$J$5:$J$1004,MATCH(H151,VENDAS!$A$5:$A$1004,0))&amp;"",""))</f>
        <v/>
      </c>
      <c r="L151" s="26">
        <f>IF(H151="","",SUMIFS(VENDAS!$F$5:$F$1004,VENDAS!$A$5:$A$1004,H151))</f>
        <v/>
      </c>
      <c r="M151" s="26">
        <f>IF(H151="","",SUMIFS(VENDAS!$F$5:$F$1004,VENDAS!$A$5:$A$1004,H151,VENDAS!$D$5:$D$1004,M$4))</f>
        <v/>
      </c>
      <c r="N151" s="26">
        <f>IF(H151="","",SUMIFS(VENDAS!$F$5:$F$1004,VENDAS!$A$5:$A$1004,H151,VENDAS!$D$5:$D$1004,N$4))</f>
        <v/>
      </c>
      <c r="O151" s="26">
        <f>IF(H151="","",SUMIFS(VENDAS!$F$5:$F$1004,VENDAS!$A$5:$A$1004,H151,VENDAS!$D$5:$D$1004,O$4))</f>
        <v/>
      </c>
      <c r="P151" s="26">
        <f>IF(H151="","",SUMIFS(VENDAS!$F$5:$F$1004,VENDAS!$A$5:$A$1004,H151,VENDAS!$D$5:$D$1004,P$4))</f>
        <v/>
      </c>
      <c r="Q151" s="24">
        <f>IF(H151="","",SUMIFS(VENDAS!$H$5:$H$1004,VENDAS!$A$5:$A$1004,H151))</f>
        <v/>
      </c>
      <c r="R151" s="24">
        <f>IF(H151="","",SUMIFS(VENDAS!$K$5:$K$1004,VENDAS!$A$5:$A$1004,H151))</f>
        <v/>
      </c>
      <c r="S151" s="20" t="n"/>
      <c r="T151" s="31" t="n"/>
    </row>
    <row r="152">
      <c r="H152" s="20" t="n"/>
      <c r="I152" s="30">
        <f>IF(H152="","",IFERROR(INDEX(VENDAS!$B$5:$B$1004,MATCH(H152,VENDAS!$A$5:$A$1004,0)),"não lançado"))</f>
        <v/>
      </c>
      <c r="J152" s="22">
        <f>IF(H152="","",IFERROR(INDEX(VENDAS!$M$5:$M$1004,MATCH(H152,VENDAS!$A$5:$A$1004,0))&amp;"",""))</f>
        <v/>
      </c>
      <c r="K152" s="22">
        <f>IF(H152="","",IFERROR(INDEX(VENDAS!$J$5:$J$1004,MATCH(H152,VENDAS!$A$5:$A$1004,0))&amp;"",""))</f>
        <v/>
      </c>
      <c r="L152" s="26">
        <f>IF(H152="","",SUMIFS(VENDAS!$F$5:$F$1004,VENDAS!$A$5:$A$1004,H152))</f>
        <v/>
      </c>
      <c r="M152" s="26">
        <f>IF(H152="","",SUMIFS(VENDAS!$F$5:$F$1004,VENDAS!$A$5:$A$1004,H152,VENDAS!$D$5:$D$1004,M$4))</f>
        <v/>
      </c>
      <c r="N152" s="26">
        <f>IF(H152="","",SUMIFS(VENDAS!$F$5:$F$1004,VENDAS!$A$5:$A$1004,H152,VENDAS!$D$5:$D$1004,N$4))</f>
        <v/>
      </c>
      <c r="O152" s="26">
        <f>IF(H152="","",SUMIFS(VENDAS!$F$5:$F$1004,VENDAS!$A$5:$A$1004,H152,VENDAS!$D$5:$D$1004,O$4))</f>
        <v/>
      </c>
      <c r="P152" s="26">
        <f>IF(H152="","",SUMIFS(VENDAS!$F$5:$F$1004,VENDAS!$A$5:$A$1004,H152,VENDAS!$D$5:$D$1004,P$4))</f>
        <v/>
      </c>
      <c r="Q152" s="24">
        <f>IF(H152="","",SUMIFS(VENDAS!$H$5:$H$1004,VENDAS!$A$5:$A$1004,H152))</f>
        <v/>
      </c>
      <c r="R152" s="24">
        <f>IF(H152="","",SUMIFS(VENDAS!$K$5:$K$1004,VENDAS!$A$5:$A$1004,H152))</f>
        <v/>
      </c>
      <c r="S152" s="20" t="n"/>
      <c r="T152" s="31" t="n"/>
    </row>
    <row r="153">
      <c r="H153" s="20" t="n"/>
      <c r="I153" s="30">
        <f>IF(H153="","",IFERROR(INDEX(VENDAS!$B$5:$B$1004,MATCH(H153,VENDAS!$A$5:$A$1004,0)),"não lançado"))</f>
        <v/>
      </c>
      <c r="J153" s="22">
        <f>IF(H153="","",IFERROR(INDEX(VENDAS!$M$5:$M$1004,MATCH(H153,VENDAS!$A$5:$A$1004,0))&amp;"",""))</f>
        <v/>
      </c>
      <c r="K153" s="22">
        <f>IF(H153="","",IFERROR(INDEX(VENDAS!$J$5:$J$1004,MATCH(H153,VENDAS!$A$5:$A$1004,0))&amp;"",""))</f>
        <v/>
      </c>
      <c r="L153" s="26">
        <f>IF(H153="","",SUMIFS(VENDAS!$F$5:$F$1004,VENDAS!$A$5:$A$1004,H153))</f>
        <v/>
      </c>
      <c r="M153" s="26">
        <f>IF(H153="","",SUMIFS(VENDAS!$F$5:$F$1004,VENDAS!$A$5:$A$1004,H153,VENDAS!$D$5:$D$1004,M$4))</f>
        <v/>
      </c>
      <c r="N153" s="26">
        <f>IF(H153="","",SUMIFS(VENDAS!$F$5:$F$1004,VENDAS!$A$5:$A$1004,H153,VENDAS!$D$5:$D$1004,N$4))</f>
        <v/>
      </c>
      <c r="O153" s="26">
        <f>IF(H153="","",SUMIFS(VENDAS!$F$5:$F$1004,VENDAS!$A$5:$A$1004,H153,VENDAS!$D$5:$D$1004,O$4))</f>
        <v/>
      </c>
      <c r="P153" s="26">
        <f>IF(H153="","",SUMIFS(VENDAS!$F$5:$F$1004,VENDAS!$A$5:$A$1004,H153,VENDAS!$D$5:$D$1004,P$4))</f>
        <v/>
      </c>
      <c r="Q153" s="24">
        <f>IF(H153="","",SUMIFS(VENDAS!$H$5:$H$1004,VENDAS!$A$5:$A$1004,H153))</f>
        <v/>
      </c>
      <c r="R153" s="24">
        <f>IF(H153="","",SUMIFS(VENDAS!$K$5:$K$1004,VENDAS!$A$5:$A$1004,H153))</f>
        <v/>
      </c>
      <c r="S153" s="20" t="n"/>
      <c r="T153" s="31" t="n"/>
    </row>
    <row r="154">
      <c r="H154" s="20" t="n"/>
      <c r="I154" s="30">
        <f>IF(H154="","",IFERROR(INDEX(VENDAS!$B$5:$B$1004,MATCH(H154,VENDAS!$A$5:$A$1004,0)),"não lançado"))</f>
        <v/>
      </c>
      <c r="J154" s="22">
        <f>IF(H154="","",IFERROR(INDEX(VENDAS!$M$5:$M$1004,MATCH(H154,VENDAS!$A$5:$A$1004,0))&amp;"",""))</f>
        <v/>
      </c>
      <c r="K154" s="22">
        <f>IF(H154="","",IFERROR(INDEX(VENDAS!$J$5:$J$1004,MATCH(H154,VENDAS!$A$5:$A$1004,0))&amp;"",""))</f>
        <v/>
      </c>
      <c r="L154" s="26">
        <f>IF(H154="","",SUMIFS(VENDAS!$F$5:$F$1004,VENDAS!$A$5:$A$1004,H154))</f>
        <v/>
      </c>
      <c r="M154" s="26">
        <f>IF(H154="","",SUMIFS(VENDAS!$F$5:$F$1004,VENDAS!$A$5:$A$1004,H154,VENDAS!$D$5:$D$1004,M$4))</f>
        <v/>
      </c>
      <c r="N154" s="26">
        <f>IF(H154="","",SUMIFS(VENDAS!$F$5:$F$1004,VENDAS!$A$5:$A$1004,H154,VENDAS!$D$5:$D$1004,N$4))</f>
        <v/>
      </c>
      <c r="O154" s="26">
        <f>IF(H154="","",SUMIFS(VENDAS!$F$5:$F$1004,VENDAS!$A$5:$A$1004,H154,VENDAS!$D$5:$D$1004,O$4))</f>
        <v/>
      </c>
      <c r="P154" s="26">
        <f>IF(H154="","",SUMIFS(VENDAS!$F$5:$F$1004,VENDAS!$A$5:$A$1004,H154,VENDAS!$D$5:$D$1004,P$4))</f>
        <v/>
      </c>
      <c r="Q154" s="24">
        <f>IF(H154="","",SUMIFS(VENDAS!$H$5:$H$1004,VENDAS!$A$5:$A$1004,H154))</f>
        <v/>
      </c>
      <c r="R154" s="24">
        <f>IF(H154="","",SUMIFS(VENDAS!$K$5:$K$1004,VENDAS!$A$5:$A$1004,H154))</f>
        <v/>
      </c>
      <c r="S154" s="20" t="n"/>
      <c r="T154" s="31" t="n"/>
    </row>
    <row r="155">
      <c r="H155" s="20" t="n"/>
      <c r="I155" s="30">
        <f>IF(H155="","",IFERROR(INDEX(VENDAS!$B$5:$B$1004,MATCH(H155,VENDAS!$A$5:$A$1004,0)),"não lançado"))</f>
        <v/>
      </c>
      <c r="J155" s="22">
        <f>IF(H155="","",IFERROR(INDEX(VENDAS!$M$5:$M$1004,MATCH(H155,VENDAS!$A$5:$A$1004,0))&amp;"",""))</f>
        <v/>
      </c>
      <c r="K155" s="22">
        <f>IF(H155="","",IFERROR(INDEX(VENDAS!$J$5:$J$1004,MATCH(H155,VENDAS!$A$5:$A$1004,0))&amp;"",""))</f>
        <v/>
      </c>
      <c r="L155" s="26">
        <f>IF(H155="","",SUMIFS(VENDAS!$F$5:$F$1004,VENDAS!$A$5:$A$1004,H155))</f>
        <v/>
      </c>
      <c r="M155" s="26">
        <f>IF(H155="","",SUMIFS(VENDAS!$F$5:$F$1004,VENDAS!$A$5:$A$1004,H155,VENDAS!$D$5:$D$1004,M$4))</f>
        <v/>
      </c>
      <c r="N155" s="26">
        <f>IF(H155="","",SUMIFS(VENDAS!$F$5:$F$1004,VENDAS!$A$5:$A$1004,H155,VENDAS!$D$5:$D$1004,N$4))</f>
        <v/>
      </c>
      <c r="O155" s="26">
        <f>IF(H155="","",SUMIFS(VENDAS!$F$5:$F$1004,VENDAS!$A$5:$A$1004,H155,VENDAS!$D$5:$D$1004,O$4))</f>
        <v/>
      </c>
      <c r="P155" s="26">
        <f>IF(H155="","",SUMIFS(VENDAS!$F$5:$F$1004,VENDAS!$A$5:$A$1004,H155,VENDAS!$D$5:$D$1004,P$4))</f>
        <v/>
      </c>
      <c r="Q155" s="24">
        <f>IF(H155="","",SUMIFS(VENDAS!$H$5:$H$1004,VENDAS!$A$5:$A$1004,H155))</f>
        <v/>
      </c>
      <c r="R155" s="24">
        <f>IF(H155="","",SUMIFS(VENDAS!$K$5:$K$1004,VENDAS!$A$5:$A$1004,H155))</f>
        <v/>
      </c>
      <c r="S155" s="20" t="n"/>
      <c r="T155" s="31" t="n"/>
    </row>
    <row r="156">
      <c r="H156" s="20" t="n"/>
      <c r="I156" s="30">
        <f>IF(H156="","",IFERROR(INDEX(VENDAS!$B$5:$B$1004,MATCH(H156,VENDAS!$A$5:$A$1004,0)),"não lançado"))</f>
        <v/>
      </c>
      <c r="J156" s="22">
        <f>IF(H156="","",IFERROR(INDEX(VENDAS!$M$5:$M$1004,MATCH(H156,VENDAS!$A$5:$A$1004,0))&amp;"",""))</f>
        <v/>
      </c>
      <c r="K156" s="22">
        <f>IF(H156="","",IFERROR(INDEX(VENDAS!$J$5:$J$1004,MATCH(H156,VENDAS!$A$5:$A$1004,0))&amp;"",""))</f>
        <v/>
      </c>
      <c r="L156" s="26">
        <f>IF(H156="","",SUMIFS(VENDAS!$F$5:$F$1004,VENDAS!$A$5:$A$1004,H156))</f>
        <v/>
      </c>
      <c r="M156" s="26">
        <f>IF(H156="","",SUMIFS(VENDAS!$F$5:$F$1004,VENDAS!$A$5:$A$1004,H156,VENDAS!$D$5:$D$1004,M$4))</f>
        <v/>
      </c>
      <c r="N156" s="26">
        <f>IF(H156="","",SUMIFS(VENDAS!$F$5:$F$1004,VENDAS!$A$5:$A$1004,H156,VENDAS!$D$5:$D$1004,N$4))</f>
        <v/>
      </c>
      <c r="O156" s="26">
        <f>IF(H156="","",SUMIFS(VENDAS!$F$5:$F$1004,VENDAS!$A$5:$A$1004,H156,VENDAS!$D$5:$D$1004,O$4))</f>
        <v/>
      </c>
      <c r="P156" s="26">
        <f>IF(H156="","",SUMIFS(VENDAS!$F$5:$F$1004,VENDAS!$A$5:$A$1004,H156,VENDAS!$D$5:$D$1004,P$4))</f>
        <v/>
      </c>
      <c r="Q156" s="24">
        <f>IF(H156="","",SUMIFS(VENDAS!$H$5:$H$1004,VENDAS!$A$5:$A$1004,H156))</f>
        <v/>
      </c>
      <c r="R156" s="24">
        <f>IF(H156="","",SUMIFS(VENDAS!$K$5:$K$1004,VENDAS!$A$5:$A$1004,H156))</f>
        <v/>
      </c>
      <c r="S156" s="20" t="n"/>
      <c r="T156" s="31" t="n"/>
    </row>
    <row r="157">
      <c r="H157" s="20" t="n"/>
      <c r="I157" s="30">
        <f>IF(H157="","",IFERROR(INDEX(VENDAS!$B$5:$B$1004,MATCH(H157,VENDAS!$A$5:$A$1004,0)),"não lançado"))</f>
        <v/>
      </c>
      <c r="J157" s="22">
        <f>IF(H157="","",IFERROR(INDEX(VENDAS!$M$5:$M$1004,MATCH(H157,VENDAS!$A$5:$A$1004,0))&amp;"",""))</f>
        <v/>
      </c>
      <c r="K157" s="22">
        <f>IF(H157="","",IFERROR(INDEX(VENDAS!$J$5:$J$1004,MATCH(H157,VENDAS!$A$5:$A$1004,0))&amp;"",""))</f>
        <v/>
      </c>
      <c r="L157" s="26">
        <f>IF(H157="","",SUMIFS(VENDAS!$F$5:$F$1004,VENDAS!$A$5:$A$1004,H157))</f>
        <v/>
      </c>
      <c r="M157" s="26">
        <f>IF(H157="","",SUMIFS(VENDAS!$F$5:$F$1004,VENDAS!$A$5:$A$1004,H157,VENDAS!$D$5:$D$1004,M$4))</f>
        <v/>
      </c>
      <c r="N157" s="26">
        <f>IF(H157="","",SUMIFS(VENDAS!$F$5:$F$1004,VENDAS!$A$5:$A$1004,H157,VENDAS!$D$5:$D$1004,N$4))</f>
        <v/>
      </c>
      <c r="O157" s="26">
        <f>IF(H157="","",SUMIFS(VENDAS!$F$5:$F$1004,VENDAS!$A$5:$A$1004,H157,VENDAS!$D$5:$D$1004,O$4))</f>
        <v/>
      </c>
      <c r="P157" s="26">
        <f>IF(H157="","",SUMIFS(VENDAS!$F$5:$F$1004,VENDAS!$A$5:$A$1004,H157,VENDAS!$D$5:$D$1004,P$4))</f>
        <v/>
      </c>
      <c r="Q157" s="24">
        <f>IF(H157="","",SUMIFS(VENDAS!$H$5:$H$1004,VENDAS!$A$5:$A$1004,H157))</f>
        <v/>
      </c>
      <c r="R157" s="24">
        <f>IF(H157="","",SUMIFS(VENDAS!$K$5:$K$1004,VENDAS!$A$5:$A$1004,H157))</f>
        <v/>
      </c>
      <c r="S157" s="20" t="n"/>
      <c r="T157" s="31" t="n"/>
    </row>
    <row r="158">
      <c r="H158" s="20" t="n"/>
      <c r="I158" s="30">
        <f>IF(H158="","",IFERROR(INDEX(VENDAS!$B$5:$B$1004,MATCH(H158,VENDAS!$A$5:$A$1004,0)),"não lançado"))</f>
        <v/>
      </c>
      <c r="J158" s="22">
        <f>IF(H158="","",IFERROR(INDEX(VENDAS!$M$5:$M$1004,MATCH(H158,VENDAS!$A$5:$A$1004,0))&amp;"",""))</f>
        <v/>
      </c>
      <c r="K158" s="22">
        <f>IF(H158="","",IFERROR(INDEX(VENDAS!$J$5:$J$1004,MATCH(H158,VENDAS!$A$5:$A$1004,0))&amp;"",""))</f>
        <v/>
      </c>
      <c r="L158" s="26">
        <f>IF(H158="","",SUMIFS(VENDAS!$F$5:$F$1004,VENDAS!$A$5:$A$1004,H158))</f>
        <v/>
      </c>
      <c r="M158" s="26">
        <f>IF(H158="","",SUMIFS(VENDAS!$F$5:$F$1004,VENDAS!$A$5:$A$1004,H158,VENDAS!$D$5:$D$1004,M$4))</f>
        <v/>
      </c>
      <c r="N158" s="26">
        <f>IF(H158="","",SUMIFS(VENDAS!$F$5:$F$1004,VENDAS!$A$5:$A$1004,H158,VENDAS!$D$5:$D$1004,N$4))</f>
        <v/>
      </c>
      <c r="O158" s="26">
        <f>IF(H158="","",SUMIFS(VENDAS!$F$5:$F$1004,VENDAS!$A$5:$A$1004,H158,VENDAS!$D$5:$D$1004,O$4))</f>
        <v/>
      </c>
      <c r="P158" s="26">
        <f>IF(H158="","",SUMIFS(VENDAS!$F$5:$F$1004,VENDAS!$A$5:$A$1004,H158,VENDAS!$D$5:$D$1004,P$4))</f>
        <v/>
      </c>
      <c r="Q158" s="24">
        <f>IF(H158="","",SUMIFS(VENDAS!$H$5:$H$1004,VENDAS!$A$5:$A$1004,H158))</f>
        <v/>
      </c>
      <c r="R158" s="24">
        <f>IF(H158="","",SUMIFS(VENDAS!$K$5:$K$1004,VENDAS!$A$5:$A$1004,H158))</f>
        <v/>
      </c>
      <c r="S158" s="20" t="n"/>
      <c r="T158" s="31" t="n"/>
    </row>
    <row r="159">
      <c r="H159" s="20" t="n"/>
      <c r="I159" s="30">
        <f>IF(H159="","",IFERROR(INDEX(VENDAS!$B$5:$B$1004,MATCH(H159,VENDAS!$A$5:$A$1004,0)),"não lançado"))</f>
        <v/>
      </c>
      <c r="J159" s="22">
        <f>IF(H159="","",IFERROR(INDEX(VENDAS!$M$5:$M$1004,MATCH(H159,VENDAS!$A$5:$A$1004,0))&amp;"",""))</f>
        <v/>
      </c>
      <c r="K159" s="22">
        <f>IF(H159="","",IFERROR(INDEX(VENDAS!$J$5:$J$1004,MATCH(H159,VENDAS!$A$5:$A$1004,0))&amp;"",""))</f>
        <v/>
      </c>
      <c r="L159" s="26">
        <f>IF(H159="","",SUMIFS(VENDAS!$F$5:$F$1004,VENDAS!$A$5:$A$1004,H159))</f>
        <v/>
      </c>
      <c r="M159" s="26">
        <f>IF(H159="","",SUMIFS(VENDAS!$F$5:$F$1004,VENDAS!$A$5:$A$1004,H159,VENDAS!$D$5:$D$1004,M$4))</f>
        <v/>
      </c>
      <c r="N159" s="26">
        <f>IF(H159="","",SUMIFS(VENDAS!$F$5:$F$1004,VENDAS!$A$5:$A$1004,H159,VENDAS!$D$5:$D$1004,N$4))</f>
        <v/>
      </c>
      <c r="O159" s="26">
        <f>IF(H159="","",SUMIFS(VENDAS!$F$5:$F$1004,VENDAS!$A$5:$A$1004,H159,VENDAS!$D$5:$D$1004,O$4))</f>
        <v/>
      </c>
      <c r="P159" s="26">
        <f>IF(H159="","",SUMIFS(VENDAS!$F$5:$F$1004,VENDAS!$A$5:$A$1004,H159,VENDAS!$D$5:$D$1004,P$4))</f>
        <v/>
      </c>
      <c r="Q159" s="24">
        <f>IF(H159="","",SUMIFS(VENDAS!$H$5:$H$1004,VENDAS!$A$5:$A$1004,H159))</f>
        <v/>
      </c>
      <c r="R159" s="24">
        <f>IF(H159="","",SUMIFS(VENDAS!$K$5:$K$1004,VENDAS!$A$5:$A$1004,H159))</f>
        <v/>
      </c>
      <c r="S159" s="20" t="n"/>
      <c r="T159" s="31" t="n"/>
    </row>
    <row r="160">
      <c r="H160" s="20" t="n"/>
      <c r="I160" s="30">
        <f>IF(H160="","",IFERROR(INDEX(VENDAS!$B$5:$B$1004,MATCH(H160,VENDAS!$A$5:$A$1004,0)),"não lançado"))</f>
        <v/>
      </c>
      <c r="J160" s="22">
        <f>IF(H160="","",IFERROR(INDEX(VENDAS!$M$5:$M$1004,MATCH(H160,VENDAS!$A$5:$A$1004,0))&amp;"",""))</f>
        <v/>
      </c>
      <c r="K160" s="22">
        <f>IF(H160="","",IFERROR(INDEX(VENDAS!$J$5:$J$1004,MATCH(H160,VENDAS!$A$5:$A$1004,0))&amp;"",""))</f>
        <v/>
      </c>
      <c r="L160" s="26">
        <f>IF(H160="","",SUMIFS(VENDAS!$F$5:$F$1004,VENDAS!$A$5:$A$1004,H160))</f>
        <v/>
      </c>
      <c r="M160" s="26">
        <f>IF(H160="","",SUMIFS(VENDAS!$F$5:$F$1004,VENDAS!$A$5:$A$1004,H160,VENDAS!$D$5:$D$1004,M$4))</f>
        <v/>
      </c>
      <c r="N160" s="26">
        <f>IF(H160="","",SUMIFS(VENDAS!$F$5:$F$1004,VENDAS!$A$5:$A$1004,H160,VENDAS!$D$5:$D$1004,N$4))</f>
        <v/>
      </c>
      <c r="O160" s="26">
        <f>IF(H160="","",SUMIFS(VENDAS!$F$5:$F$1004,VENDAS!$A$5:$A$1004,H160,VENDAS!$D$5:$D$1004,O$4))</f>
        <v/>
      </c>
      <c r="P160" s="26">
        <f>IF(H160="","",SUMIFS(VENDAS!$F$5:$F$1004,VENDAS!$A$5:$A$1004,H160,VENDAS!$D$5:$D$1004,P$4))</f>
        <v/>
      </c>
      <c r="Q160" s="24">
        <f>IF(H160="","",SUMIFS(VENDAS!$H$5:$H$1004,VENDAS!$A$5:$A$1004,H160))</f>
        <v/>
      </c>
      <c r="R160" s="24">
        <f>IF(H160="","",SUMIFS(VENDAS!$K$5:$K$1004,VENDAS!$A$5:$A$1004,H160))</f>
        <v/>
      </c>
      <c r="S160" s="20" t="n"/>
      <c r="T160" s="31" t="n"/>
    </row>
    <row r="161">
      <c r="H161" s="20" t="n"/>
      <c r="I161" s="30">
        <f>IF(H161="","",IFERROR(INDEX(VENDAS!$B$5:$B$1004,MATCH(H161,VENDAS!$A$5:$A$1004,0)),"não lançado"))</f>
        <v/>
      </c>
      <c r="J161" s="22">
        <f>IF(H161="","",IFERROR(INDEX(VENDAS!$M$5:$M$1004,MATCH(H161,VENDAS!$A$5:$A$1004,0))&amp;"",""))</f>
        <v/>
      </c>
      <c r="K161" s="22">
        <f>IF(H161="","",IFERROR(INDEX(VENDAS!$J$5:$J$1004,MATCH(H161,VENDAS!$A$5:$A$1004,0))&amp;"",""))</f>
        <v/>
      </c>
      <c r="L161" s="26">
        <f>IF(H161="","",SUMIFS(VENDAS!$F$5:$F$1004,VENDAS!$A$5:$A$1004,H161))</f>
        <v/>
      </c>
      <c r="M161" s="26">
        <f>IF(H161="","",SUMIFS(VENDAS!$F$5:$F$1004,VENDAS!$A$5:$A$1004,H161,VENDAS!$D$5:$D$1004,M$4))</f>
        <v/>
      </c>
      <c r="N161" s="26">
        <f>IF(H161="","",SUMIFS(VENDAS!$F$5:$F$1004,VENDAS!$A$5:$A$1004,H161,VENDAS!$D$5:$D$1004,N$4))</f>
        <v/>
      </c>
      <c r="O161" s="26">
        <f>IF(H161="","",SUMIFS(VENDAS!$F$5:$F$1004,VENDAS!$A$5:$A$1004,H161,VENDAS!$D$5:$D$1004,O$4))</f>
        <v/>
      </c>
      <c r="P161" s="26">
        <f>IF(H161="","",SUMIFS(VENDAS!$F$5:$F$1004,VENDAS!$A$5:$A$1004,H161,VENDAS!$D$5:$D$1004,P$4))</f>
        <v/>
      </c>
      <c r="Q161" s="24">
        <f>IF(H161="","",SUMIFS(VENDAS!$H$5:$H$1004,VENDAS!$A$5:$A$1004,H161))</f>
        <v/>
      </c>
      <c r="R161" s="24">
        <f>IF(H161="","",SUMIFS(VENDAS!$K$5:$K$1004,VENDAS!$A$5:$A$1004,H161))</f>
        <v/>
      </c>
      <c r="S161" s="20" t="n"/>
      <c r="T161" s="31" t="n"/>
    </row>
    <row r="162">
      <c r="H162" s="20" t="n"/>
      <c r="I162" s="30">
        <f>IF(H162="","",IFERROR(INDEX(VENDAS!$B$5:$B$1004,MATCH(H162,VENDAS!$A$5:$A$1004,0)),"não lançado"))</f>
        <v/>
      </c>
      <c r="J162" s="22">
        <f>IF(H162="","",IFERROR(INDEX(VENDAS!$M$5:$M$1004,MATCH(H162,VENDAS!$A$5:$A$1004,0))&amp;"",""))</f>
        <v/>
      </c>
      <c r="K162" s="22">
        <f>IF(H162="","",IFERROR(INDEX(VENDAS!$J$5:$J$1004,MATCH(H162,VENDAS!$A$5:$A$1004,0))&amp;"",""))</f>
        <v/>
      </c>
      <c r="L162" s="26">
        <f>IF(H162="","",SUMIFS(VENDAS!$F$5:$F$1004,VENDAS!$A$5:$A$1004,H162))</f>
        <v/>
      </c>
      <c r="M162" s="26">
        <f>IF(H162="","",SUMIFS(VENDAS!$F$5:$F$1004,VENDAS!$A$5:$A$1004,H162,VENDAS!$D$5:$D$1004,M$4))</f>
        <v/>
      </c>
      <c r="N162" s="26">
        <f>IF(H162="","",SUMIFS(VENDAS!$F$5:$F$1004,VENDAS!$A$5:$A$1004,H162,VENDAS!$D$5:$D$1004,N$4))</f>
        <v/>
      </c>
      <c r="O162" s="26">
        <f>IF(H162="","",SUMIFS(VENDAS!$F$5:$F$1004,VENDAS!$A$5:$A$1004,H162,VENDAS!$D$5:$D$1004,O$4))</f>
        <v/>
      </c>
      <c r="P162" s="26">
        <f>IF(H162="","",SUMIFS(VENDAS!$F$5:$F$1004,VENDAS!$A$5:$A$1004,H162,VENDAS!$D$5:$D$1004,P$4))</f>
        <v/>
      </c>
      <c r="Q162" s="24">
        <f>IF(H162="","",SUMIFS(VENDAS!$H$5:$H$1004,VENDAS!$A$5:$A$1004,H162))</f>
        <v/>
      </c>
      <c r="R162" s="24">
        <f>IF(H162="","",SUMIFS(VENDAS!$K$5:$K$1004,VENDAS!$A$5:$A$1004,H162))</f>
        <v/>
      </c>
      <c r="S162" s="20" t="n"/>
      <c r="T162" s="31" t="n"/>
    </row>
    <row r="163">
      <c r="H163" s="20" t="n"/>
      <c r="I163" s="30">
        <f>IF(H163="","",IFERROR(INDEX(VENDAS!$B$5:$B$1004,MATCH(H163,VENDAS!$A$5:$A$1004,0)),"não lançado"))</f>
        <v/>
      </c>
      <c r="J163" s="22">
        <f>IF(H163="","",IFERROR(INDEX(VENDAS!$M$5:$M$1004,MATCH(H163,VENDAS!$A$5:$A$1004,0))&amp;"",""))</f>
        <v/>
      </c>
      <c r="K163" s="22">
        <f>IF(H163="","",IFERROR(INDEX(VENDAS!$J$5:$J$1004,MATCH(H163,VENDAS!$A$5:$A$1004,0))&amp;"",""))</f>
        <v/>
      </c>
      <c r="L163" s="26">
        <f>IF(H163="","",SUMIFS(VENDAS!$F$5:$F$1004,VENDAS!$A$5:$A$1004,H163))</f>
        <v/>
      </c>
      <c r="M163" s="26">
        <f>IF(H163="","",SUMIFS(VENDAS!$F$5:$F$1004,VENDAS!$A$5:$A$1004,H163,VENDAS!$D$5:$D$1004,M$4))</f>
        <v/>
      </c>
      <c r="N163" s="26">
        <f>IF(H163="","",SUMIFS(VENDAS!$F$5:$F$1004,VENDAS!$A$5:$A$1004,H163,VENDAS!$D$5:$D$1004,N$4))</f>
        <v/>
      </c>
      <c r="O163" s="26">
        <f>IF(H163="","",SUMIFS(VENDAS!$F$5:$F$1004,VENDAS!$A$5:$A$1004,H163,VENDAS!$D$5:$D$1004,O$4))</f>
        <v/>
      </c>
      <c r="P163" s="26">
        <f>IF(H163="","",SUMIFS(VENDAS!$F$5:$F$1004,VENDAS!$A$5:$A$1004,H163,VENDAS!$D$5:$D$1004,P$4))</f>
        <v/>
      </c>
      <c r="Q163" s="24">
        <f>IF(H163="","",SUMIFS(VENDAS!$H$5:$H$1004,VENDAS!$A$5:$A$1004,H163))</f>
        <v/>
      </c>
      <c r="R163" s="24">
        <f>IF(H163="","",SUMIFS(VENDAS!$K$5:$K$1004,VENDAS!$A$5:$A$1004,H163))</f>
        <v/>
      </c>
      <c r="S163" s="20" t="n"/>
      <c r="T163" s="31" t="n"/>
    </row>
    <row r="164">
      <c r="H164" s="20" t="n"/>
      <c r="I164" s="30">
        <f>IF(H164="","",IFERROR(INDEX(VENDAS!$B$5:$B$1004,MATCH(H164,VENDAS!$A$5:$A$1004,0)),"não lançado"))</f>
        <v/>
      </c>
      <c r="J164" s="22">
        <f>IF(H164="","",IFERROR(INDEX(VENDAS!$M$5:$M$1004,MATCH(H164,VENDAS!$A$5:$A$1004,0))&amp;"",""))</f>
        <v/>
      </c>
      <c r="K164" s="22">
        <f>IF(H164="","",IFERROR(INDEX(VENDAS!$J$5:$J$1004,MATCH(H164,VENDAS!$A$5:$A$1004,0))&amp;"",""))</f>
        <v/>
      </c>
      <c r="L164" s="26">
        <f>IF(H164="","",SUMIFS(VENDAS!$F$5:$F$1004,VENDAS!$A$5:$A$1004,H164))</f>
        <v/>
      </c>
      <c r="M164" s="26">
        <f>IF(H164="","",SUMIFS(VENDAS!$F$5:$F$1004,VENDAS!$A$5:$A$1004,H164,VENDAS!$D$5:$D$1004,M$4))</f>
        <v/>
      </c>
      <c r="N164" s="26">
        <f>IF(H164="","",SUMIFS(VENDAS!$F$5:$F$1004,VENDAS!$A$5:$A$1004,H164,VENDAS!$D$5:$D$1004,N$4))</f>
        <v/>
      </c>
      <c r="O164" s="26">
        <f>IF(H164="","",SUMIFS(VENDAS!$F$5:$F$1004,VENDAS!$A$5:$A$1004,H164,VENDAS!$D$5:$D$1004,O$4))</f>
        <v/>
      </c>
      <c r="P164" s="26">
        <f>IF(H164="","",SUMIFS(VENDAS!$F$5:$F$1004,VENDAS!$A$5:$A$1004,H164,VENDAS!$D$5:$D$1004,P$4))</f>
        <v/>
      </c>
      <c r="Q164" s="24">
        <f>IF(H164="","",SUMIFS(VENDAS!$H$5:$H$1004,VENDAS!$A$5:$A$1004,H164))</f>
        <v/>
      </c>
      <c r="R164" s="24">
        <f>IF(H164="","",SUMIFS(VENDAS!$K$5:$K$1004,VENDAS!$A$5:$A$1004,H164))</f>
        <v/>
      </c>
      <c r="S164" s="20" t="n"/>
      <c r="T164" s="31" t="n"/>
    </row>
    <row r="165">
      <c r="H165" s="20" t="n"/>
      <c r="I165" s="30">
        <f>IF(H165="","",IFERROR(INDEX(VENDAS!$B$5:$B$1004,MATCH(H165,VENDAS!$A$5:$A$1004,0)),"não lançado"))</f>
        <v/>
      </c>
      <c r="J165" s="22">
        <f>IF(H165="","",IFERROR(INDEX(VENDAS!$M$5:$M$1004,MATCH(H165,VENDAS!$A$5:$A$1004,0))&amp;"",""))</f>
        <v/>
      </c>
      <c r="K165" s="22">
        <f>IF(H165="","",IFERROR(INDEX(VENDAS!$J$5:$J$1004,MATCH(H165,VENDAS!$A$5:$A$1004,0))&amp;"",""))</f>
        <v/>
      </c>
      <c r="L165" s="26">
        <f>IF(H165="","",SUMIFS(VENDAS!$F$5:$F$1004,VENDAS!$A$5:$A$1004,H165))</f>
        <v/>
      </c>
      <c r="M165" s="26">
        <f>IF(H165="","",SUMIFS(VENDAS!$F$5:$F$1004,VENDAS!$A$5:$A$1004,H165,VENDAS!$D$5:$D$1004,M$4))</f>
        <v/>
      </c>
      <c r="N165" s="26">
        <f>IF(H165="","",SUMIFS(VENDAS!$F$5:$F$1004,VENDAS!$A$5:$A$1004,H165,VENDAS!$D$5:$D$1004,N$4))</f>
        <v/>
      </c>
      <c r="O165" s="26">
        <f>IF(H165="","",SUMIFS(VENDAS!$F$5:$F$1004,VENDAS!$A$5:$A$1004,H165,VENDAS!$D$5:$D$1004,O$4))</f>
        <v/>
      </c>
      <c r="P165" s="26">
        <f>IF(H165="","",SUMIFS(VENDAS!$F$5:$F$1004,VENDAS!$A$5:$A$1004,H165,VENDAS!$D$5:$D$1004,P$4))</f>
        <v/>
      </c>
      <c r="Q165" s="24">
        <f>IF(H165="","",SUMIFS(VENDAS!$H$5:$H$1004,VENDAS!$A$5:$A$1004,H165))</f>
        <v/>
      </c>
      <c r="R165" s="24">
        <f>IF(H165="","",SUMIFS(VENDAS!$K$5:$K$1004,VENDAS!$A$5:$A$1004,H165))</f>
        <v/>
      </c>
      <c r="S165" s="20" t="n"/>
      <c r="T165" s="31" t="n"/>
    </row>
    <row r="166">
      <c r="H166" s="20" t="n"/>
      <c r="I166" s="30">
        <f>IF(H166="","",IFERROR(INDEX(VENDAS!$B$5:$B$1004,MATCH(H166,VENDAS!$A$5:$A$1004,0)),"não lançado"))</f>
        <v/>
      </c>
      <c r="J166" s="22">
        <f>IF(H166="","",IFERROR(INDEX(VENDAS!$M$5:$M$1004,MATCH(H166,VENDAS!$A$5:$A$1004,0))&amp;"",""))</f>
        <v/>
      </c>
      <c r="K166" s="22">
        <f>IF(H166="","",IFERROR(INDEX(VENDAS!$J$5:$J$1004,MATCH(H166,VENDAS!$A$5:$A$1004,0))&amp;"",""))</f>
        <v/>
      </c>
      <c r="L166" s="26">
        <f>IF(H166="","",SUMIFS(VENDAS!$F$5:$F$1004,VENDAS!$A$5:$A$1004,H166))</f>
        <v/>
      </c>
      <c r="M166" s="26">
        <f>IF(H166="","",SUMIFS(VENDAS!$F$5:$F$1004,VENDAS!$A$5:$A$1004,H166,VENDAS!$D$5:$D$1004,M$4))</f>
        <v/>
      </c>
      <c r="N166" s="26">
        <f>IF(H166="","",SUMIFS(VENDAS!$F$5:$F$1004,VENDAS!$A$5:$A$1004,H166,VENDAS!$D$5:$D$1004,N$4))</f>
        <v/>
      </c>
      <c r="O166" s="26">
        <f>IF(H166="","",SUMIFS(VENDAS!$F$5:$F$1004,VENDAS!$A$5:$A$1004,H166,VENDAS!$D$5:$D$1004,O$4))</f>
        <v/>
      </c>
      <c r="P166" s="26">
        <f>IF(H166="","",SUMIFS(VENDAS!$F$5:$F$1004,VENDAS!$A$5:$A$1004,H166,VENDAS!$D$5:$D$1004,P$4))</f>
        <v/>
      </c>
      <c r="Q166" s="24">
        <f>IF(H166="","",SUMIFS(VENDAS!$H$5:$H$1004,VENDAS!$A$5:$A$1004,H166))</f>
        <v/>
      </c>
      <c r="R166" s="24">
        <f>IF(H166="","",SUMIFS(VENDAS!$K$5:$K$1004,VENDAS!$A$5:$A$1004,H166))</f>
        <v/>
      </c>
      <c r="S166" s="20" t="n"/>
      <c r="T166" s="31" t="n"/>
    </row>
    <row r="167">
      <c r="H167" s="20" t="n"/>
      <c r="I167" s="30">
        <f>IF(H167="","",IFERROR(INDEX(VENDAS!$B$5:$B$1004,MATCH(H167,VENDAS!$A$5:$A$1004,0)),"não lançado"))</f>
        <v/>
      </c>
      <c r="J167" s="22">
        <f>IF(H167="","",IFERROR(INDEX(VENDAS!$M$5:$M$1004,MATCH(H167,VENDAS!$A$5:$A$1004,0))&amp;"",""))</f>
        <v/>
      </c>
      <c r="K167" s="22">
        <f>IF(H167="","",IFERROR(INDEX(VENDAS!$J$5:$J$1004,MATCH(H167,VENDAS!$A$5:$A$1004,0))&amp;"",""))</f>
        <v/>
      </c>
      <c r="L167" s="26">
        <f>IF(H167="","",SUMIFS(VENDAS!$F$5:$F$1004,VENDAS!$A$5:$A$1004,H167))</f>
        <v/>
      </c>
      <c r="M167" s="26">
        <f>IF(H167="","",SUMIFS(VENDAS!$F$5:$F$1004,VENDAS!$A$5:$A$1004,H167,VENDAS!$D$5:$D$1004,M$4))</f>
        <v/>
      </c>
      <c r="N167" s="26">
        <f>IF(H167="","",SUMIFS(VENDAS!$F$5:$F$1004,VENDAS!$A$5:$A$1004,H167,VENDAS!$D$5:$D$1004,N$4))</f>
        <v/>
      </c>
      <c r="O167" s="26">
        <f>IF(H167="","",SUMIFS(VENDAS!$F$5:$F$1004,VENDAS!$A$5:$A$1004,H167,VENDAS!$D$5:$D$1004,O$4))</f>
        <v/>
      </c>
      <c r="P167" s="26">
        <f>IF(H167="","",SUMIFS(VENDAS!$F$5:$F$1004,VENDAS!$A$5:$A$1004,H167,VENDAS!$D$5:$D$1004,P$4))</f>
        <v/>
      </c>
      <c r="Q167" s="24">
        <f>IF(H167="","",SUMIFS(VENDAS!$H$5:$H$1004,VENDAS!$A$5:$A$1004,H167))</f>
        <v/>
      </c>
      <c r="R167" s="24">
        <f>IF(H167="","",SUMIFS(VENDAS!$K$5:$K$1004,VENDAS!$A$5:$A$1004,H167))</f>
        <v/>
      </c>
      <c r="S167" s="20" t="n"/>
      <c r="T167" s="31" t="n"/>
    </row>
    <row r="168">
      <c r="H168" s="20" t="n"/>
      <c r="I168" s="30">
        <f>IF(H168="","",IFERROR(INDEX(VENDAS!$B$5:$B$1004,MATCH(H168,VENDAS!$A$5:$A$1004,0)),"não lançado"))</f>
        <v/>
      </c>
      <c r="J168" s="22">
        <f>IF(H168="","",IFERROR(INDEX(VENDAS!$M$5:$M$1004,MATCH(H168,VENDAS!$A$5:$A$1004,0))&amp;"",""))</f>
        <v/>
      </c>
      <c r="K168" s="22">
        <f>IF(H168="","",IFERROR(INDEX(VENDAS!$J$5:$J$1004,MATCH(H168,VENDAS!$A$5:$A$1004,0))&amp;"",""))</f>
        <v/>
      </c>
      <c r="L168" s="26">
        <f>IF(H168="","",SUMIFS(VENDAS!$F$5:$F$1004,VENDAS!$A$5:$A$1004,H168))</f>
        <v/>
      </c>
      <c r="M168" s="26">
        <f>IF(H168="","",SUMIFS(VENDAS!$F$5:$F$1004,VENDAS!$A$5:$A$1004,H168,VENDAS!$D$5:$D$1004,M$4))</f>
        <v/>
      </c>
      <c r="N168" s="26">
        <f>IF(H168="","",SUMIFS(VENDAS!$F$5:$F$1004,VENDAS!$A$5:$A$1004,H168,VENDAS!$D$5:$D$1004,N$4))</f>
        <v/>
      </c>
      <c r="O168" s="26">
        <f>IF(H168="","",SUMIFS(VENDAS!$F$5:$F$1004,VENDAS!$A$5:$A$1004,H168,VENDAS!$D$5:$D$1004,O$4))</f>
        <v/>
      </c>
      <c r="P168" s="26">
        <f>IF(H168="","",SUMIFS(VENDAS!$F$5:$F$1004,VENDAS!$A$5:$A$1004,H168,VENDAS!$D$5:$D$1004,P$4))</f>
        <v/>
      </c>
      <c r="Q168" s="24">
        <f>IF(H168="","",SUMIFS(VENDAS!$H$5:$H$1004,VENDAS!$A$5:$A$1004,H168))</f>
        <v/>
      </c>
      <c r="R168" s="24">
        <f>IF(H168="","",SUMIFS(VENDAS!$K$5:$K$1004,VENDAS!$A$5:$A$1004,H168))</f>
        <v/>
      </c>
      <c r="S168" s="20" t="n"/>
      <c r="T168" s="31" t="n"/>
    </row>
    <row r="169">
      <c r="H169" s="20" t="n"/>
      <c r="I169" s="30">
        <f>IF(H169="","",IFERROR(INDEX(VENDAS!$B$5:$B$1004,MATCH(H169,VENDAS!$A$5:$A$1004,0)),"não lançado"))</f>
        <v/>
      </c>
      <c r="J169" s="22">
        <f>IF(H169="","",IFERROR(INDEX(VENDAS!$M$5:$M$1004,MATCH(H169,VENDAS!$A$5:$A$1004,0))&amp;"",""))</f>
        <v/>
      </c>
      <c r="K169" s="22">
        <f>IF(H169="","",IFERROR(INDEX(VENDAS!$J$5:$J$1004,MATCH(H169,VENDAS!$A$5:$A$1004,0))&amp;"",""))</f>
        <v/>
      </c>
      <c r="L169" s="26">
        <f>IF(H169="","",SUMIFS(VENDAS!$F$5:$F$1004,VENDAS!$A$5:$A$1004,H169))</f>
        <v/>
      </c>
      <c r="M169" s="26">
        <f>IF(H169="","",SUMIFS(VENDAS!$F$5:$F$1004,VENDAS!$A$5:$A$1004,H169,VENDAS!$D$5:$D$1004,M$4))</f>
        <v/>
      </c>
      <c r="N169" s="26">
        <f>IF(H169="","",SUMIFS(VENDAS!$F$5:$F$1004,VENDAS!$A$5:$A$1004,H169,VENDAS!$D$5:$D$1004,N$4))</f>
        <v/>
      </c>
      <c r="O169" s="26">
        <f>IF(H169="","",SUMIFS(VENDAS!$F$5:$F$1004,VENDAS!$A$5:$A$1004,H169,VENDAS!$D$5:$D$1004,O$4))</f>
        <v/>
      </c>
      <c r="P169" s="26">
        <f>IF(H169="","",SUMIFS(VENDAS!$F$5:$F$1004,VENDAS!$A$5:$A$1004,H169,VENDAS!$D$5:$D$1004,P$4))</f>
        <v/>
      </c>
      <c r="Q169" s="24">
        <f>IF(H169="","",SUMIFS(VENDAS!$H$5:$H$1004,VENDAS!$A$5:$A$1004,H169))</f>
        <v/>
      </c>
      <c r="R169" s="24">
        <f>IF(H169="","",SUMIFS(VENDAS!$K$5:$K$1004,VENDAS!$A$5:$A$1004,H169))</f>
        <v/>
      </c>
      <c r="S169" s="20" t="n"/>
      <c r="T169" s="31" t="n"/>
    </row>
    <row r="170">
      <c r="H170" s="20" t="n"/>
      <c r="I170" s="30">
        <f>IF(H170="","",IFERROR(INDEX(VENDAS!$B$5:$B$1004,MATCH(H170,VENDAS!$A$5:$A$1004,0)),"não lançado"))</f>
        <v/>
      </c>
      <c r="J170" s="22">
        <f>IF(H170="","",IFERROR(INDEX(VENDAS!$M$5:$M$1004,MATCH(H170,VENDAS!$A$5:$A$1004,0))&amp;"",""))</f>
        <v/>
      </c>
      <c r="K170" s="22">
        <f>IF(H170="","",IFERROR(INDEX(VENDAS!$J$5:$J$1004,MATCH(H170,VENDAS!$A$5:$A$1004,0))&amp;"",""))</f>
        <v/>
      </c>
      <c r="L170" s="26">
        <f>IF(H170="","",SUMIFS(VENDAS!$F$5:$F$1004,VENDAS!$A$5:$A$1004,H170))</f>
        <v/>
      </c>
      <c r="M170" s="26">
        <f>IF(H170="","",SUMIFS(VENDAS!$F$5:$F$1004,VENDAS!$A$5:$A$1004,H170,VENDAS!$D$5:$D$1004,M$4))</f>
        <v/>
      </c>
      <c r="N170" s="26">
        <f>IF(H170="","",SUMIFS(VENDAS!$F$5:$F$1004,VENDAS!$A$5:$A$1004,H170,VENDAS!$D$5:$D$1004,N$4))</f>
        <v/>
      </c>
      <c r="O170" s="26">
        <f>IF(H170="","",SUMIFS(VENDAS!$F$5:$F$1004,VENDAS!$A$5:$A$1004,H170,VENDAS!$D$5:$D$1004,O$4))</f>
        <v/>
      </c>
      <c r="P170" s="26">
        <f>IF(H170="","",SUMIFS(VENDAS!$F$5:$F$1004,VENDAS!$A$5:$A$1004,H170,VENDAS!$D$5:$D$1004,P$4))</f>
        <v/>
      </c>
      <c r="Q170" s="24">
        <f>IF(H170="","",SUMIFS(VENDAS!$H$5:$H$1004,VENDAS!$A$5:$A$1004,H170))</f>
        <v/>
      </c>
      <c r="R170" s="24">
        <f>IF(H170="","",SUMIFS(VENDAS!$K$5:$K$1004,VENDAS!$A$5:$A$1004,H170))</f>
        <v/>
      </c>
      <c r="S170" s="20" t="n"/>
      <c r="T170" s="31" t="n"/>
    </row>
    <row r="171">
      <c r="H171" s="20" t="n"/>
      <c r="I171" s="30">
        <f>IF(H171="","",IFERROR(INDEX(VENDAS!$B$5:$B$1004,MATCH(H171,VENDAS!$A$5:$A$1004,0)),"não lançado"))</f>
        <v/>
      </c>
      <c r="J171" s="22">
        <f>IF(H171="","",IFERROR(INDEX(VENDAS!$M$5:$M$1004,MATCH(H171,VENDAS!$A$5:$A$1004,0))&amp;"",""))</f>
        <v/>
      </c>
      <c r="K171" s="22">
        <f>IF(H171="","",IFERROR(INDEX(VENDAS!$J$5:$J$1004,MATCH(H171,VENDAS!$A$5:$A$1004,0))&amp;"",""))</f>
        <v/>
      </c>
      <c r="L171" s="26">
        <f>IF(H171="","",SUMIFS(VENDAS!$F$5:$F$1004,VENDAS!$A$5:$A$1004,H171))</f>
        <v/>
      </c>
      <c r="M171" s="26">
        <f>IF(H171="","",SUMIFS(VENDAS!$F$5:$F$1004,VENDAS!$A$5:$A$1004,H171,VENDAS!$D$5:$D$1004,M$4))</f>
        <v/>
      </c>
      <c r="N171" s="26">
        <f>IF(H171="","",SUMIFS(VENDAS!$F$5:$F$1004,VENDAS!$A$5:$A$1004,H171,VENDAS!$D$5:$D$1004,N$4))</f>
        <v/>
      </c>
      <c r="O171" s="26">
        <f>IF(H171="","",SUMIFS(VENDAS!$F$5:$F$1004,VENDAS!$A$5:$A$1004,H171,VENDAS!$D$5:$D$1004,O$4))</f>
        <v/>
      </c>
      <c r="P171" s="26">
        <f>IF(H171="","",SUMIFS(VENDAS!$F$5:$F$1004,VENDAS!$A$5:$A$1004,H171,VENDAS!$D$5:$D$1004,P$4))</f>
        <v/>
      </c>
      <c r="Q171" s="24">
        <f>IF(H171="","",SUMIFS(VENDAS!$H$5:$H$1004,VENDAS!$A$5:$A$1004,H171))</f>
        <v/>
      </c>
      <c r="R171" s="24">
        <f>IF(H171="","",SUMIFS(VENDAS!$K$5:$K$1004,VENDAS!$A$5:$A$1004,H171))</f>
        <v/>
      </c>
      <c r="S171" s="20" t="n"/>
      <c r="T171" s="31" t="n"/>
    </row>
    <row r="172">
      <c r="H172" s="20" t="n"/>
      <c r="I172" s="30">
        <f>IF(H172="","",IFERROR(INDEX(VENDAS!$B$5:$B$1004,MATCH(H172,VENDAS!$A$5:$A$1004,0)),"não lançado"))</f>
        <v/>
      </c>
      <c r="J172" s="22">
        <f>IF(H172="","",IFERROR(INDEX(VENDAS!$M$5:$M$1004,MATCH(H172,VENDAS!$A$5:$A$1004,0))&amp;"",""))</f>
        <v/>
      </c>
      <c r="K172" s="22">
        <f>IF(H172="","",IFERROR(INDEX(VENDAS!$J$5:$J$1004,MATCH(H172,VENDAS!$A$5:$A$1004,0))&amp;"",""))</f>
        <v/>
      </c>
      <c r="L172" s="26">
        <f>IF(H172="","",SUMIFS(VENDAS!$F$5:$F$1004,VENDAS!$A$5:$A$1004,H172))</f>
        <v/>
      </c>
      <c r="M172" s="26">
        <f>IF(H172="","",SUMIFS(VENDAS!$F$5:$F$1004,VENDAS!$A$5:$A$1004,H172,VENDAS!$D$5:$D$1004,M$4))</f>
        <v/>
      </c>
      <c r="N172" s="26">
        <f>IF(H172="","",SUMIFS(VENDAS!$F$5:$F$1004,VENDAS!$A$5:$A$1004,H172,VENDAS!$D$5:$D$1004,N$4))</f>
        <v/>
      </c>
      <c r="O172" s="26">
        <f>IF(H172="","",SUMIFS(VENDAS!$F$5:$F$1004,VENDAS!$A$5:$A$1004,H172,VENDAS!$D$5:$D$1004,O$4))</f>
        <v/>
      </c>
      <c r="P172" s="26">
        <f>IF(H172="","",SUMIFS(VENDAS!$F$5:$F$1004,VENDAS!$A$5:$A$1004,H172,VENDAS!$D$5:$D$1004,P$4))</f>
        <v/>
      </c>
      <c r="Q172" s="24">
        <f>IF(H172="","",SUMIFS(VENDAS!$H$5:$H$1004,VENDAS!$A$5:$A$1004,H172))</f>
        <v/>
      </c>
      <c r="R172" s="24">
        <f>IF(H172="","",SUMIFS(VENDAS!$K$5:$K$1004,VENDAS!$A$5:$A$1004,H172))</f>
        <v/>
      </c>
      <c r="S172" s="20" t="n"/>
      <c r="T172" s="31" t="n"/>
    </row>
    <row r="173">
      <c r="H173" s="20" t="n"/>
      <c r="I173" s="30">
        <f>IF(H173="","",IFERROR(INDEX(VENDAS!$B$5:$B$1004,MATCH(H173,VENDAS!$A$5:$A$1004,0)),"não lançado"))</f>
        <v/>
      </c>
      <c r="J173" s="22">
        <f>IF(H173="","",IFERROR(INDEX(VENDAS!$M$5:$M$1004,MATCH(H173,VENDAS!$A$5:$A$1004,0))&amp;"",""))</f>
        <v/>
      </c>
      <c r="K173" s="22">
        <f>IF(H173="","",IFERROR(INDEX(VENDAS!$J$5:$J$1004,MATCH(H173,VENDAS!$A$5:$A$1004,0))&amp;"",""))</f>
        <v/>
      </c>
      <c r="L173" s="26">
        <f>IF(H173="","",SUMIFS(VENDAS!$F$5:$F$1004,VENDAS!$A$5:$A$1004,H173))</f>
        <v/>
      </c>
      <c r="M173" s="26">
        <f>IF(H173="","",SUMIFS(VENDAS!$F$5:$F$1004,VENDAS!$A$5:$A$1004,H173,VENDAS!$D$5:$D$1004,M$4))</f>
        <v/>
      </c>
      <c r="N173" s="26">
        <f>IF(H173="","",SUMIFS(VENDAS!$F$5:$F$1004,VENDAS!$A$5:$A$1004,H173,VENDAS!$D$5:$D$1004,N$4))</f>
        <v/>
      </c>
      <c r="O173" s="26">
        <f>IF(H173="","",SUMIFS(VENDAS!$F$5:$F$1004,VENDAS!$A$5:$A$1004,H173,VENDAS!$D$5:$D$1004,O$4))</f>
        <v/>
      </c>
      <c r="P173" s="26">
        <f>IF(H173="","",SUMIFS(VENDAS!$F$5:$F$1004,VENDAS!$A$5:$A$1004,H173,VENDAS!$D$5:$D$1004,P$4))</f>
        <v/>
      </c>
      <c r="Q173" s="24">
        <f>IF(H173="","",SUMIFS(VENDAS!$H$5:$H$1004,VENDAS!$A$5:$A$1004,H173))</f>
        <v/>
      </c>
      <c r="R173" s="24">
        <f>IF(H173="","",SUMIFS(VENDAS!$K$5:$K$1004,VENDAS!$A$5:$A$1004,H173))</f>
        <v/>
      </c>
      <c r="S173" s="20" t="n"/>
      <c r="T173" s="31" t="n"/>
    </row>
    <row r="174">
      <c r="H174" s="20" t="n"/>
      <c r="I174" s="30">
        <f>IF(H174="","",IFERROR(INDEX(VENDAS!$B$5:$B$1004,MATCH(H174,VENDAS!$A$5:$A$1004,0)),"não lançado"))</f>
        <v/>
      </c>
      <c r="J174" s="22">
        <f>IF(H174="","",IFERROR(INDEX(VENDAS!$M$5:$M$1004,MATCH(H174,VENDAS!$A$5:$A$1004,0))&amp;"",""))</f>
        <v/>
      </c>
      <c r="K174" s="22">
        <f>IF(H174="","",IFERROR(INDEX(VENDAS!$J$5:$J$1004,MATCH(H174,VENDAS!$A$5:$A$1004,0))&amp;"",""))</f>
        <v/>
      </c>
      <c r="L174" s="26">
        <f>IF(H174="","",SUMIFS(VENDAS!$F$5:$F$1004,VENDAS!$A$5:$A$1004,H174))</f>
        <v/>
      </c>
      <c r="M174" s="26">
        <f>IF(H174="","",SUMIFS(VENDAS!$F$5:$F$1004,VENDAS!$A$5:$A$1004,H174,VENDAS!$D$5:$D$1004,M$4))</f>
        <v/>
      </c>
      <c r="N174" s="26">
        <f>IF(H174="","",SUMIFS(VENDAS!$F$5:$F$1004,VENDAS!$A$5:$A$1004,H174,VENDAS!$D$5:$D$1004,N$4))</f>
        <v/>
      </c>
      <c r="O174" s="26">
        <f>IF(H174="","",SUMIFS(VENDAS!$F$5:$F$1004,VENDAS!$A$5:$A$1004,H174,VENDAS!$D$5:$D$1004,O$4))</f>
        <v/>
      </c>
      <c r="P174" s="26">
        <f>IF(H174="","",SUMIFS(VENDAS!$F$5:$F$1004,VENDAS!$A$5:$A$1004,H174,VENDAS!$D$5:$D$1004,P$4))</f>
        <v/>
      </c>
      <c r="Q174" s="24">
        <f>IF(H174="","",SUMIFS(VENDAS!$H$5:$H$1004,VENDAS!$A$5:$A$1004,H174))</f>
        <v/>
      </c>
      <c r="R174" s="24">
        <f>IF(H174="","",SUMIFS(VENDAS!$K$5:$K$1004,VENDAS!$A$5:$A$1004,H174))</f>
        <v/>
      </c>
      <c r="S174" s="20" t="n"/>
      <c r="T174" s="31" t="n"/>
    </row>
    <row r="175">
      <c r="H175" s="20" t="n"/>
      <c r="I175" s="30">
        <f>IF(H175="","",IFERROR(INDEX(VENDAS!$B$5:$B$1004,MATCH(H175,VENDAS!$A$5:$A$1004,0)),"não lançado"))</f>
        <v/>
      </c>
      <c r="J175" s="22">
        <f>IF(H175="","",IFERROR(INDEX(VENDAS!$M$5:$M$1004,MATCH(H175,VENDAS!$A$5:$A$1004,0))&amp;"",""))</f>
        <v/>
      </c>
      <c r="K175" s="22">
        <f>IF(H175="","",IFERROR(INDEX(VENDAS!$J$5:$J$1004,MATCH(H175,VENDAS!$A$5:$A$1004,0))&amp;"",""))</f>
        <v/>
      </c>
      <c r="L175" s="26">
        <f>IF(H175="","",SUMIFS(VENDAS!$F$5:$F$1004,VENDAS!$A$5:$A$1004,H175))</f>
        <v/>
      </c>
      <c r="M175" s="26">
        <f>IF(H175="","",SUMIFS(VENDAS!$F$5:$F$1004,VENDAS!$A$5:$A$1004,H175,VENDAS!$D$5:$D$1004,M$4))</f>
        <v/>
      </c>
      <c r="N175" s="26">
        <f>IF(H175="","",SUMIFS(VENDAS!$F$5:$F$1004,VENDAS!$A$5:$A$1004,H175,VENDAS!$D$5:$D$1004,N$4))</f>
        <v/>
      </c>
      <c r="O175" s="26">
        <f>IF(H175="","",SUMIFS(VENDAS!$F$5:$F$1004,VENDAS!$A$5:$A$1004,H175,VENDAS!$D$5:$D$1004,O$4))</f>
        <v/>
      </c>
      <c r="P175" s="26">
        <f>IF(H175="","",SUMIFS(VENDAS!$F$5:$F$1004,VENDAS!$A$5:$A$1004,H175,VENDAS!$D$5:$D$1004,P$4))</f>
        <v/>
      </c>
      <c r="Q175" s="24">
        <f>IF(H175="","",SUMIFS(VENDAS!$H$5:$H$1004,VENDAS!$A$5:$A$1004,H175))</f>
        <v/>
      </c>
      <c r="R175" s="24">
        <f>IF(H175="","",SUMIFS(VENDAS!$K$5:$K$1004,VENDAS!$A$5:$A$1004,H175))</f>
        <v/>
      </c>
      <c r="S175" s="20" t="n"/>
      <c r="T175" s="31" t="n"/>
    </row>
    <row r="176">
      <c r="H176" s="20" t="n"/>
      <c r="I176" s="30">
        <f>IF(H176="","",IFERROR(INDEX(VENDAS!$B$5:$B$1004,MATCH(H176,VENDAS!$A$5:$A$1004,0)),"não lançado"))</f>
        <v/>
      </c>
      <c r="J176" s="22">
        <f>IF(H176="","",IFERROR(INDEX(VENDAS!$M$5:$M$1004,MATCH(H176,VENDAS!$A$5:$A$1004,0))&amp;"",""))</f>
        <v/>
      </c>
      <c r="K176" s="22">
        <f>IF(H176="","",IFERROR(INDEX(VENDAS!$J$5:$J$1004,MATCH(H176,VENDAS!$A$5:$A$1004,0))&amp;"",""))</f>
        <v/>
      </c>
      <c r="L176" s="26">
        <f>IF(H176="","",SUMIFS(VENDAS!$F$5:$F$1004,VENDAS!$A$5:$A$1004,H176))</f>
        <v/>
      </c>
      <c r="M176" s="26">
        <f>IF(H176="","",SUMIFS(VENDAS!$F$5:$F$1004,VENDAS!$A$5:$A$1004,H176,VENDAS!$D$5:$D$1004,M$4))</f>
        <v/>
      </c>
      <c r="N176" s="26">
        <f>IF(H176="","",SUMIFS(VENDAS!$F$5:$F$1004,VENDAS!$A$5:$A$1004,H176,VENDAS!$D$5:$D$1004,N$4))</f>
        <v/>
      </c>
      <c r="O176" s="26">
        <f>IF(H176="","",SUMIFS(VENDAS!$F$5:$F$1004,VENDAS!$A$5:$A$1004,H176,VENDAS!$D$5:$D$1004,O$4))</f>
        <v/>
      </c>
      <c r="P176" s="26">
        <f>IF(H176="","",SUMIFS(VENDAS!$F$5:$F$1004,VENDAS!$A$5:$A$1004,H176,VENDAS!$D$5:$D$1004,P$4))</f>
        <v/>
      </c>
      <c r="Q176" s="24">
        <f>IF(H176="","",SUMIFS(VENDAS!$H$5:$H$1004,VENDAS!$A$5:$A$1004,H176))</f>
        <v/>
      </c>
      <c r="R176" s="24">
        <f>IF(H176="","",SUMIFS(VENDAS!$K$5:$K$1004,VENDAS!$A$5:$A$1004,H176))</f>
        <v/>
      </c>
      <c r="S176" s="20" t="n"/>
      <c r="T176" s="31" t="n"/>
    </row>
    <row r="177">
      <c r="H177" s="20" t="n"/>
      <c r="I177" s="30">
        <f>IF(H177="","",IFERROR(INDEX(VENDAS!$B$5:$B$1004,MATCH(H177,VENDAS!$A$5:$A$1004,0)),"não lançado"))</f>
        <v/>
      </c>
      <c r="J177" s="22">
        <f>IF(H177="","",IFERROR(INDEX(VENDAS!$M$5:$M$1004,MATCH(H177,VENDAS!$A$5:$A$1004,0))&amp;"",""))</f>
        <v/>
      </c>
      <c r="K177" s="22">
        <f>IF(H177="","",IFERROR(INDEX(VENDAS!$J$5:$J$1004,MATCH(H177,VENDAS!$A$5:$A$1004,0))&amp;"",""))</f>
        <v/>
      </c>
      <c r="L177" s="26">
        <f>IF(H177="","",SUMIFS(VENDAS!$F$5:$F$1004,VENDAS!$A$5:$A$1004,H177))</f>
        <v/>
      </c>
      <c r="M177" s="26">
        <f>IF(H177="","",SUMIFS(VENDAS!$F$5:$F$1004,VENDAS!$A$5:$A$1004,H177,VENDAS!$D$5:$D$1004,M$4))</f>
        <v/>
      </c>
      <c r="N177" s="26">
        <f>IF(H177="","",SUMIFS(VENDAS!$F$5:$F$1004,VENDAS!$A$5:$A$1004,H177,VENDAS!$D$5:$D$1004,N$4))</f>
        <v/>
      </c>
      <c r="O177" s="26">
        <f>IF(H177="","",SUMIFS(VENDAS!$F$5:$F$1004,VENDAS!$A$5:$A$1004,H177,VENDAS!$D$5:$D$1004,O$4))</f>
        <v/>
      </c>
      <c r="P177" s="26">
        <f>IF(H177="","",SUMIFS(VENDAS!$F$5:$F$1004,VENDAS!$A$5:$A$1004,H177,VENDAS!$D$5:$D$1004,P$4))</f>
        <v/>
      </c>
      <c r="Q177" s="24">
        <f>IF(H177="","",SUMIFS(VENDAS!$H$5:$H$1004,VENDAS!$A$5:$A$1004,H177))</f>
        <v/>
      </c>
      <c r="R177" s="24">
        <f>IF(H177="","",SUMIFS(VENDAS!$K$5:$K$1004,VENDAS!$A$5:$A$1004,H177))</f>
        <v/>
      </c>
      <c r="S177" s="20" t="n"/>
      <c r="T177" s="31" t="n"/>
    </row>
    <row r="178">
      <c r="H178" s="20" t="n"/>
      <c r="I178" s="30">
        <f>IF(H178="","",IFERROR(INDEX(VENDAS!$B$5:$B$1004,MATCH(H178,VENDAS!$A$5:$A$1004,0)),"não lançado"))</f>
        <v/>
      </c>
      <c r="J178" s="22">
        <f>IF(H178="","",IFERROR(INDEX(VENDAS!$M$5:$M$1004,MATCH(H178,VENDAS!$A$5:$A$1004,0))&amp;"",""))</f>
        <v/>
      </c>
      <c r="K178" s="22">
        <f>IF(H178="","",IFERROR(INDEX(VENDAS!$J$5:$J$1004,MATCH(H178,VENDAS!$A$5:$A$1004,0))&amp;"",""))</f>
        <v/>
      </c>
      <c r="L178" s="26">
        <f>IF(H178="","",SUMIFS(VENDAS!$F$5:$F$1004,VENDAS!$A$5:$A$1004,H178))</f>
        <v/>
      </c>
      <c r="M178" s="26">
        <f>IF(H178="","",SUMIFS(VENDAS!$F$5:$F$1004,VENDAS!$A$5:$A$1004,H178,VENDAS!$D$5:$D$1004,M$4))</f>
        <v/>
      </c>
      <c r="N178" s="26">
        <f>IF(H178="","",SUMIFS(VENDAS!$F$5:$F$1004,VENDAS!$A$5:$A$1004,H178,VENDAS!$D$5:$D$1004,N$4))</f>
        <v/>
      </c>
      <c r="O178" s="26">
        <f>IF(H178="","",SUMIFS(VENDAS!$F$5:$F$1004,VENDAS!$A$5:$A$1004,H178,VENDAS!$D$5:$D$1004,O$4))</f>
        <v/>
      </c>
      <c r="P178" s="26">
        <f>IF(H178="","",SUMIFS(VENDAS!$F$5:$F$1004,VENDAS!$A$5:$A$1004,H178,VENDAS!$D$5:$D$1004,P$4))</f>
        <v/>
      </c>
      <c r="Q178" s="24">
        <f>IF(H178="","",SUMIFS(VENDAS!$H$5:$H$1004,VENDAS!$A$5:$A$1004,H178))</f>
        <v/>
      </c>
      <c r="R178" s="24">
        <f>IF(H178="","",SUMIFS(VENDAS!$K$5:$K$1004,VENDAS!$A$5:$A$1004,H178))</f>
        <v/>
      </c>
      <c r="S178" s="20" t="n"/>
      <c r="T178" s="31" t="n"/>
    </row>
    <row r="179">
      <c r="H179" s="20" t="n"/>
      <c r="I179" s="30">
        <f>IF(H179="","",IFERROR(INDEX(VENDAS!$B$5:$B$1004,MATCH(H179,VENDAS!$A$5:$A$1004,0)),"não lançado"))</f>
        <v/>
      </c>
      <c r="J179" s="22">
        <f>IF(H179="","",IFERROR(INDEX(VENDAS!$M$5:$M$1004,MATCH(H179,VENDAS!$A$5:$A$1004,0))&amp;"",""))</f>
        <v/>
      </c>
      <c r="K179" s="22">
        <f>IF(H179="","",IFERROR(INDEX(VENDAS!$J$5:$J$1004,MATCH(H179,VENDAS!$A$5:$A$1004,0))&amp;"",""))</f>
        <v/>
      </c>
      <c r="L179" s="26">
        <f>IF(H179="","",SUMIFS(VENDAS!$F$5:$F$1004,VENDAS!$A$5:$A$1004,H179))</f>
        <v/>
      </c>
      <c r="M179" s="26">
        <f>IF(H179="","",SUMIFS(VENDAS!$F$5:$F$1004,VENDAS!$A$5:$A$1004,H179,VENDAS!$D$5:$D$1004,M$4))</f>
        <v/>
      </c>
      <c r="N179" s="26">
        <f>IF(H179="","",SUMIFS(VENDAS!$F$5:$F$1004,VENDAS!$A$5:$A$1004,H179,VENDAS!$D$5:$D$1004,N$4))</f>
        <v/>
      </c>
      <c r="O179" s="26">
        <f>IF(H179="","",SUMIFS(VENDAS!$F$5:$F$1004,VENDAS!$A$5:$A$1004,H179,VENDAS!$D$5:$D$1004,O$4))</f>
        <v/>
      </c>
      <c r="P179" s="26">
        <f>IF(H179="","",SUMIFS(VENDAS!$F$5:$F$1004,VENDAS!$A$5:$A$1004,H179,VENDAS!$D$5:$D$1004,P$4))</f>
        <v/>
      </c>
      <c r="Q179" s="24">
        <f>IF(H179="","",SUMIFS(VENDAS!$H$5:$H$1004,VENDAS!$A$5:$A$1004,H179))</f>
        <v/>
      </c>
      <c r="R179" s="24">
        <f>IF(H179="","",SUMIFS(VENDAS!$K$5:$K$1004,VENDAS!$A$5:$A$1004,H179))</f>
        <v/>
      </c>
      <c r="S179" s="20" t="n"/>
      <c r="T179" s="31" t="n"/>
    </row>
    <row r="180">
      <c r="H180" s="20" t="n"/>
      <c r="I180" s="30">
        <f>IF(H180="","",IFERROR(INDEX(VENDAS!$B$5:$B$1004,MATCH(H180,VENDAS!$A$5:$A$1004,0)),"não lançado"))</f>
        <v/>
      </c>
      <c r="J180" s="22">
        <f>IF(H180="","",IFERROR(INDEX(VENDAS!$M$5:$M$1004,MATCH(H180,VENDAS!$A$5:$A$1004,0))&amp;"",""))</f>
        <v/>
      </c>
      <c r="K180" s="22">
        <f>IF(H180="","",IFERROR(INDEX(VENDAS!$J$5:$J$1004,MATCH(H180,VENDAS!$A$5:$A$1004,0))&amp;"",""))</f>
        <v/>
      </c>
      <c r="L180" s="26">
        <f>IF(H180="","",SUMIFS(VENDAS!$F$5:$F$1004,VENDAS!$A$5:$A$1004,H180))</f>
        <v/>
      </c>
      <c r="M180" s="26">
        <f>IF(H180="","",SUMIFS(VENDAS!$F$5:$F$1004,VENDAS!$A$5:$A$1004,H180,VENDAS!$D$5:$D$1004,M$4))</f>
        <v/>
      </c>
      <c r="N180" s="26">
        <f>IF(H180="","",SUMIFS(VENDAS!$F$5:$F$1004,VENDAS!$A$5:$A$1004,H180,VENDAS!$D$5:$D$1004,N$4))</f>
        <v/>
      </c>
      <c r="O180" s="26">
        <f>IF(H180="","",SUMIFS(VENDAS!$F$5:$F$1004,VENDAS!$A$5:$A$1004,H180,VENDAS!$D$5:$D$1004,O$4))</f>
        <v/>
      </c>
      <c r="P180" s="26">
        <f>IF(H180="","",SUMIFS(VENDAS!$F$5:$F$1004,VENDAS!$A$5:$A$1004,H180,VENDAS!$D$5:$D$1004,P$4))</f>
        <v/>
      </c>
      <c r="Q180" s="24">
        <f>IF(H180="","",SUMIFS(VENDAS!$H$5:$H$1004,VENDAS!$A$5:$A$1004,H180))</f>
        <v/>
      </c>
      <c r="R180" s="24">
        <f>IF(H180="","",SUMIFS(VENDAS!$K$5:$K$1004,VENDAS!$A$5:$A$1004,H180))</f>
        <v/>
      </c>
      <c r="S180" s="20" t="n"/>
      <c r="T180" s="31" t="n"/>
    </row>
    <row r="181">
      <c r="H181" s="20" t="n"/>
      <c r="I181" s="30">
        <f>IF(H181="","",IFERROR(INDEX(VENDAS!$B$5:$B$1004,MATCH(H181,VENDAS!$A$5:$A$1004,0)),"não lançado"))</f>
        <v/>
      </c>
      <c r="J181" s="22">
        <f>IF(H181="","",IFERROR(INDEX(VENDAS!$M$5:$M$1004,MATCH(H181,VENDAS!$A$5:$A$1004,0))&amp;"",""))</f>
        <v/>
      </c>
      <c r="K181" s="22">
        <f>IF(H181="","",IFERROR(INDEX(VENDAS!$J$5:$J$1004,MATCH(H181,VENDAS!$A$5:$A$1004,0))&amp;"",""))</f>
        <v/>
      </c>
      <c r="L181" s="26">
        <f>IF(H181="","",SUMIFS(VENDAS!$F$5:$F$1004,VENDAS!$A$5:$A$1004,H181))</f>
        <v/>
      </c>
      <c r="M181" s="26">
        <f>IF(H181="","",SUMIFS(VENDAS!$F$5:$F$1004,VENDAS!$A$5:$A$1004,H181,VENDAS!$D$5:$D$1004,M$4))</f>
        <v/>
      </c>
      <c r="N181" s="26">
        <f>IF(H181="","",SUMIFS(VENDAS!$F$5:$F$1004,VENDAS!$A$5:$A$1004,H181,VENDAS!$D$5:$D$1004,N$4))</f>
        <v/>
      </c>
      <c r="O181" s="26">
        <f>IF(H181="","",SUMIFS(VENDAS!$F$5:$F$1004,VENDAS!$A$5:$A$1004,H181,VENDAS!$D$5:$D$1004,O$4))</f>
        <v/>
      </c>
      <c r="P181" s="26">
        <f>IF(H181="","",SUMIFS(VENDAS!$F$5:$F$1004,VENDAS!$A$5:$A$1004,H181,VENDAS!$D$5:$D$1004,P$4))</f>
        <v/>
      </c>
      <c r="Q181" s="24">
        <f>IF(H181="","",SUMIFS(VENDAS!$H$5:$H$1004,VENDAS!$A$5:$A$1004,H181))</f>
        <v/>
      </c>
      <c r="R181" s="24">
        <f>IF(H181="","",SUMIFS(VENDAS!$K$5:$K$1004,VENDAS!$A$5:$A$1004,H181))</f>
        <v/>
      </c>
      <c r="S181" s="20" t="n"/>
      <c r="T181" s="31" t="n"/>
    </row>
    <row r="182">
      <c r="H182" s="20" t="n"/>
      <c r="I182" s="30">
        <f>IF(H182="","",IFERROR(INDEX(VENDAS!$B$5:$B$1004,MATCH(H182,VENDAS!$A$5:$A$1004,0)),"não lançado"))</f>
        <v/>
      </c>
      <c r="J182" s="22">
        <f>IF(H182="","",IFERROR(INDEX(VENDAS!$M$5:$M$1004,MATCH(H182,VENDAS!$A$5:$A$1004,0))&amp;"",""))</f>
        <v/>
      </c>
      <c r="K182" s="22">
        <f>IF(H182="","",IFERROR(INDEX(VENDAS!$J$5:$J$1004,MATCH(H182,VENDAS!$A$5:$A$1004,0))&amp;"",""))</f>
        <v/>
      </c>
      <c r="L182" s="26">
        <f>IF(H182="","",SUMIFS(VENDAS!$F$5:$F$1004,VENDAS!$A$5:$A$1004,H182))</f>
        <v/>
      </c>
      <c r="M182" s="26">
        <f>IF(H182="","",SUMIFS(VENDAS!$F$5:$F$1004,VENDAS!$A$5:$A$1004,H182,VENDAS!$D$5:$D$1004,M$4))</f>
        <v/>
      </c>
      <c r="N182" s="26">
        <f>IF(H182="","",SUMIFS(VENDAS!$F$5:$F$1004,VENDAS!$A$5:$A$1004,H182,VENDAS!$D$5:$D$1004,N$4))</f>
        <v/>
      </c>
      <c r="O182" s="26">
        <f>IF(H182="","",SUMIFS(VENDAS!$F$5:$F$1004,VENDAS!$A$5:$A$1004,H182,VENDAS!$D$5:$D$1004,O$4))</f>
        <v/>
      </c>
      <c r="P182" s="26">
        <f>IF(H182="","",SUMIFS(VENDAS!$F$5:$F$1004,VENDAS!$A$5:$A$1004,H182,VENDAS!$D$5:$D$1004,P$4))</f>
        <v/>
      </c>
      <c r="Q182" s="24">
        <f>IF(H182="","",SUMIFS(VENDAS!$H$5:$H$1004,VENDAS!$A$5:$A$1004,H182))</f>
        <v/>
      </c>
      <c r="R182" s="24">
        <f>IF(H182="","",SUMIFS(VENDAS!$K$5:$K$1004,VENDAS!$A$5:$A$1004,H182))</f>
        <v/>
      </c>
      <c r="S182" s="20" t="n"/>
      <c r="T182" s="31" t="n"/>
    </row>
    <row r="183">
      <c r="H183" s="20" t="n"/>
      <c r="I183" s="30">
        <f>IF(H183="","",IFERROR(INDEX(VENDAS!$B$5:$B$1004,MATCH(H183,VENDAS!$A$5:$A$1004,0)),"não lançado"))</f>
        <v/>
      </c>
      <c r="J183" s="22">
        <f>IF(H183="","",IFERROR(INDEX(VENDAS!$M$5:$M$1004,MATCH(H183,VENDAS!$A$5:$A$1004,0))&amp;"",""))</f>
        <v/>
      </c>
      <c r="K183" s="22">
        <f>IF(H183="","",IFERROR(INDEX(VENDAS!$J$5:$J$1004,MATCH(H183,VENDAS!$A$5:$A$1004,0))&amp;"",""))</f>
        <v/>
      </c>
      <c r="L183" s="26">
        <f>IF(H183="","",SUMIFS(VENDAS!$F$5:$F$1004,VENDAS!$A$5:$A$1004,H183))</f>
        <v/>
      </c>
      <c r="M183" s="26">
        <f>IF(H183="","",SUMIFS(VENDAS!$F$5:$F$1004,VENDAS!$A$5:$A$1004,H183,VENDAS!$D$5:$D$1004,M$4))</f>
        <v/>
      </c>
      <c r="N183" s="26">
        <f>IF(H183="","",SUMIFS(VENDAS!$F$5:$F$1004,VENDAS!$A$5:$A$1004,H183,VENDAS!$D$5:$D$1004,N$4))</f>
        <v/>
      </c>
      <c r="O183" s="26">
        <f>IF(H183="","",SUMIFS(VENDAS!$F$5:$F$1004,VENDAS!$A$5:$A$1004,H183,VENDAS!$D$5:$D$1004,O$4))</f>
        <v/>
      </c>
      <c r="P183" s="26">
        <f>IF(H183="","",SUMIFS(VENDAS!$F$5:$F$1004,VENDAS!$A$5:$A$1004,H183,VENDAS!$D$5:$D$1004,P$4))</f>
        <v/>
      </c>
      <c r="Q183" s="24">
        <f>IF(H183="","",SUMIFS(VENDAS!$H$5:$H$1004,VENDAS!$A$5:$A$1004,H183))</f>
        <v/>
      </c>
      <c r="R183" s="24">
        <f>IF(H183="","",SUMIFS(VENDAS!$K$5:$K$1004,VENDAS!$A$5:$A$1004,H183))</f>
        <v/>
      </c>
      <c r="S183" s="20" t="n"/>
      <c r="T183" s="31" t="n"/>
    </row>
    <row r="184">
      <c r="H184" s="20" t="n"/>
      <c r="I184" s="30">
        <f>IF(H184="","",IFERROR(INDEX(VENDAS!$B$5:$B$1004,MATCH(H184,VENDAS!$A$5:$A$1004,0)),"não lançado"))</f>
        <v/>
      </c>
      <c r="J184" s="22">
        <f>IF(H184="","",IFERROR(INDEX(VENDAS!$M$5:$M$1004,MATCH(H184,VENDAS!$A$5:$A$1004,0))&amp;"",""))</f>
        <v/>
      </c>
      <c r="K184" s="22">
        <f>IF(H184="","",IFERROR(INDEX(VENDAS!$J$5:$J$1004,MATCH(H184,VENDAS!$A$5:$A$1004,0))&amp;"",""))</f>
        <v/>
      </c>
      <c r="L184" s="26">
        <f>IF(H184="","",SUMIFS(VENDAS!$F$5:$F$1004,VENDAS!$A$5:$A$1004,H184))</f>
        <v/>
      </c>
      <c r="M184" s="26">
        <f>IF(H184="","",SUMIFS(VENDAS!$F$5:$F$1004,VENDAS!$A$5:$A$1004,H184,VENDAS!$D$5:$D$1004,M$4))</f>
        <v/>
      </c>
      <c r="N184" s="26">
        <f>IF(H184="","",SUMIFS(VENDAS!$F$5:$F$1004,VENDAS!$A$5:$A$1004,H184,VENDAS!$D$5:$D$1004,N$4))</f>
        <v/>
      </c>
      <c r="O184" s="26">
        <f>IF(H184="","",SUMIFS(VENDAS!$F$5:$F$1004,VENDAS!$A$5:$A$1004,H184,VENDAS!$D$5:$D$1004,O$4))</f>
        <v/>
      </c>
      <c r="P184" s="26">
        <f>IF(H184="","",SUMIFS(VENDAS!$F$5:$F$1004,VENDAS!$A$5:$A$1004,H184,VENDAS!$D$5:$D$1004,P$4))</f>
        <v/>
      </c>
      <c r="Q184" s="24">
        <f>IF(H184="","",SUMIFS(VENDAS!$H$5:$H$1004,VENDAS!$A$5:$A$1004,H184))</f>
        <v/>
      </c>
      <c r="R184" s="24">
        <f>IF(H184="","",SUMIFS(VENDAS!$K$5:$K$1004,VENDAS!$A$5:$A$1004,H184))</f>
        <v/>
      </c>
      <c r="S184" s="20" t="n"/>
      <c r="T184" s="31" t="n"/>
    </row>
    <row r="185">
      <c r="H185" s="20" t="n"/>
      <c r="I185" s="30">
        <f>IF(H185="","",IFERROR(INDEX(VENDAS!$B$5:$B$1004,MATCH(H185,VENDAS!$A$5:$A$1004,0)),"não lançado"))</f>
        <v/>
      </c>
      <c r="J185" s="22">
        <f>IF(H185="","",IFERROR(INDEX(VENDAS!$M$5:$M$1004,MATCH(H185,VENDAS!$A$5:$A$1004,0))&amp;"",""))</f>
        <v/>
      </c>
      <c r="K185" s="22">
        <f>IF(H185="","",IFERROR(INDEX(VENDAS!$J$5:$J$1004,MATCH(H185,VENDAS!$A$5:$A$1004,0))&amp;"",""))</f>
        <v/>
      </c>
      <c r="L185" s="26">
        <f>IF(H185="","",SUMIFS(VENDAS!$F$5:$F$1004,VENDAS!$A$5:$A$1004,H185))</f>
        <v/>
      </c>
      <c r="M185" s="26">
        <f>IF(H185="","",SUMIFS(VENDAS!$F$5:$F$1004,VENDAS!$A$5:$A$1004,H185,VENDAS!$D$5:$D$1004,M$4))</f>
        <v/>
      </c>
      <c r="N185" s="26">
        <f>IF(H185="","",SUMIFS(VENDAS!$F$5:$F$1004,VENDAS!$A$5:$A$1004,H185,VENDAS!$D$5:$D$1004,N$4))</f>
        <v/>
      </c>
      <c r="O185" s="26">
        <f>IF(H185="","",SUMIFS(VENDAS!$F$5:$F$1004,VENDAS!$A$5:$A$1004,H185,VENDAS!$D$5:$D$1004,O$4))</f>
        <v/>
      </c>
      <c r="P185" s="26">
        <f>IF(H185="","",SUMIFS(VENDAS!$F$5:$F$1004,VENDAS!$A$5:$A$1004,H185,VENDAS!$D$5:$D$1004,P$4))</f>
        <v/>
      </c>
      <c r="Q185" s="24">
        <f>IF(H185="","",SUMIFS(VENDAS!$H$5:$H$1004,VENDAS!$A$5:$A$1004,H185))</f>
        <v/>
      </c>
      <c r="R185" s="24">
        <f>IF(H185="","",SUMIFS(VENDAS!$K$5:$K$1004,VENDAS!$A$5:$A$1004,H185))</f>
        <v/>
      </c>
      <c r="S185" s="20" t="n"/>
      <c r="T185" s="31" t="n"/>
    </row>
    <row r="186">
      <c r="H186" s="20" t="n"/>
      <c r="I186" s="30">
        <f>IF(H186="","",IFERROR(INDEX(VENDAS!$B$5:$B$1004,MATCH(H186,VENDAS!$A$5:$A$1004,0)),"não lançado"))</f>
        <v/>
      </c>
      <c r="J186" s="22">
        <f>IF(H186="","",IFERROR(INDEX(VENDAS!$M$5:$M$1004,MATCH(H186,VENDAS!$A$5:$A$1004,0))&amp;"",""))</f>
        <v/>
      </c>
      <c r="K186" s="22">
        <f>IF(H186="","",IFERROR(INDEX(VENDAS!$J$5:$J$1004,MATCH(H186,VENDAS!$A$5:$A$1004,0))&amp;"",""))</f>
        <v/>
      </c>
      <c r="L186" s="26">
        <f>IF(H186="","",SUMIFS(VENDAS!$F$5:$F$1004,VENDAS!$A$5:$A$1004,H186))</f>
        <v/>
      </c>
      <c r="M186" s="26">
        <f>IF(H186="","",SUMIFS(VENDAS!$F$5:$F$1004,VENDAS!$A$5:$A$1004,H186,VENDAS!$D$5:$D$1004,M$4))</f>
        <v/>
      </c>
      <c r="N186" s="26">
        <f>IF(H186="","",SUMIFS(VENDAS!$F$5:$F$1004,VENDAS!$A$5:$A$1004,H186,VENDAS!$D$5:$D$1004,N$4))</f>
        <v/>
      </c>
      <c r="O186" s="26">
        <f>IF(H186="","",SUMIFS(VENDAS!$F$5:$F$1004,VENDAS!$A$5:$A$1004,H186,VENDAS!$D$5:$D$1004,O$4))</f>
        <v/>
      </c>
      <c r="P186" s="26">
        <f>IF(H186="","",SUMIFS(VENDAS!$F$5:$F$1004,VENDAS!$A$5:$A$1004,H186,VENDAS!$D$5:$D$1004,P$4))</f>
        <v/>
      </c>
      <c r="Q186" s="24">
        <f>IF(H186="","",SUMIFS(VENDAS!$H$5:$H$1004,VENDAS!$A$5:$A$1004,H186))</f>
        <v/>
      </c>
      <c r="R186" s="24">
        <f>IF(H186="","",SUMIFS(VENDAS!$K$5:$K$1004,VENDAS!$A$5:$A$1004,H186))</f>
        <v/>
      </c>
      <c r="S186" s="20" t="n"/>
      <c r="T186" s="31" t="n"/>
    </row>
    <row r="187">
      <c r="H187" s="20" t="n"/>
      <c r="I187" s="30">
        <f>IF(H187="","",IFERROR(INDEX(VENDAS!$B$5:$B$1004,MATCH(H187,VENDAS!$A$5:$A$1004,0)),"não lançado"))</f>
        <v/>
      </c>
      <c r="J187" s="22">
        <f>IF(H187="","",IFERROR(INDEX(VENDAS!$M$5:$M$1004,MATCH(H187,VENDAS!$A$5:$A$1004,0))&amp;"",""))</f>
        <v/>
      </c>
      <c r="K187" s="22">
        <f>IF(H187="","",IFERROR(INDEX(VENDAS!$J$5:$J$1004,MATCH(H187,VENDAS!$A$5:$A$1004,0))&amp;"",""))</f>
        <v/>
      </c>
      <c r="L187" s="26">
        <f>IF(H187="","",SUMIFS(VENDAS!$F$5:$F$1004,VENDAS!$A$5:$A$1004,H187))</f>
        <v/>
      </c>
      <c r="M187" s="26">
        <f>IF(H187="","",SUMIFS(VENDAS!$F$5:$F$1004,VENDAS!$A$5:$A$1004,H187,VENDAS!$D$5:$D$1004,M$4))</f>
        <v/>
      </c>
      <c r="N187" s="26">
        <f>IF(H187="","",SUMIFS(VENDAS!$F$5:$F$1004,VENDAS!$A$5:$A$1004,H187,VENDAS!$D$5:$D$1004,N$4))</f>
        <v/>
      </c>
      <c r="O187" s="26">
        <f>IF(H187="","",SUMIFS(VENDAS!$F$5:$F$1004,VENDAS!$A$5:$A$1004,H187,VENDAS!$D$5:$D$1004,O$4))</f>
        <v/>
      </c>
      <c r="P187" s="26">
        <f>IF(H187="","",SUMIFS(VENDAS!$F$5:$F$1004,VENDAS!$A$5:$A$1004,H187,VENDAS!$D$5:$D$1004,P$4))</f>
        <v/>
      </c>
      <c r="Q187" s="24">
        <f>IF(H187="","",SUMIFS(VENDAS!$H$5:$H$1004,VENDAS!$A$5:$A$1004,H187))</f>
        <v/>
      </c>
      <c r="R187" s="24">
        <f>IF(H187="","",SUMIFS(VENDAS!$K$5:$K$1004,VENDAS!$A$5:$A$1004,H187))</f>
        <v/>
      </c>
      <c r="S187" s="20" t="n"/>
      <c r="T187" s="31" t="n"/>
    </row>
    <row r="188">
      <c r="H188" s="20" t="n"/>
      <c r="I188" s="30">
        <f>IF(H188="","",IFERROR(INDEX(VENDAS!$B$5:$B$1004,MATCH(H188,VENDAS!$A$5:$A$1004,0)),"não lançado"))</f>
        <v/>
      </c>
      <c r="J188" s="22">
        <f>IF(H188="","",IFERROR(INDEX(VENDAS!$M$5:$M$1004,MATCH(H188,VENDAS!$A$5:$A$1004,0))&amp;"",""))</f>
        <v/>
      </c>
      <c r="K188" s="22">
        <f>IF(H188="","",IFERROR(INDEX(VENDAS!$J$5:$J$1004,MATCH(H188,VENDAS!$A$5:$A$1004,0))&amp;"",""))</f>
        <v/>
      </c>
      <c r="L188" s="26">
        <f>IF(H188="","",SUMIFS(VENDAS!$F$5:$F$1004,VENDAS!$A$5:$A$1004,H188))</f>
        <v/>
      </c>
      <c r="M188" s="26">
        <f>IF(H188="","",SUMIFS(VENDAS!$F$5:$F$1004,VENDAS!$A$5:$A$1004,H188,VENDAS!$D$5:$D$1004,M$4))</f>
        <v/>
      </c>
      <c r="N188" s="26">
        <f>IF(H188="","",SUMIFS(VENDAS!$F$5:$F$1004,VENDAS!$A$5:$A$1004,H188,VENDAS!$D$5:$D$1004,N$4))</f>
        <v/>
      </c>
      <c r="O188" s="26">
        <f>IF(H188="","",SUMIFS(VENDAS!$F$5:$F$1004,VENDAS!$A$5:$A$1004,H188,VENDAS!$D$5:$D$1004,O$4))</f>
        <v/>
      </c>
      <c r="P188" s="26">
        <f>IF(H188="","",SUMIFS(VENDAS!$F$5:$F$1004,VENDAS!$A$5:$A$1004,H188,VENDAS!$D$5:$D$1004,P$4))</f>
        <v/>
      </c>
      <c r="Q188" s="24">
        <f>IF(H188="","",SUMIFS(VENDAS!$H$5:$H$1004,VENDAS!$A$5:$A$1004,H188))</f>
        <v/>
      </c>
      <c r="R188" s="24">
        <f>IF(H188="","",SUMIFS(VENDAS!$K$5:$K$1004,VENDAS!$A$5:$A$1004,H188))</f>
        <v/>
      </c>
      <c r="S188" s="20" t="n"/>
      <c r="T188" s="31" t="n"/>
    </row>
    <row r="189">
      <c r="H189" s="20" t="n"/>
      <c r="I189" s="30">
        <f>IF(H189="","",IFERROR(INDEX(VENDAS!$B$5:$B$1004,MATCH(H189,VENDAS!$A$5:$A$1004,0)),"não lançado"))</f>
        <v/>
      </c>
      <c r="J189" s="22">
        <f>IF(H189="","",IFERROR(INDEX(VENDAS!$M$5:$M$1004,MATCH(H189,VENDAS!$A$5:$A$1004,0))&amp;"",""))</f>
        <v/>
      </c>
      <c r="K189" s="22">
        <f>IF(H189="","",IFERROR(INDEX(VENDAS!$J$5:$J$1004,MATCH(H189,VENDAS!$A$5:$A$1004,0))&amp;"",""))</f>
        <v/>
      </c>
      <c r="L189" s="26">
        <f>IF(H189="","",SUMIFS(VENDAS!$F$5:$F$1004,VENDAS!$A$5:$A$1004,H189))</f>
        <v/>
      </c>
      <c r="M189" s="26">
        <f>IF(H189="","",SUMIFS(VENDAS!$F$5:$F$1004,VENDAS!$A$5:$A$1004,H189,VENDAS!$D$5:$D$1004,M$4))</f>
        <v/>
      </c>
      <c r="N189" s="26">
        <f>IF(H189="","",SUMIFS(VENDAS!$F$5:$F$1004,VENDAS!$A$5:$A$1004,H189,VENDAS!$D$5:$D$1004,N$4))</f>
        <v/>
      </c>
      <c r="O189" s="26">
        <f>IF(H189="","",SUMIFS(VENDAS!$F$5:$F$1004,VENDAS!$A$5:$A$1004,H189,VENDAS!$D$5:$D$1004,O$4))</f>
        <v/>
      </c>
      <c r="P189" s="26">
        <f>IF(H189="","",SUMIFS(VENDAS!$F$5:$F$1004,VENDAS!$A$5:$A$1004,H189,VENDAS!$D$5:$D$1004,P$4))</f>
        <v/>
      </c>
      <c r="Q189" s="24">
        <f>IF(H189="","",SUMIFS(VENDAS!$H$5:$H$1004,VENDAS!$A$5:$A$1004,H189))</f>
        <v/>
      </c>
      <c r="R189" s="24">
        <f>IF(H189="","",SUMIFS(VENDAS!$K$5:$K$1004,VENDAS!$A$5:$A$1004,H189))</f>
        <v/>
      </c>
      <c r="S189" s="20" t="n"/>
      <c r="T189" s="31" t="n"/>
    </row>
    <row r="190">
      <c r="H190" s="20" t="n"/>
      <c r="I190" s="30">
        <f>IF(H190="","",IFERROR(INDEX(VENDAS!$B$5:$B$1004,MATCH(H190,VENDAS!$A$5:$A$1004,0)),"não lançado"))</f>
        <v/>
      </c>
      <c r="J190" s="22">
        <f>IF(H190="","",IFERROR(INDEX(VENDAS!$M$5:$M$1004,MATCH(H190,VENDAS!$A$5:$A$1004,0))&amp;"",""))</f>
        <v/>
      </c>
      <c r="K190" s="22">
        <f>IF(H190="","",IFERROR(INDEX(VENDAS!$J$5:$J$1004,MATCH(H190,VENDAS!$A$5:$A$1004,0))&amp;"",""))</f>
        <v/>
      </c>
      <c r="L190" s="26">
        <f>IF(H190="","",SUMIFS(VENDAS!$F$5:$F$1004,VENDAS!$A$5:$A$1004,H190))</f>
        <v/>
      </c>
      <c r="M190" s="26">
        <f>IF(H190="","",SUMIFS(VENDAS!$F$5:$F$1004,VENDAS!$A$5:$A$1004,H190,VENDAS!$D$5:$D$1004,M$4))</f>
        <v/>
      </c>
      <c r="N190" s="26">
        <f>IF(H190="","",SUMIFS(VENDAS!$F$5:$F$1004,VENDAS!$A$5:$A$1004,H190,VENDAS!$D$5:$D$1004,N$4))</f>
        <v/>
      </c>
      <c r="O190" s="26">
        <f>IF(H190="","",SUMIFS(VENDAS!$F$5:$F$1004,VENDAS!$A$5:$A$1004,H190,VENDAS!$D$5:$D$1004,O$4))</f>
        <v/>
      </c>
      <c r="P190" s="26">
        <f>IF(H190="","",SUMIFS(VENDAS!$F$5:$F$1004,VENDAS!$A$5:$A$1004,H190,VENDAS!$D$5:$D$1004,P$4))</f>
        <v/>
      </c>
      <c r="Q190" s="24">
        <f>IF(H190="","",SUMIFS(VENDAS!$H$5:$H$1004,VENDAS!$A$5:$A$1004,H190))</f>
        <v/>
      </c>
      <c r="R190" s="24">
        <f>IF(H190="","",SUMIFS(VENDAS!$K$5:$K$1004,VENDAS!$A$5:$A$1004,H190))</f>
        <v/>
      </c>
      <c r="S190" s="20" t="n"/>
      <c r="T190" s="31" t="n"/>
    </row>
    <row r="191">
      <c r="H191" s="20" t="n"/>
      <c r="I191" s="30">
        <f>IF(H191="","",IFERROR(INDEX(VENDAS!$B$5:$B$1004,MATCH(H191,VENDAS!$A$5:$A$1004,0)),"não lançado"))</f>
        <v/>
      </c>
      <c r="J191" s="22">
        <f>IF(H191="","",IFERROR(INDEX(VENDAS!$M$5:$M$1004,MATCH(H191,VENDAS!$A$5:$A$1004,0))&amp;"",""))</f>
        <v/>
      </c>
      <c r="K191" s="22">
        <f>IF(H191="","",IFERROR(INDEX(VENDAS!$J$5:$J$1004,MATCH(H191,VENDAS!$A$5:$A$1004,0))&amp;"",""))</f>
        <v/>
      </c>
      <c r="L191" s="26">
        <f>IF(H191="","",SUMIFS(VENDAS!$F$5:$F$1004,VENDAS!$A$5:$A$1004,H191))</f>
        <v/>
      </c>
      <c r="M191" s="26">
        <f>IF(H191="","",SUMIFS(VENDAS!$F$5:$F$1004,VENDAS!$A$5:$A$1004,H191,VENDAS!$D$5:$D$1004,M$4))</f>
        <v/>
      </c>
      <c r="N191" s="26">
        <f>IF(H191="","",SUMIFS(VENDAS!$F$5:$F$1004,VENDAS!$A$5:$A$1004,H191,VENDAS!$D$5:$D$1004,N$4))</f>
        <v/>
      </c>
      <c r="O191" s="26">
        <f>IF(H191="","",SUMIFS(VENDAS!$F$5:$F$1004,VENDAS!$A$5:$A$1004,H191,VENDAS!$D$5:$D$1004,O$4))</f>
        <v/>
      </c>
      <c r="P191" s="26">
        <f>IF(H191="","",SUMIFS(VENDAS!$F$5:$F$1004,VENDAS!$A$5:$A$1004,H191,VENDAS!$D$5:$D$1004,P$4))</f>
        <v/>
      </c>
      <c r="Q191" s="24">
        <f>IF(H191="","",SUMIFS(VENDAS!$H$5:$H$1004,VENDAS!$A$5:$A$1004,H191))</f>
        <v/>
      </c>
      <c r="R191" s="24">
        <f>IF(H191="","",SUMIFS(VENDAS!$K$5:$K$1004,VENDAS!$A$5:$A$1004,H191))</f>
        <v/>
      </c>
      <c r="S191" s="20" t="n"/>
      <c r="T191" s="31" t="n"/>
    </row>
    <row r="192">
      <c r="H192" s="20" t="n"/>
      <c r="I192" s="30">
        <f>IF(H192="","",IFERROR(INDEX(VENDAS!$B$5:$B$1004,MATCH(H192,VENDAS!$A$5:$A$1004,0)),"não lançado"))</f>
        <v/>
      </c>
      <c r="J192" s="22">
        <f>IF(H192="","",IFERROR(INDEX(VENDAS!$M$5:$M$1004,MATCH(H192,VENDAS!$A$5:$A$1004,0))&amp;"",""))</f>
        <v/>
      </c>
      <c r="K192" s="22">
        <f>IF(H192="","",IFERROR(INDEX(VENDAS!$J$5:$J$1004,MATCH(H192,VENDAS!$A$5:$A$1004,0))&amp;"",""))</f>
        <v/>
      </c>
      <c r="L192" s="26">
        <f>IF(H192="","",SUMIFS(VENDAS!$F$5:$F$1004,VENDAS!$A$5:$A$1004,H192))</f>
        <v/>
      </c>
      <c r="M192" s="26">
        <f>IF(H192="","",SUMIFS(VENDAS!$F$5:$F$1004,VENDAS!$A$5:$A$1004,H192,VENDAS!$D$5:$D$1004,M$4))</f>
        <v/>
      </c>
      <c r="N192" s="26">
        <f>IF(H192="","",SUMIFS(VENDAS!$F$5:$F$1004,VENDAS!$A$5:$A$1004,H192,VENDAS!$D$5:$D$1004,N$4))</f>
        <v/>
      </c>
      <c r="O192" s="26">
        <f>IF(H192="","",SUMIFS(VENDAS!$F$5:$F$1004,VENDAS!$A$5:$A$1004,H192,VENDAS!$D$5:$D$1004,O$4))</f>
        <v/>
      </c>
      <c r="P192" s="26">
        <f>IF(H192="","",SUMIFS(VENDAS!$F$5:$F$1004,VENDAS!$A$5:$A$1004,H192,VENDAS!$D$5:$D$1004,P$4))</f>
        <v/>
      </c>
      <c r="Q192" s="24">
        <f>IF(H192="","",SUMIFS(VENDAS!$H$5:$H$1004,VENDAS!$A$5:$A$1004,H192))</f>
        <v/>
      </c>
      <c r="R192" s="24">
        <f>IF(H192="","",SUMIFS(VENDAS!$K$5:$K$1004,VENDAS!$A$5:$A$1004,H192))</f>
        <v/>
      </c>
      <c r="S192" s="20" t="n"/>
      <c r="T192" s="31" t="n"/>
    </row>
    <row r="193">
      <c r="H193" s="20" t="n"/>
      <c r="I193" s="30">
        <f>IF(H193="","",IFERROR(INDEX(VENDAS!$B$5:$B$1004,MATCH(H193,VENDAS!$A$5:$A$1004,0)),"não lançado"))</f>
        <v/>
      </c>
      <c r="J193" s="22">
        <f>IF(H193="","",IFERROR(INDEX(VENDAS!$M$5:$M$1004,MATCH(H193,VENDAS!$A$5:$A$1004,0))&amp;"",""))</f>
        <v/>
      </c>
      <c r="K193" s="22">
        <f>IF(H193="","",IFERROR(INDEX(VENDAS!$J$5:$J$1004,MATCH(H193,VENDAS!$A$5:$A$1004,0))&amp;"",""))</f>
        <v/>
      </c>
      <c r="L193" s="26">
        <f>IF(H193="","",SUMIFS(VENDAS!$F$5:$F$1004,VENDAS!$A$5:$A$1004,H193))</f>
        <v/>
      </c>
      <c r="M193" s="26">
        <f>IF(H193="","",SUMIFS(VENDAS!$F$5:$F$1004,VENDAS!$A$5:$A$1004,H193,VENDAS!$D$5:$D$1004,M$4))</f>
        <v/>
      </c>
      <c r="N193" s="26">
        <f>IF(H193="","",SUMIFS(VENDAS!$F$5:$F$1004,VENDAS!$A$5:$A$1004,H193,VENDAS!$D$5:$D$1004,N$4))</f>
        <v/>
      </c>
      <c r="O193" s="26">
        <f>IF(H193="","",SUMIFS(VENDAS!$F$5:$F$1004,VENDAS!$A$5:$A$1004,H193,VENDAS!$D$5:$D$1004,O$4))</f>
        <v/>
      </c>
      <c r="P193" s="26">
        <f>IF(H193="","",SUMIFS(VENDAS!$F$5:$F$1004,VENDAS!$A$5:$A$1004,H193,VENDAS!$D$5:$D$1004,P$4))</f>
        <v/>
      </c>
      <c r="Q193" s="24">
        <f>IF(H193="","",SUMIFS(VENDAS!$H$5:$H$1004,VENDAS!$A$5:$A$1004,H193))</f>
        <v/>
      </c>
      <c r="R193" s="24">
        <f>IF(H193="","",SUMIFS(VENDAS!$K$5:$K$1004,VENDAS!$A$5:$A$1004,H193))</f>
        <v/>
      </c>
      <c r="S193" s="20" t="n"/>
      <c r="T193" s="31" t="n"/>
    </row>
    <row r="194">
      <c r="H194" s="20" t="n"/>
      <c r="I194" s="30">
        <f>IF(H194="","",IFERROR(INDEX(VENDAS!$B$5:$B$1004,MATCH(H194,VENDAS!$A$5:$A$1004,0)),"não lançado"))</f>
        <v/>
      </c>
      <c r="J194" s="22">
        <f>IF(H194="","",IFERROR(INDEX(VENDAS!$M$5:$M$1004,MATCH(H194,VENDAS!$A$5:$A$1004,0))&amp;"",""))</f>
        <v/>
      </c>
      <c r="K194" s="22">
        <f>IF(H194="","",IFERROR(INDEX(VENDAS!$J$5:$J$1004,MATCH(H194,VENDAS!$A$5:$A$1004,0))&amp;"",""))</f>
        <v/>
      </c>
      <c r="L194" s="26">
        <f>IF(H194="","",SUMIFS(VENDAS!$F$5:$F$1004,VENDAS!$A$5:$A$1004,H194))</f>
        <v/>
      </c>
      <c r="M194" s="26">
        <f>IF(H194="","",SUMIFS(VENDAS!$F$5:$F$1004,VENDAS!$A$5:$A$1004,H194,VENDAS!$D$5:$D$1004,M$4))</f>
        <v/>
      </c>
      <c r="N194" s="26">
        <f>IF(H194="","",SUMIFS(VENDAS!$F$5:$F$1004,VENDAS!$A$5:$A$1004,H194,VENDAS!$D$5:$D$1004,N$4))</f>
        <v/>
      </c>
      <c r="O194" s="26">
        <f>IF(H194="","",SUMIFS(VENDAS!$F$5:$F$1004,VENDAS!$A$5:$A$1004,H194,VENDAS!$D$5:$D$1004,O$4))</f>
        <v/>
      </c>
      <c r="P194" s="26">
        <f>IF(H194="","",SUMIFS(VENDAS!$F$5:$F$1004,VENDAS!$A$5:$A$1004,H194,VENDAS!$D$5:$D$1004,P$4))</f>
        <v/>
      </c>
      <c r="Q194" s="24">
        <f>IF(H194="","",SUMIFS(VENDAS!$H$5:$H$1004,VENDAS!$A$5:$A$1004,H194))</f>
        <v/>
      </c>
      <c r="R194" s="24">
        <f>IF(H194="","",SUMIFS(VENDAS!$K$5:$K$1004,VENDAS!$A$5:$A$1004,H194))</f>
        <v/>
      </c>
      <c r="S194" s="20" t="n"/>
      <c r="T194" s="31" t="n"/>
    </row>
    <row r="195">
      <c r="H195" s="20" t="n"/>
      <c r="I195" s="30">
        <f>IF(H195="","",IFERROR(INDEX(VENDAS!$B$5:$B$1004,MATCH(H195,VENDAS!$A$5:$A$1004,0)),"não lançado"))</f>
        <v/>
      </c>
      <c r="J195" s="22">
        <f>IF(H195="","",IFERROR(INDEX(VENDAS!$M$5:$M$1004,MATCH(H195,VENDAS!$A$5:$A$1004,0))&amp;"",""))</f>
        <v/>
      </c>
      <c r="K195" s="22">
        <f>IF(H195="","",IFERROR(INDEX(VENDAS!$J$5:$J$1004,MATCH(H195,VENDAS!$A$5:$A$1004,0))&amp;"",""))</f>
        <v/>
      </c>
      <c r="L195" s="26">
        <f>IF(H195="","",SUMIFS(VENDAS!$F$5:$F$1004,VENDAS!$A$5:$A$1004,H195))</f>
        <v/>
      </c>
      <c r="M195" s="26">
        <f>IF(H195="","",SUMIFS(VENDAS!$F$5:$F$1004,VENDAS!$A$5:$A$1004,H195,VENDAS!$D$5:$D$1004,M$4))</f>
        <v/>
      </c>
      <c r="N195" s="26">
        <f>IF(H195="","",SUMIFS(VENDAS!$F$5:$F$1004,VENDAS!$A$5:$A$1004,H195,VENDAS!$D$5:$D$1004,N$4))</f>
        <v/>
      </c>
      <c r="O195" s="26">
        <f>IF(H195="","",SUMIFS(VENDAS!$F$5:$F$1004,VENDAS!$A$5:$A$1004,H195,VENDAS!$D$5:$D$1004,O$4))</f>
        <v/>
      </c>
      <c r="P195" s="26">
        <f>IF(H195="","",SUMIFS(VENDAS!$F$5:$F$1004,VENDAS!$A$5:$A$1004,H195,VENDAS!$D$5:$D$1004,P$4))</f>
        <v/>
      </c>
      <c r="Q195" s="24">
        <f>IF(H195="","",SUMIFS(VENDAS!$H$5:$H$1004,VENDAS!$A$5:$A$1004,H195))</f>
        <v/>
      </c>
      <c r="R195" s="24">
        <f>IF(H195="","",SUMIFS(VENDAS!$K$5:$K$1004,VENDAS!$A$5:$A$1004,H195))</f>
        <v/>
      </c>
      <c r="S195" s="20" t="n"/>
      <c r="T195" s="31" t="n"/>
    </row>
    <row r="196">
      <c r="H196" s="20" t="n"/>
      <c r="I196" s="30">
        <f>IF(H196="","",IFERROR(INDEX(VENDAS!$B$5:$B$1004,MATCH(H196,VENDAS!$A$5:$A$1004,0)),"não lançado"))</f>
        <v/>
      </c>
      <c r="J196" s="22">
        <f>IF(H196="","",IFERROR(INDEX(VENDAS!$M$5:$M$1004,MATCH(H196,VENDAS!$A$5:$A$1004,0))&amp;"",""))</f>
        <v/>
      </c>
      <c r="K196" s="22">
        <f>IF(H196="","",IFERROR(INDEX(VENDAS!$J$5:$J$1004,MATCH(H196,VENDAS!$A$5:$A$1004,0))&amp;"",""))</f>
        <v/>
      </c>
      <c r="L196" s="26">
        <f>IF(H196="","",SUMIFS(VENDAS!$F$5:$F$1004,VENDAS!$A$5:$A$1004,H196))</f>
        <v/>
      </c>
      <c r="M196" s="26">
        <f>IF(H196="","",SUMIFS(VENDAS!$F$5:$F$1004,VENDAS!$A$5:$A$1004,H196,VENDAS!$D$5:$D$1004,M$4))</f>
        <v/>
      </c>
      <c r="N196" s="26">
        <f>IF(H196="","",SUMIFS(VENDAS!$F$5:$F$1004,VENDAS!$A$5:$A$1004,H196,VENDAS!$D$5:$D$1004,N$4))</f>
        <v/>
      </c>
      <c r="O196" s="26">
        <f>IF(H196="","",SUMIFS(VENDAS!$F$5:$F$1004,VENDAS!$A$5:$A$1004,H196,VENDAS!$D$5:$D$1004,O$4))</f>
        <v/>
      </c>
      <c r="P196" s="26">
        <f>IF(H196="","",SUMIFS(VENDAS!$F$5:$F$1004,VENDAS!$A$5:$A$1004,H196,VENDAS!$D$5:$D$1004,P$4))</f>
        <v/>
      </c>
      <c r="Q196" s="24">
        <f>IF(H196="","",SUMIFS(VENDAS!$H$5:$H$1004,VENDAS!$A$5:$A$1004,H196))</f>
        <v/>
      </c>
      <c r="R196" s="24">
        <f>IF(H196="","",SUMIFS(VENDAS!$K$5:$K$1004,VENDAS!$A$5:$A$1004,H196))</f>
        <v/>
      </c>
      <c r="S196" s="20" t="n"/>
      <c r="T196" s="31" t="n"/>
    </row>
    <row r="197">
      <c r="H197" s="20" t="n"/>
      <c r="I197" s="30">
        <f>IF(H197="","",IFERROR(INDEX(VENDAS!$B$5:$B$1004,MATCH(H197,VENDAS!$A$5:$A$1004,0)),"não lançado"))</f>
        <v/>
      </c>
      <c r="J197" s="22">
        <f>IF(H197="","",IFERROR(INDEX(VENDAS!$M$5:$M$1004,MATCH(H197,VENDAS!$A$5:$A$1004,0))&amp;"",""))</f>
        <v/>
      </c>
      <c r="K197" s="22">
        <f>IF(H197="","",IFERROR(INDEX(VENDAS!$J$5:$J$1004,MATCH(H197,VENDAS!$A$5:$A$1004,0))&amp;"",""))</f>
        <v/>
      </c>
      <c r="L197" s="26">
        <f>IF(H197="","",SUMIFS(VENDAS!$F$5:$F$1004,VENDAS!$A$5:$A$1004,H197))</f>
        <v/>
      </c>
      <c r="M197" s="26">
        <f>IF(H197="","",SUMIFS(VENDAS!$F$5:$F$1004,VENDAS!$A$5:$A$1004,H197,VENDAS!$D$5:$D$1004,M$4))</f>
        <v/>
      </c>
      <c r="N197" s="26">
        <f>IF(H197="","",SUMIFS(VENDAS!$F$5:$F$1004,VENDAS!$A$5:$A$1004,H197,VENDAS!$D$5:$D$1004,N$4))</f>
        <v/>
      </c>
      <c r="O197" s="26">
        <f>IF(H197="","",SUMIFS(VENDAS!$F$5:$F$1004,VENDAS!$A$5:$A$1004,H197,VENDAS!$D$5:$D$1004,O$4))</f>
        <v/>
      </c>
      <c r="P197" s="26">
        <f>IF(H197="","",SUMIFS(VENDAS!$F$5:$F$1004,VENDAS!$A$5:$A$1004,H197,VENDAS!$D$5:$D$1004,P$4))</f>
        <v/>
      </c>
      <c r="Q197" s="24">
        <f>IF(H197="","",SUMIFS(VENDAS!$H$5:$H$1004,VENDAS!$A$5:$A$1004,H197))</f>
        <v/>
      </c>
      <c r="R197" s="24">
        <f>IF(H197="","",SUMIFS(VENDAS!$K$5:$K$1004,VENDAS!$A$5:$A$1004,H197))</f>
        <v/>
      </c>
      <c r="S197" s="20" t="n"/>
      <c r="T197" s="31" t="n"/>
    </row>
    <row r="198">
      <c r="H198" s="20" t="n"/>
      <c r="I198" s="30">
        <f>IF(H198="","",IFERROR(INDEX(VENDAS!$B$5:$B$1004,MATCH(H198,VENDAS!$A$5:$A$1004,0)),"não lançado"))</f>
        <v/>
      </c>
      <c r="J198" s="22">
        <f>IF(H198="","",IFERROR(INDEX(VENDAS!$M$5:$M$1004,MATCH(H198,VENDAS!$A$5:$A$1004,0))&amp;"",""))</f>
        <v/>
      </c>
      <c r="K198" s="22">
        <f>IF(H198="","",IFERROR(INDEX(VENDAS!$J$5:$J$1004,MATCH(H198,VENDAS!$A$5:$A$1004,0))&amp;"",""))</f>
        <v/>
      </c>
      <c r="L198" s="26">
        <f>IF(H198="","",SUMIFS(VENDAS!$F$5:$F$1004,VENDAS!$A$5:$A$1004,H198))</f>
        <v/>
      </c>
      <c r="M198" s="26">
        <f>IF(H198="","",SUMIFS(VENDAS!$F$5:$F$1004,VENDAS!$A$5:$A$1004,H198,VENDAS!$D$5:$D$1004,M$4))</f>
        <v/>
      </c>
      <c r="N198" s="26">
        <f>IF(H198="","",SUMIFS(VENDAS!$F$5:$F$1004,VENDAS!$A$5:$A$1004,H198,VENDAS!$D$5:$D$1004,N$4))</f>
        <v/>
      </c>
      <c r="O198" s="26">
        <f>IF(H198="","",SUMIFS(VENDAS!$F$5:$F$1004,VENDAS!$A$5:$A$1004,H198,VENDAS!$D$5:$D$1004,O$4))</f>
        <v/>
      </c>
      <c r="P198" s="26">
        <f>IF(H198="","",SUMIFS(VENDAS!$F$5:$F$1004,VENDAS!$A$5:$A$1004,H198,VENDAS!$D$5:$D$1004,P$4))</f>
        <v/>
      </c>
      <c r="Q198" s="24">
        <f>IF(H198="","",SUMIFS(VENDAS!$H$5:$H$1004,VENDAS!$A$5:$A$1004,H198))</f>
        <v/>
      </c>
      <c r="R198" s="24">
        <f>IF(H198="","",SUMIFS(VENDAS!$K$5:$K$1004,VENDAS!$A$5:$A$1004,H198))</f>
        <v/>
      </c>
      <c r="S198" s="20" t="n"/>
      <c r="T198" s="31" t="n"/>
    </row>
    <row r="199">
      <c r="H199" s="20" t="n"/>
      <c r="I199" s="30">
        <f>IF(H199="","",IFERROR(INDEX(VENDAS!$B$5:$B$1004,MATCH(H199,VENDAS!$A$5:$A$1004,0)),"não lançado"))</f>
        <v/>
      </c>
      <c r="J199" s="22">
        <f>IF(H199="","",IFERROR(INDEX(VENDAS!$M$5:$M$1004,MATCH(H199,VENDAS!$A$5:$A$1004,0))&amp;"",""))</f>
        <v/>
      </c>
      <c r="K199" s="22">
        <f>IF(H199="","",IFERROR(INDEX(VENDAS!$J$5:$J$1004,MATCH(H199,VENDAS!$A$5:$A$1004,0))&amp;"",""))</f>
        <v/>
      </c>
      <c r="L199" s="26">
        <f>IF(H199="","",SUMIFS(VENDAS!$F$5:$F$1004,VENDAS!$A$5:$A$1004,H199))</f>
        <v/>
      </c>
      <c r="M199" s="26">
        <f>IF(H199="","",SUMIFS(VENDAS!$F$5:$F$1004,VENDAS!$A$5:$A$1004,H199,VENDAS!$D$5:$D$1004,M$4))</f>
        <v/>
      </c>
      <c r="N199" s="26">
        <f>IF(H199="","",SUMIFS(VENDAS!$F$5:$F$1004,VENDAS!$A$5:$A$1004,H199,VENDAS!$D$5:$D$1004,N$4))</f>
        <v/>
      </c>
      <c r="O199" s="26">
        <f>IF(H199="","",SUMIFS(VENDAS!$F$5:$F$1004,VENDAS!$A$5:$A$1004,H199,VENDAS!$D$5:$D$1004,O$4))</f>
        <v/>
      </c>
      <c r="P199" s="26">
        <f>IF(H199="","",SUMIFS(VENDAS!$F$5:$F$1004,VENDAS!$A$5:$A$1004,H199,VENDAS!$D$5:$D$1004,P$4))</f>
        <v/>
      </c>
      <c r="Q199" s="24">
        <f>IF(H199="","",SUMIFS(VENDAS!$H$5:$H$1004,VENDAS!$A$5:$A$1004,H199))</f>
        <v/>
      </c>
      <c r="R199" s="24">
        <f>IF(H199="","",SUMIFS(VENDAS!$K$5:$K$1004,VENDAS!$A$5:$A$1004,H199))</f>
        <v/>
      </c>
      <c r="S199" s="20" t="n"/>
      <c r="T199" s="31" t="n"/>
    </row>
    <row r="200">
      <c r="H200" s="20" t="n"/>
      <c r="I200" s="30">
        <f>IF(H200="","",IFERROR(INDEX(VENDAS!$B$5:$B$1004,MATCH(H200,VENDAS!$A$5:$A$1004,0)),"não lançado"))</f>
        <v/>
      </c>
      <c r="J200" s="22">
        <f>IF(H200="","",IFERROR(INDEX(VENDAS!$M$5:$M$1004,MATCH(H200,VENDAS!$A$5:$A$1004,0))&amp;"",""))</f>
        <v/>
      </c>
      <c r="K200" s="22">
        <f>IF(H200="","",IFERROR(INDEX(VENDAS!$J$5:$J$1004,MATCH(H200,VENDAS!$A$5:$A$1004,0))&amp;"",""))</f>
        <v/>
      </c>
      <c r="L200" s="26">
        <f>IF(H200="","",SUMIFS(VENDAS!$F$5:$F$1004,VENDAS!$A$5:$A$1004,H200))</f>
        <v/>
      </c>
      <c r="M200" s="26">
        <f>IF(H200="","",SUMIFS(VENDAS!$F$5:$F$1004,VENDAS!$A$5:$A$1004,H200,VENDAS!$D$5:$D$1004,M$4))</f>
        <v/>
      </c>
      <c r="N200" s="26">
        <f>IF(H200="","",SUMIFS(VENDAS!$F$5:$F$1004,VENDAS!$A$5:$A$1004,H200,VENDAS!$D$5:$D$1004,N$4))</f>
        <v/>
      </c>
      <c r="O200" s="26">
        <f>IF(H200="","",SUMIFS(VENDAS!$F$5:$F$1004,VENDAS!$A$5:$A$1004,H200,VENDAS!$D$5:$D$1004,O$4))</f>
        <v/>
      </c>
      <c r="P200" s="26">
        <f>IF(H200="","",SUMIFS(VENDAS!$F$5:$F$1004,VENDAS!$A$5:$A$1004,H200,VENDAS!$D$5:$D$1004,P$4))</f>
        <v/>
      </c>
      <c r="Q200" s="24">
        <f>IF(H200="","",SUMIFS(VENDAS!$H$5:$H$1004,VENDAS!$A$5:$A$1004,H200))</f>
        <v/>
      </c>
      <c r="R200" s="24">
        <f>IF(H200="","",SUMIFS(VENDAS!$K$5:$K$1004,VENDAS!$A$5:$A$1004,H200))</f>
        <v/>
      </c>
      <c r="S200" s="20" t="n"/>
      <c r="T200" s="31" t="n"/>
    </row>
    <row r="201">
      <c r="H201" s="20" t="n"/>
      <c r="I201" s="30">
        <f>IF(H201="","",IFERROR(INDEX(VENDAS!$B$5:$B$1004,MATCH(H201,VENDAS!$A$5:$A$1004,0)),"não lançado"))</f>
        <v/>
      </c>
      <c r="J201" s="22">
        <f>IF(H201="","",IFERROR(INDEX(VENDAS!$M$5:$M$1004,MATCH(H201,VENDAS!$A$5:$A$1004,0))&amp;"",""))</f>
        <v/>
      </c>
      <c r="K201" s="22">
        <f>IF(H201="","",IFERROR(INDEX(VENDAS!$J$5:$J$1004,MATCH(H201,VENDAS!$A$5:$A$1004,0))&amp;"",""))</f>
        <v/>
      </c>
      <c r="L201" s="26">
        <f>IF(H201="","",SUMIFS(VENDAS!$F$5:$F$1004,VENDAS!$A$5:$A$1004,H201))</f>
        <v/>
      </c>
      <c r="M201" s="26">
        <f>IF(H201="","",SUMIFS(VENDAS!$F$5:$F$1004,VENDAS!$A$5:$A$1004,H201,VENDAS!$D$5:$D$1004,M$4))</f>
        <v/>
      </c>
      <c r="N201" s="26">
        <f>IF(H201="","",SUMIFS(VENDAS!$F$5:$F$1004,VENDAS!$A$5:$A$1004,H201,VENDAS!$D$5:$D$1004,N$4))</f>
        <v/>
      </c>
      <c r="O201" s="26">
        <f>IF(H201="","",SUMIFS(VENDAS!$F$5:$F$1004,VENDAS!$A$5:$A$1004,H201,VENDAS!$D$5:$D$1004,O$4))</f>
        <v/>
      </c>
      <c r="P201" s="26">
        <f>IF(H201="","",SUMIFS(VENDAS!$F$5:$F$1004,VENDAS!$A$5:$A$1004,H201,VENDAS!$D$5:$D$1004,P$4))</f>
        <v/>
      </c>
      <c r="Q201" s="24">
        <f>IF(H201="","",SUMIFS(VENDAS!$H$5:$H$1004,VENDAS!$A$5:$A$1004,H201))</f>
        <v/>
      </c>
      <c r="R201" s="24">
        <f>IF(H201="","",SUMIFS(VENDAS!$K$5:$K$1004,VENDAS!$A$5:$A$1004,H201))</f>
        <v/>
      </c>
      <c r="S201" s="20" t="n"/>
      <c r="T201" s="31" t="n"/>
    </row>
    <row r="202">
      <c r="H202" s="20" t="n"/>
      <c r="I202" s="30">
        <f>IF(H202="","",IFERROR(INDEX(VENDAS!$B$5:$B$1004,MATCH(H202,VENDAS!$A$5:$A$1004,0)),"não lançado"))</f>
        <v/>
      </c>
      <c r="J202" s="22">
        <f>IF(H202="","",IFERROR(INDEX(VENDAS!$M$5:$M$1004,MATCH(H202,VENDAS!$A$5:$A$1004,0))&amp;"",""))</f>
        <v/>
      </c>
      <c r="K202" s="22">
        <f>IF(H202="","",IFERROR(INDEX(VENDAS!$J$5:$J$1004,MATCH(H202,VENDAS!$A$5:$A$1004,0))&amp;"",""))</f>
        <v/>
      </c>
      <c r="L202" s="26">
        <f>IF(H202="","",SUMIFS(VENDAS!$F$5:$F$1004,VENDAS!$A$5:$A$1004,H202))</f>
        <v/>
      </c>
      <c r="M202" s="26">
        <f>IF(H202="","",SUMIFS(VENDAS!$F$5:$F$1004,VENDAS!$A$5:$A$1004,H202,VENDAS!$D$5:$D$1004,M$4))</f>
        <v/>
      </c>
      <c r="N202" s="26">
        <f>IF(H202="","",SUMIFS(VENDAS!$F$5:$F$1004,VENDAS!$A$5:$A$1004,H202,VENDAS!$D$5:$D$1004,N$4))</f>
        <v/>
      </c>
      <c r="O202" s="26">
        <f>IF(H202="","",SUMIFS(VENDAS!$F$5:$F$1004,VENDAS!$A$5:$A$1004,H202,VENDAS!$D$5:$D$1004,O$4))</f>
        <v/>
      </c>
      <c r="P202" s="26">
        <f>IF(H202="","",SUMIFS(VENDAS!$F$5:$F$1004,VENDAS!$A$5:$A$1004,H202,VENDAS!$D$5:$D$1004,P$4))</f>
        <v/>
      </c>
      <c r="Q202" s="24">
        <f>IF(H202="","",SUMIFS(VENDAS!$H$5:$H$1004,VENDAS!$A$5:$A$1004,H202))</f>
        <v/>
      </c>
      <c r="R202" s="24">
        <f>IF(H202="","",SUMIFS(VENDAS!$K$5:$K$1004,VENDAS!$A$5:$A$1004,H202))</f>
        <v/>
      </c>
      <c r="S202" s="20" t="n"/>
      <c r="T202" s="31" t="n"/>
    </row>
    <row r="203">
      <c r="H203" s="20" t="n"/>
      <c r="I203" s="30">
        <f>IF(H203="","",IFERROR(INDEX(VENDAS!$B$5:$B$1004,MATCH(H203,VENDAS!$A$5:$A$1004,0)),"não lançado"))</f>
        <v/>
      </c>
      <c r="J203" s="22">
        <f>IF(H203="","",IFERROR(INDEX(VENDAS!$M$5:$M$1004,MATCH(H203,VENDAS!$A$5:$A$1004,0))&amp;"",""))</f>
        <v/>
      </c>
      <c r="K203" s="22">
        <f>IF(H203="","",IFERROR(INDEX(VENDAS!$J$5:$J$1004,MATCH(H203,VENDAS!$A$5:$A$1004,0))&amp;"",""))</f>
        <v/>
      </c>
      <c r="L203" s="26">
        <f>IF(H203="","",SUMIFS(VENDAS!$F$5:$F$1004,VENDAS!$A$5:$A$1004,H203))</f>
        <v/>
      </c>
      <c r="M203" s="26">
        <f>IF(H203="","",SUMIFS(VENDAS!$F$5:$F$1004,VENDAS!$A$5:$A$1004,H203,VENDAS!$D$5:$D$1004,M$4))</f>
        <v/>
      </c>
      <c r="N203" s="26">
        <f>IF(H203="","",SUMIFS(VENDAS!$F$5:$F$1004,VENDAS!$A$5:$A$1004,H203,VENDAS!$D$5:$D$1004,N$4))</f>
        <v/>
      </c>
      <c r="O203" s="26">
        <f>IF(H203="","",SUMIFS(VENDAS!$F$5:$F$1004,VENDAS!$A$5:$A$1004,H203,VENDAS!$D$5:$D$1004,O$4))</f>
        <v/>
      </c>
      <c r="P203" s="26">
        <f>IF(H203="","",SUMIFS(VENDAS!$F$5:$F$1004,VENDAS!$A$5:$A$1004,H203,VENDAS!$D$5:$D$1004,P$4))</f>
        <v/>
      </c>
      <c r="Q203" s="24">
        <f>IF(H203="","",SUMIFS(VENDAS!$H$5:$H$1004,VENDAS!$A$5:$A$1004,H203))</f>
        <v/>
      </c>
      <c r="R203" s="24">
        <f>IF(H203="","",SUMIFS(VENDAS!$K$5:$K$1004,VENDAS!$A$5:$A$1004,H203))</f>
        <v/>
      </c>
      <c r="S203" s="20" t="n"/>
      <c r="T203" s="31" t="n"/>
    </row>
    <row r="204">
      <c r="H204" s="20" t="n"/>
      <c r="I204" s="30">
        <f>IF(H204="","",IFERROR(INDEX(VENDAS!$B$5:$B$1004,MATCH(H204,VENDAS!$A$5:$A$1004,0)),"não lançado"))</f>
        <v/>
      </c>
      <c r="J204" s="22">
        <f>IF(H204="","",IFERROR(INDEX(VENDAS!$M$5:$M$1004,MATCH(H204,VENDAS!$A$5:$A$1004,0))&amp;"",""))</f>
        <v/>
      </c>
      <c r="K204" s="22">
        <f>IF(H204="","",IFERROR(INDEX(VENDAS!$J$5:$J$1004,MATCH(H204,VENDAS!$A$5:$A$1004,0))&amp;"",""))</f>
        <v/>
      </c>
      <c r="L204" s="26">
        <f>IF(H204="","",SUMIFS(VENDAS!$F$5:$F$1004,VENDAS!$A$5:$A$1004,H204))</f>
        <v/>
      </c>
      <c r="M204" s="26">
        <f>IF(H204="","",SUMIFS(VENDAS!$F$5:$F$1004,VENDAS!$A$5:$A$1004,H204,VENDAS!$D$5:$D$1004,M$4))</f>
        <v/>
      </c>
      <c r="N204" s="26">
        <f>IF(H204="","",SUMIFS(VENDAS!$F$5:$F$1004,VENDAS!$A$5:$A$1004,H204,VENDAS!$D$5:$D$1004,N$4))</f>
        <v/>
      </c>
      <c r="O204" s="26">
        <f>IF(H204="","",SUMIFS(VENDAS!$F$5:$F$1004,VENDAS!$A$5:$A$1004,H204,VENDAS!$D$5:$D$1004,O$4))</f>
        <v/>
      </c>
      <c r="P204" s="26">
        <f>IF(H204="","",SUMIFS(VENDAS!$F$5:$F$1004,VENDAS!$A$5:$A$1004,H204,VENDAS!$D$5:$D$1004,P$4))</f>
        <v/>
      </c>
      <c r="Q204" s="24">
        <f>IF(H204="","",SUMIFS(VENDAS!$H$5:$H$1004,VENDAS!$A$5:$A$1004,H204))</f>
        <v/>
      </c>
      <c r="R204" s="24">
        <f>IF(H204="","",SUMIFS(VENDAS!$K$5:$K$1004,VENDAS!$A$5:$A$1004,H204))</f>
        <v/>
      </c>
      <c r="S204" s="20" t="n"/>
      <c r="T204" s="31" t="n"/>
    </row>
    <row r="205">
      <c r="H205" s="20" t="n"/>
      <c r="I205" s="30">
        <f>IF(H205="","",IFERROR(INDEX(VENDAS!$B$5:$B$1004,MATCH(H205,VENDAS!$A$5:$A$1004,0)),"não lançado"))</f>
        <v/>
      </c>
      <c r="J205" s="22">
        <f>IF(H205="","",IFERROR(INDEX(VENDAS!$M$5:$M$1004,MATCH(H205,VENDAS!$A$5:$A$1004,0))&amp;"",""))</f>
        <v/>
      </c>
      <c r="K205" s="22">
        <f>IF(H205="","",IFERROR(INDEX(VENDAS!$J$5:$J$1004,MATCH(H205,VENDAS!$A$5:$A$1004,0))&amp;"",""))</f>
        <v/>
      </c>
      <c r="L205" s="26">
        <f>IF(H205="","",SUMIFS(VENDAS!$F$5:$F$1004,VENDAS!$A$5:$A$1004,H205))</f>
        <v/>
      </c>
      <c r="M205" s="26">
        <f>IF(H205="","",SUMIFS(VENDAS!$F$5:$F$1004,VENDAS!$A$5:$A$1004,H205,VENDAS!$D$5:$D$1004,M$4))</f>
        <v/>
      </c>
      <c r="N205" s="26">
        <f>IF(H205="","",SUMIFS(VENDAS!$F$5:$F$1004,VENDAS!$A$5:$A$1004,H205,VENDAS!$D$5:$D$1004,N$4))</f>
        <v/>
      </c>
      <c r="O205" s="26">
        <f>IF(H205="","",SUMIFS(VENDAS!$F$5:$F$1004,VENDAS!$A$5:$A$1004,H205,VENDAS!$D$5:$D$1004,O$4))</f>
        <v/>
      </c>
      <c r="P205" s="26">
        <f>IF(H205="","",SUMIFS(VENDAS!$F$5:$F$1004,VENDAS!$A$5:$A$1004,H205,VENDAS!$D$5:$D$1004,P$4))</f>
        <v/>
      </c>
      <c r="Q205" s="24">
        <f>IF(H205="","",SUMIFS(VENDAS!$H$5:$H$1004,VENDAS!$A$5:$A$1004,H205))</f>
        <v/>
      </c>
      <c r="R205" s="24">
        <f>IF(H205="","",SUMIFS(VENDAS!$K$5:$K$1004,VENDAS!$A$5:$A$1004,H205))</f>
        <v/>
      </c>
      <c r="S205" s="20" t="n"/>
      <c r="T205" s="31" t="n"/>
    </row>
    <row r="206">
      <c r="H206" s="20" t="n"/>
      <c r="I206" s="30">
        <f>IF(H206="","",IFERROR(INDEX(VENDAS!$B$5:$B$1004,MATCH(H206,VENDAS!$A$5:$A$1004,0)),"não lançado"))</f>
        <v/>
      </c>
      <c r="J206" s="22">
        <f>IF(H206="","",IFERROR(INDEX(VENDAS!$M$5:$M$1004,MATCH(H206,VENDAS!$A$5:$A$1004,0))&amp;"",""))</f>
        <v/>
      </c>
      <c r="K206" s="22">
        <f>IF(H206="","",IFERROR(INDEX(VENDAS!$J$5:$J$1004,MATCH(H206,VENDAS!$A$5:$A$1004,0))&amp;"",""))</f>
        <v/>
      </c>
      <c r="L206" s="26">
        <f>IF(H206="","",SUMIFS(VENDAS!$F$5:$F$1004,VENDAS!$A$5:$A$1004,H206))</f>
        <v/>
      </c>
      <c r="M206" s="26">
        <f>IF(H206="","",SUMIFS(VENDAS!$F$5:$F$1004,VENDAS!$A$5:$A$1004,H206,VENDAS!$D$5:$D$1004,M$4))</f>
        <v/>
      </c>
      <c r="N206" s="26">
        <f>IF(H206="","",SUMIFS(VENDAS!$F$5:$F$1004,VENDAS!$A$5:$A$1004,H206,VENDAS!$D$5:$D$1004,N$4))</f>
        <v/>
      </c>
      <c r="O206" s="26">
        <f>IF(H206="","",SUMIFS(VENDAS!$F$5:$F$1004,VENDAS!$A$5:$A$1004,H206,VENDAS!$D$5:$D$1004,O$4))</f>
        <v/>
      </c>
      <c r="P206" s="26">
        <f>IF(H206="","",SUMIFS(VENDAS!$F$5:$F$1004,VENDAS!$A$5:$A$1004,H206,VENDAS!$D$5:$D$1004,P$4))</f>
        <v/>
      </c>
      <c r="Q206" s="24">
        <f>IF(H206="","",SUMIFS(VENDAS!$H$5:$H$1004,VENDAS!$A$5:$A$1004,H206))</f>
        <v/>
      </c>
      <c r="R206" s="24">
        <f>IF(H206="","",SUMIFS(VENDAS!$K$5:$K$1004,VENDAS!$A$5:$A$1004,H206))</f>
        <v/>
      </c>
      <c r="S206" s="20" t="n"/>
      <c r="T206" s="31" t="n"/>
    </row>
    <row r="207">
      <c r="H207" s="20" t="n"/>
      <c r="I207" s="30">
        <f>IF(H207="","",IFERROR(INDEX(VENDAS!$B$5:$B$1004,MATCH(H207,VENDAS!$A$5:$A$1004,0)),"não lançado"))</f>
        <v/>
      </c>
      <c r="J207" s="22">
        <f>IF(H207="","",IFERROR(INDEX(VENDAS!$M$5:$M$1004,MATCH(H207,VENDAS!$A$5:$A$1004,0))&amp;"",""))</f>
        <v/>
      </c>
      <c r="K207" s="22">
        <f>IF(H207="","",IFERROR(INDEX(VENDAS!$J$5:$J$1004,MATCH(H207,VENDAS!$A$5:$A$1004,0))&amp;"",""))</f>
        <v/>
      </c>
      <c r="L207" s="26">
        <f>IF(H207="","",SUMIFS(VENDAS!$F$5:$F$1004,VENDAS!$A$5:$A$1004,H207))</f>
        <v/>
      </c>
      <c r="M207" s="26">
        <f>IF(H207="","",SUMIFS(VENDAS!$F$5:$F$1004,VENDAS!$A$5:$A$1004,H207,VENDAS!$D$5:$D$1004,M$4))</f>
        <v/>
      </c>
      <c r="N207" s="26">
        <f>IF(H207="","",SUMIFS(VENDAS!$F$5:$F$1004,VENDAS!$A$5:$A$1004,H207,VENDAS!$D$5:$D$1004,N$4))</f>
        <v/>
      </c>
      <c r="O207" s="26">
        <f>IF(H207="","",SUMIFS(VENDAS!$F$5:$F$1004,VENDAS!$A$5:$A$1004,H207,VENDAS!$D$5:$D$1004,O$4))</f>
        <v/>
      </c>
      <c r="P207" s="26">
        <f>IF(H207="","",SUMIFS(VENDAS!$F$5:$F$1004,VENDAS!$A$5:$A$1004,H207,VENDAS!$D$5:$D$1004,P$4))</f>
        <v/>
      </c>
      <c r="Q207" s="24">
        <f>IF(H207="","",SUMIFS(VENDAS!$H$5:$H$1004,VENDAS!$A$5:$A$1004,H207))</f>
        <v/>
      </c>
      <c r="R207" s="24">
        <f>IF(H207="","",SUMIFS(VENDAS!$K$5:$K$1004,VENDAS!$A$5:$A$1004,H207))</f>
        <v/>
      </c>
      <c r="S207" s="20" t="n"/>
      <c r="T207" s="31" t="n"/>
    </row>
    <row r="208">
      <c r="H208" s="20" t="n"/>
      <c r="I208" s="30">
        <f>IF(H208="","",IFERROR(INDEX(VENDAS!$B$5:$B$1004,MATCH(H208,VENDAS!$A$5:$A$1004,0)),"não lançado"))</f>
        <v/>
      </c>
      <c r="J208" s="22">
        <f>IF(H208="","",IFERROR(INDEX(VENDAS!$M$5:$M$1004,MATCH(H208,VENDAS!$A$5:$A$1004,0))&amp;"",""))</f>
        <v/>
      </c>
      <c r="K208" s="22">
        <f>IF(H208="","",IFERROR(INDEX(VENDAS!$J$5:$J$1004,MATCH(H208,VENDAS!$A$5:$A$1004,0))&amp;"",""))</f>
        <v/>
      </c>
      <c r="L208" s="26">
        <f>IF(H208="","",SUMIFS(VENDAS!$F$5:$F$1004,VENDAS!$A$5:$A$1004,H208))</f>
        <v/>
      </c>
      <c r="M208" s="26">
        <f>IF(H208="","",SUMIFS(VENDAS!$F$5:$F$1004,VENDAS!$A$5:$A$1004,H208,VENDAS!$D$5:$D$1004,M$4))</f>
        <v/>
      </c>
      <c r="N208" s="26">
        <f>IF(H208="","",SUMIFS(VENDAS!$F$5:$F$1004,VENDAS!$A$5:$A$1004,H208,VENDAS!$D$5:$D$1004,N$4))</f>
        <v/>
      </c>
      <c r="O208" s="26">
        <f>IF(H208="","",SUMIFS(VENDAS!$F$5:$F$1004,VENDAS!$A$5:$A$1004,H208,VENDAS!$D$5:$D$1004,O$4))</f>
        <v/>
      </c>
      <c r="P208" s="26">
        <f>IF(H208="","",SUMIFS(VENDAS!$F$5:$F$1004,VENDAS!$A$5:$A$1004,H208,VENDAS!$D$5:$D$1004,P$4))</f>
        <v/>
      </c>
      <c r="Q208" s="24">
        <f>IF(H208="","",SUMIFS(VENDAS!$H$5:$H$1004,VENDAS!$A$5:$A$1004,H208))</f>
        <v/>
      </c>
      <c r="R208" s="24">
        <f>IF(H208="","",SUMIFS(VENDAS!$K$5:$K$1004,VENDAS!$A$5:$A$1004,H208))</f>
        <v/>
      </c>
      <c r="S208" s="20" t="n"/>
      <c r="T208" s="31" t="n"/>
    </row>
    <row r="209">
      <c r="H209" s="20" t="n"/>
      <c r="I209" s="30">
        <f>IF(H209="","",IFERROR(INDEX(VENDAS!$B$5:$B$1004,MATCH(H209,VENDAS!$A$5:$A$1004,0)),"não lançado"))</f>
        <v/>
      </c>
      <c r="J209" s="22">
        <f>IF(H209="","",IFERROR(INDEX(VENDAS!$M$5:$M$1004,MATCH(H209,VENDAS!$A$5:$A$1004,0))&amp;"",""))</f>
        <v/>
      </c>
      <c r="K209" s="22">
        <f>IF(H209="","",IFERROR(INDEX(VENDAS!$J$5:$J$1004,MATCH(H209,VENDAS!$A$5:$A$1004,0))&amp;"",""))</f>
        <v/>
      </c>
      <c r="L209" s="26">
        <f>IF(H209="","",SUMIFS(VENDAS!$F$5:$F$1004,VENDAS!$A$5:$A$1004,H209))</f>
        <v/>
      </c>
      <c r="M209" s="26">
        <f>IF(H209="","",SUMIFS(VENDAS!$F$5:$F$1004,VENDAS!$A$5:$A$1004,H209,VENDAS!$D$5:$D$1004,M$4))</f>
        <v/>
      </c>
      <c r="N209" s="26">
        <f>IF(H209="","",SUMIFS(VENDAS!$F$5:$F$1004,VENDAS!$A$5:$A$1004,H209,VENDAS!$D$5:$D$1004,N$4))</f>
        <v/>
      </c>
      <c r="O209" s="26">
        <f>IF(H209="","",SUMIFS(VENDAS!$F$5:$F$1004,VENDAS!$A$5:$A$1004,H209,VENDAS!$D$5:$D$1004,O$4))</f>
        <v/>
      </c>
      <c r="P209" s="26">
        <f>IF(H209="","",SUMIFS(VENDAS!$F$5:$F$1004,VENDAS!$A$5:$A$1004,H209,VENDAS!$D$5:$D$1004,P$4))</f>
        <v/>
      </c>
      <c r="Q209" s="24">
        <f>IF(H209="","",SUMIFS(VENDAS!$H$5:$H$1004,VENDAS!$A$5:$A$1004,H209))</f>
        <v/>
      </c>
      <c r="R209" s="24">
        <f>IF(H209="","",SUMIFS(VENDAS!$K$5:$K$1004,VENDAS!$A$5:$A$1004,H209))</f>
        <v/>
      </c>
      <c r="S209" s="20" t="n"/>
      <c r="T209" s="31" t="n"/>
    </row>
    <row r="210">
      <c r="H210" s="20" t="n"/>
      <c r="I210" s="30">
        <f>IF(H210="","",IFERROR(INDEX(VENDAS!$B$5:$B$1004,MATCH(H210,VENDAS!$A$5:$A$1004,0)),"não lançado"))</f>
        <v/>
      </c>
      <c r="J210" s="22">
        <f>IF(H210="","",IFERROR(INDEX(VENDAS!$M$5:$M$1004,MATCH(H210,VENDAS!$A$5:$A$1004,0))&amp;"",""))</f>
        <v/>
      </c>
      <c r="K210" s="22">
        <f>IF(H210="","",IFERROR(INDEX(VENDAS!$J$5:$J$1004,MATCH(H210,VENDAS!$A$5:$A$1004,0))&amp;"",""))</f>
        <v/>
      </c>
      <c r="L210" s="26">
        <f>IF(H210="","",SUMIFS(VENDAS!$F$5:$F$1004,VENDAS!$A$5:$A$1004,H210))</f>
        <v/>
      </c>
      <c r="M210" s="26">
        <f>IF(H210="","",SUMIFS(VENDAS!$F$5:$F$1004,VENDAS!$A$5:$A$1004,H210,VENDAS!$D$5:$D$1004,M$4))</f>
        <v/>
      </c>
      <c r="N210" s="26">
        <f>IF(H210="","",SUMIFS(VENDAS!$F$5:$F$1004,VENDAS!$A$5:$A$1004,H210,VENDAS!$D$5:$D$1004,N$4))</f>
        <v/>
      </c>
      <c r="O210" s="26">
        <f>IF(H210="","",SUMIFS(VENDAS!$F$5:$F$1004,VENDAS!$A$5:$A$1004,H210,VENDAS!$D$5:$D$1004,O$4))</f>
        <v/>
      </c>
      <c r="P210" s="26">
        <f>IF(H210="","",SUMIFS(VENDAS!$F$5:$F$1004,VENDAS!$A$5:$A$1004,H210,VENDAS!$D$5:$D$1004,P$4))</f>
        <v/>
      </c>
      <c r="Q210" s="24">
        <f>IF(H210="","",SUMIFS(VENDAS!$H$5:$H$1004,VENDAS!$A$5:$A$1004,H210))</f>
        <v/>
      </c>
      <c r="R210" s="24">
        <f>IF(H210="","",SUMIFS(VENDAS!$K$5:$K$1004,VENDAS!$A$5:$A$1004,H210))</f>
        <v/>
      </c>
      <c r="S210" s="20" t="n"/>
      <c r="T210" s="31" t="n"/>
    </row>
    <row r="211">
      <c r="H211" s="20" t="n"/>
      <c r="I211" s="30">
        <f>IF(H211="","",IFERROR(INDEX(VENDAS!$B$5:$B$1004,MATCH(H211,VENDAS!$A$5:$A$1004,0)),"não lançado"))</f>
        <v/>
      </c>
      <c r="J211" s="22">
        <f>IF(H211="","",IFERROR(INDEX(VENDAS!$M$5:$M$1004,MATCH(H211,VENDAS!$A$5:$A$1004,0))&amp;"",""))</f>
        <v/>
      </c>
      <c r="K211" s="22">
        <f>IF(H211="","",IFERROR(INDEX(VENDAS!$J$5:$J$1004,MATCH(H211,VENDAS!$A$5:$A$1004,0))&amp;"",""))</f>
        <v/>
      </c>
      <c r="L211" s="26">
        <f>IF(H211="","",SUMIFS(VENDAS!$F$5:$F$1004,VENDAS!$A$5:$A$1004,H211))</f>
        <v/>
      </c>
      <c r="M211" s="26">
        <f>IF(H211="","",SUMIFS(VENDAS!$F$5:$F$1004,VENDAS!$A$5:$A$1004,H211,VENDAS!$D$5:$D$1004,M$4))</f>
        <v/>
      </c>
      <c r="N211" s="26">
        <f>IF(H211="","",SUMIFS(VENDAS!$F$5:$F$1004,VENDAS!$A$5:$A$1004,H211,VENDAS!$D$5:$D$1004,N$4))</f>
        <v/>
      </c>
      <c r="O211" s="26">
        <f>IF(H211="","",SUMIFS(VENDAS!$F$5:$F$1004,VENDAS!$A$5:$A$1004,H211,VENDAS!$D$5:$D$1004,O$4))</f>
        <v/>
      </c>
      <c r="P211" s="26">
        <f>IF(H211="","",SUMIFS(VENDAS!$F$5:$F$1004,VENDAS!$A$5:$A$1004,H211,VENDAS!$D$5:$D$1004,P$4))</f>
        <v/>
      </c>
      <c r="Q211" s="24">
        <f>IF(H211="","",SUMIFS(VENDAS!$H$5:$H$1004,VENDAS!$A$5:$A$1004,H211))</f>
        <v/>
      </c>
      <c r="R211" s="24">
        <f>IF(H211="","",SUMIFS(VENDAS!$K$5:$K$1004,VENDAS!$A$5:$A$1004,H211))</f>
        <v/>
      </c>
      <c r="S211" s="20" t="n"/>
      <c r="T211" s="31" t="n"/>
    </row>
    <row r="212">
      <c r="H212" s="20" t="n"/>
      <c r="I212" s="30">
        <f>IF(H212="","",IFERROR(INDEX(VENDAS!$B$5:$B$1004,MATCH(H212,VENDAS!$A$5:$A$1004,0)),"não lançado"))</f>
        <v/>
      </c>
      <c r="J212" s="22">
        <f>IF(H212="","",IFERROR(INDEX(VENDAS!$M$5:$M$1004,MATCH(H212,VENDAS!$A$5:$A$1004,0))&amp;"",""))</f>
        <v/>
      </c>
      <c r="K212" s="22">
        <f>IF(H212="","",IFERROR(INDEX(VENDAS!$J$5:$J$1004,MATCH(H212,VENDAS!$A$5:$A$1004,0))&amp;"",""))</f>
        <v/>
      </c>
      <c r="L212" s="26">
        <f>IF(H212="","",SUMIFS(VENDAS!$F$5:$F$1004,VENDAS!$A$5:$A$1004,H212))</f>
        <v/>
      </c>
      <c r="M212" s="26">
        <f>IF(H212="","",SUMIFS(VENDAS!$F$5:$F$1004,VENDAS!$A$5:$A$1004,H212,VENDAS!$D$5:$D$1004,M$4))</f>
        <v/>
      </c>
      <c r="N212" s="26">
        <f>IF(H212="","",SUMIFS(VENDAS!$F$5:$F$1004,VENDAS!$A$5:$A$1004,H212,VENDAS!$D$5:$D$1004,N$4))</f>
        <v/>
      </c>
      <c r="O212" s="26">
        <f>IF(H212="","",SUMIFS(VENDAS!$F$5:$F$1004,VENDAS!$A$5:$A$1004,H212,VENDAS!$D$5:$D$1004,O$4))</f>
        <v/>
      </c>
      <c r="P212" s="26">
        <f>IF(H212="","",SUMIFS(VENDAS!$F$5:$F$1004,VENDAS!$A$5:$A$1004,H212,VENDAS!$D$5:$D$1004,P$4))</f>
        <v/>
      </c>
      <c r="Q212" s="24">
        <f>IF(H212="","",SUMIFS(VENDAS!$H$5:$H$1004,VENDAS!$A$5:$A$1004,H212))</f>
        <v/>
      </c>
      <c r="R212" s="24">
        <f>IF(H212="","",SUMIFS(VENDAS!$K$5:$K$1004,VENDAS!$A$5:$A$1004,H212))</f>
        <v/>
      </c>
      <c r="S212" s="20" t="n"/>
      <c r="T212" s="31" t="n"/>
    </row>
    <row r="213">
      <c r="H213" s="20" t="n"/>
      <c r="I213" s="30">
        <f>IF(H213="","",IFERROR(INDEX(VENDAS!$B$5:$B$1004,MATCH(H213,VENDAS!$A$5:$A$1004,0)),"não lançado"))</f>
        <v/>
      </c>
      <c r="J213" s="22">
        <f>IF(H213="","",IFERROR(INDEX(VENDAS!$M$5:$M$1004,MATCH(H213,VENDAS!$A$5:$A$1004,0))&amp;"",""))</f>
        <v/>
      </c>
      <c r="K213" s="22">
        <f>IF(H213="","",IFERROR(INDEX(VENDAS!$J$5:$J$1004,MATCH(H213,VENDAS!$A$5:$A$1004,0))&amp;"",""))</f>
        <v/>
      </c>
      <c r="L213" s="26">
        <f>IF(H213="","",SUMIFS(VENDAS!$F$5:$F$1004,VENDAS!$A$5:$A$1004,H213))</f>
        <v/>
      </c>
      <c r="M213" s="26">
        <f>IF(H213="","",SUMIFS(VENDAS!$F$5:$F$1004,VENDAS!$A$5:$A$1004,H213,VENDAS!$D$5:$D$1004,M$4))</f>
        <v/>
      </c>
      <c r="N213" s="26">
        <f>IF(H213="","",SUMIFS(VENDAS!$F$5:$F$1004,VENDAS!$A$5:$A$1004,H213,VENDAS!$D$5:$D$1004,N$4))</f>
        <v/>
      </c>
      <c r="O213" s="26">
        <f>IF(H213="","",SUMIFS(VENDAS!$F$5:$F$1004,VENDAS!$A$5:$A$1004,H213,VENDAS!$D$5:$D$1004,O$4))</f>
        <v/>
      </c>
      <c r="P213" s="26">
        <f>IF(H213="","",SUMIFS(VENDAS!$F$5:$F$1004,VENDAS!$A$5:$A$1004,H213,VENDAS!$D$5:$D$1004,P$4))</f>
        <v/>
      </c>
      <c r="Q213" s="24">
        <f>IF(H213="","",SUMIFS(VENDAS!$H$5:$H$1004,VENDAS!$A$5:$A$1004,H213))</f>
        <v/>
      </c>
      <c r="R213" s="24">
        <f>IF(H213="","",SUMIFS(VENDAS!$K$5:$K$1004,VENDAS!$A$5:$A$1004,H213))</f>
        <v/>
      </c>
      <c r="S213" s="20" t="n"/>
      <c r="T213" s="31" t="n"/>
    </row>
    <row r="214">
      <c r="H214" s="20" t="n"/>
      <c r="I214" s="30">
        <f>IF(H214="","",IFERROR(INDEX(VENDAS!$B$5:$B$1004,MATCH(H214,VENDAS!$A$5:$A$1004,0)),"não lançado"))</f>
        <v/>
      </c>
      <c r="J214" s="22">
        <f>IF(H214="","",IFERROR(INDEX(VENDAS!$M$5:$M$1004,MATCH(H214,VENDAS!$A$5:$A$1004,0))&amp;"",""))</f>
        <v/>
      </c>
      <c r="K214" s="22">
        <f>IF(H214="","",IFERROR(INDEX(VENDAS!$J$5:$J$1004,MATCH(H214,VENDAS!$A$5:$A$1004,0))&amp;"",""))</f>
        <v/>
      </c>
      <c r="L214" s="26">
        <f>IF(H214="","",SUMIFS(VENDAS!$F$5:$F$1004,VENDAS!$A$5:$A$1004,H214))</f>
        <v/>
      </c>
      <c r="M214" s="26">
        <f>IF(H214="","",SUMIFS(VENDAS!$F$5:$F$1004,VENDAS!$A$5:$A$1004,H214,VENDAS!$D$5:$D$1004,M$4))</f>
        <v/>
      </c>
      <c r="N214" s="26">
        <f>IF(H214="","",SUMIFS(VENDAS!$F$5:$F$1004,VENDAS!$A$5:$A$1004,H214,VENDAS!$D$5:$D$1004,N$4))</f>
        <v/>
      </c>
      <c r="O214" s="26">
        <f>IF(H214="","",SUMIFS(VENDAS!$F$5:$F$1004,VENDAS!$A$5:$A$1004,H214,VENDAS!$D$5:$D$1004,O$4))</f>
        <v/>
      </c>
      <c r="P214" s="26">
        <f>IF(H214="","",SUMIFS(VENDAS!$F$5:$F$1004,VENDAS!$A$5:$A$1004,H214,VENDAS!$D$5:$D$1004,P$4))</f>
        <v/>
      </c>
      <c r="Q214" s="24">
        <f>IF(H214="","",SUMIFS(VENDAS!$H$5:$H$1004,VENDAS!$A$5:$A$1004,H214))</f>
        <v/>
      </c>
      <c r="R214" s="24">
        <f>IF(H214="","",SUMIFS(VENDAS!$K$5:$K$1004,VENDAS!$A$5:$A$1004,H214))</f>
        <v/>
      </c>
      <c r="S214" s="20" t="n"/>
      <c r="T214" s="31" t="n"/>
    </row>
    <row r="215">
      <c r="H215" s="20" t="n"/>
      <c r="I215" s="30">
        <f>IF(H215="","",IFERROR(INDEX(VENDAS!$B$5:$B$1004,MATCH(H215,VENDAS!$A$5:$A$1004,0)),"não lançado"))</f>
        <v/>
      </c>
      <c r="J215" s="22">
        <f>IF(H215="","",IFERROR(INDEX(VENDAS!$M$5:$M$1004,MATCH(H215,VENDAS!$A$5:$A$1004,0))&amp;"",""))</f>
        <v/>
      </c>
      <c r="K215" s="22">
        <f>IF(H215="","",IFERROR(INDEX(VENDAS!$J$5:$J$1004,MATCH(H215,VENDAS!$A$5:$A$1004,0))&amp;"",""))</f>
        <v/>
      </c>
      <c r="L215" s="26">
        <f>IF(H215="","",SUMIFS(VENDAS!$F$5:$F$1004,VENDAS!$A$5:$A$1004,H215))</f>
        <v/>
      </c>
      <c r="M215" s="26">
        <f>IF(H215="","",SUMIFS(VENDAS!$F$5:$F$1004,VENDAS!$A$5:$A$1004,H215,VENDAS!$D$5:$D$1004,M$4))</f>
        <v/>
      </c>
      <c r="N215" s="26">
        <f>IF(H215="","",SUMIFS(VENDAS!$F$5:$F$1004,VENDAS!$A$5:$A$1004,H215,VENDAS!$D$5:$D$1004,N$4))</f>
        <v/>
      </c>
      <c r="O215" s="26">
        <f>IF(H215="","",SUMIFS(VENDAS!$F$5:$F$1004,VENDAS!$A$5:$A$1004,H215,VENDAS!$D$5:$D$1004,O$4))</f>
        <v/>
      </c>
      <c r="P215" s="26">
        <f>IF(H215="","",SUMIFS(VENDAS!$F$5:$F$1004,VENDAS!$A$5:$A$1004,H215,VENDAS!$D$5:$D$1004,P$4))</f>
        <v/>
      </c>
      <c r="Q215" s="24">
        <f>IF(H215="","",SUMIFS(VENDAS!$H$5:$H$1004,VENDAS!$A$5:$A$1004,H215))</f>
        <v/>
      </c>
      <c r="R215" s="24">
        <f>IF(H215="","",SUMIFS(VENDAS!$K$5:$K$1004,VENDAS!$A$5:$A$1004,H215))</f>
        <v/>
      </c>
      <c r="S215" s="20" t="n"/>
      <c r="T215" s="31" t="n"/>
    </row>
    <row r="216">
      <c r="H216" s="20" t="n"/>
      <c r="I216" s="30">
        <f>IF(H216="","",IFERROR(INDEX(VENDAS!$B$5:$B$1004,MATCH(H216,VENDAS!$A$5:$A$1004,0)),"não lançado"))</f>
        <v/>
      </c>
      <c r="J216" s="22">
        <f>IF(H216="","",IFERROR(INDEX(VENDAS!$M$5:$M$1004,MATCH(H216,VENDAS!$A$5:$A$1004,0))&amp;"",""))</f>
        <v/>
      </c>
      <c r="K216" s="22">
        <f>IF(H216="","",IFERROR(INDEX(VENDAS!$J$5:$J$1004,MATCH(H216,VENDAS!$A$5:$A$1004,0))&amp;"",""))</f>
        <v/>
      </c>
      <c r="L216" s="26">
        <f>IF(H216="","",SUMIFS(VENDAS!$F$5:$F$1004,VENDAS!$A$5:$A$1004,H216))</f>
        <v/>
      </c>
      <c r="M216" s="26">
        <f>IF(H216="","",SUMIFS(VENDAS!$F$5:$F$1004,VENDAS!$A$5:$A$1004,H216,VENDAS!$D$5:$D$1004,M$4))</f>
        <v/>
      </c>
      <c r="N216" s="26">
        <f>IF(H216="","",SUMIFS(VENDAS!$F$5:$F$1004,VENDAS!$A$5:$A$1004,H216,VENDAS!$D$5:$D$1004,N$4))</f>
        <v/>
      </c>
      <c r="O216" s="26">
        <f>IF(H216="","",SUMIFS(VENDAS!$F$5:$F$1004,VENDAS!$A$5:$A$1004,H216,VENDAS!$D$5:$D$1004,O$4))</f>
        <v/>
      </c>
      <c r="P216" s="26">
        <f>IF(H216="","",SUMIFS(VENDAS!$F$5:$F$1004,VENDAS!$A$5:$A$1004,H216,VENDAS!$D$5:$D$1004,P$4))</f>
        <v/>
      </c>
      <c r="Q216" s="24">
        <f>IF(H216="","",SUMIFS(VENDAS!$H$5:$H$1004,VENDAS!$A$5:$A$1004,H216))</f>
        <v/>
      </c>
      <c r="R216" s="24">
        <f>IF(H216="","",SUMIFS(VENDAS!$K$5:$K$1004,VENDAS!$A$5:$A$1004,H216))</f>
        <v/>
      </c>
      <c r="S216" s="20" t="n"/>
      <c r="T216" s="31" t="n"/>
    </row>
    <row r="217">
      <c r="H217" s="20" t="n"/>
      <c r="I217" s="30">
        <f>IF(H217="","",IFERROR(INDEX(VENDAS!$B$5:$B$1004,MATCH(H217,VENDAS!$A$5:$A$1004,0)),"não lançado"))</f>
        <v/>
      </c>
      <c r="J217" s="22">
        <f>IF(H217="","",IFERROR(INDEX(VENDAS!$M$5:$M$1004,MATCH(H217,VENDAS!$A$5:$A$1004,0))&amp;"",""))</f>
        <v/>
      </c>
      <c r="K217" s="22">
        <f>IF(H217="","",IFERROR(INDEX(VENDAS!$J$5:$J$1004,MATCH(H217,VENDAS!$A$5:$A$1004,0))&amp;"",""))</f>
        <v/>
      </c>
      <c r="L217" s="26">
        <f>IF(H217="","",SUMIFS(VENDAS!$F$5:$F$1004,VENDAS!$A$5:$A$1004,H217))</f>
        <v/>
      </c>
      <c r="M217" s="26">
        <f>IF(H217="","",SUMIFS(VENDAS!$F$5:$F$1004,VENDAS!$A$5:$A$1004,H217,VENDAS!$D$5:$D$1004,M$4))</f>
        <v/>
      </c>
      <c r="N217" s="26">
        <f>IF(H217="","",SUMIFS(VENDAS!$F$5:$F$1004,VENDAS!$A$5:$A$1004,H217,VENDAS!$D$5:$D$1004,N$4))</f>
        <v/>
      </c>
      <c r="O217" s="26">
        <f>IF(H217="","",SUMIFS(VENDAS!$F$5:$F$1004,VENDAS!$A$5:$A$1004,H217,VENDAS!$D$5:$D$1004,O$4))</f>
        <v/>
      </c>
      <c r="P217" s="26">
        <f>IF(H217="","",SUMIFS(VENDAS!$F$5:$F$1004,VENDAS!$A$5:$A$1004,H217,VENDAS!$D$5:$D$1004,P$4))</f>
        <v/>
      </c>
      <c r="Q217" s="24">
        <f>IF(H217="","",SUMIFS(VENDAS!$H$5:$H$1004,VENDAS!$A$5:$A$1004,H217))</f>
        <v/>
      </c>
      <c r="R217" s="24">
        <f>IF(H217="","",SUMIFS(VENDAS!$K$5:$K$1004,VENDAS!$A$5:$A$1004,H217))</f>
        <v/>
      </c>
      <c r="S217" s="20" t="n"/>
      <c r="T217" s="31" t="n"/>
    </row>
    <row r="218">
      <c r="H218" s="20" t="n"/>
      <c r="I218" s="30">
        <f>IF(H218="","",IFERROR(INDEX(VENDAS!$B$5:$B$1004,MATCH(H218,VENDAS!$A$5:$A$1004,0)),"não lançado"))</f>
        <v/>
      </c>
      <c r="J218" s="22">
        <f>IF(H218="","",IFERROR(INDEX(VENDAS!$M$5:$M$1004,MATCH(H218,VENDAS!$A$5:$A$1004,0))&amp;"",""))</f>
        <v/>
      </c>
      <c r="K218" s="22">
        <f>IF(H218="","",IFERROR(INDEX(VENDAS!$J$5:$J$1004,MATCH(H218,VENDAS!$A$5:$A$1004,0))&amp;"",""))</f>
        <v/>
      </c>
      <c r="L218" s="26">
        <f>IF(H218="","",SUMIFS(VENDAS!$F$5:$F$1004,VENDAS!$A$5:$A$1004,H218))</f>
        <v/>
      </c>
      <c r="M218" s="26">
        <f>IF(H218="","",SUMIFS(VENDAS!$F$5:$F$1004,VENDAS!$A$5:$A$1004,H218,VENDAS!$D$5:$D$1004,M$4))</f>
        <v/>
      </c>
      <c r="N218" s="26">
        <f>IF(H218="","",SUMIFS(VENDAS!$F$5:$F$1004,VENDAS!$A$5:$A$1004,H218,VENDAS!$D$5:$D$1004,N$4))</f>
        <v/>
      </c>
      <c r="O218" s="26">
        <f>IF(H218="","",SUMIFS(VENDAS!$F$5:$F$1004,VENDAS!$A$5:$A$1004,H218,VENDAS!$D$5:$D$1004,O$4))</f>
        <v/>
      </c>
      <c r="P218" s="26">
        <f>IF(H218="","",SUMIFS(VENDAS!$F$5:$F$1004,VENDAS!$A$5:$A$1004,H218,VENDAS!$D$5:$D$1004,P$4))</f>
        <v/>
      </c>
      <c r="Q218" s="24">
        <f>IF(H218="","",SUMIFS(VENDAS!$H$5:$H$1004,VENDAS!$A$5:$A$1004,H218))</f>
        <v/>
      </c>
      <c r="R218" s="24">
        <f>IF(H218="","",SUMIFS(VENDAS!$K$5:$K$1004,VENDAS!$A$5:$A$1004,H218))</f>
        <v/>
      </c>
      <c r="S218" s="20" t="n"/>
      <c r="T218" s="31" t="n"/>
    </row>
    <row r="219">
      <c r="H219" s="20" t="n"/>
      <c r="I219" s="30">
        <f>IF(H219="","",IFERROR(INDEX(VENDAS!$B$5:$B$1004,MATCH(H219,VENDAS!$A$5:$A$1004,0)),"não lançado"))</f>
        <v/>
      </c>
      <c r="J219" s="22">
        <f>IF(H219="","",IFERROR(INDEX(VENDAS!$M$5:$M$1004,MATCH(H219,VENDAS!$A$5:$A$1004,0))&amp;"",""))</f>
        <v/>
      </c>
      <c r="K219" s="22">
        <f>IF(H219="","",IFERROR(INDEX(VENDAS!$J$5:$J$1004,MATCH(H219,VENDAS!$A$5:$A$1004,0))&amp;"",""))</f>
        <v/>
      </c>
      <c r="L219" s="26">
        <f>IF(H219="","",SUMIFS(VENDAS!$F$5:$F$1004,VENDAS!$A$5:$A$1004,H219))</f>
        <v/>
      </c>
      <c r="M219" s="26">
        <f>IF(H219="","",SUMIFS(VENDAS!$F$5:$F$1004,VENDAS!$A$5:$A$1004,H219,VENDAS!$D$5:$D$1004,M$4))</f>
        <v/>
      </c>
      <c r="N219" s="26">
        <f>IF(H219="","",SUMIFS(VENDAS!$F$5:$F$1004,VENDAS!$A$5:$A$1004,H219,VENDAS!$D$5:$D$1004,N$4))</f>
        <v/>
      </c>
      <c r="O219" s="26">
        <f>IF(H219="","",SUMIFS(VENDAS!$F$5:$F$1004,VENDAS!$A$5:$A$1004,H219,VENDAS!$D$5:$D$1004,O$4))</f>
        <v/>
      </c>
      <c r="P219" s="26">
        <f>IF(H219="","",SUMIFS(VENDAS!$F$5:$F$1004,VENDAS!$A$5:$A$1004,H219,VENDAS!$D$5:$D$1004,P$4))</f>
        <v/>
      </c>
      <c r="Q219" s="24">
        <f>IF(H219="","",SUMIFS(VENDAS!$H$5:$H$1004,VENDAS!$A$5:$A$1004,H219))</f>
        <v/>
      </c>
      <c r="R219" s="24">
        <f>IF(H219="","",SUMIFS(VENDAS!$K$5:$K$1004,VENDAS!$A$5:$A$1004,H219))</f>
        <v/>
      </c>
      <c r="S219" s="20" t="n"/>
      <c r="T219" s="31" t="n"/>
    </row>
    <row r="220">
      <c r="H220" s="20" t="n"/>
      <c r="I220" s="30">
        <f>IF(H220="","",IFERROR(INDEX(VENDAS!$B$5:$B$1004,MATCH(H220,VENDAS!$A$5:$A$1004,0)),"não lançado"))</f>
        <v/>
      </c>
      <c r="J220" s="22">
        <f>IF(H220="","",IFERROR(INDEX(VENDAS!$M$5:$M$1004,MATCH(H220,VENDAS!$A$5:$A$1004,0))&amp;"",""))</f>
        <v/>
      </c>
      <c r="K220" s="22">
        <f>IF(H220="","",IFERROR(INDEX(VENDAS!$J$5:$J$1004,MATCH(H220,VENDAS!$A$5:$A$1004,0))&amp;"",""))</f>
        <v/>
      </c>
      <c r="L220" s="26">
        <f>IF(H220="","",SUMIFS(VENDAS!$F$5:$F$1004,VENDAS!$A$5:$A$1004,H220))</f>
        <v/>
      </c>
      <c r="M220" s="26">
        <f>IF(H220="","",SUMIFS(VENDAS!$F$5:$F$1004,VENDAS!$A$5:$A$1004,H220,VENDAS!$D$5:$D$1004,M$4))</f>
        <v/>
      </c>
      <c r="N220" s="26">
        <f>IF(H220="","",SUMIFS(VENDAS!$F$5:$F$1004,VENDAS!$A$5:$A$1004,H220,VENDAS!$D$5:$D$1004,N$4))</f>
        <v/>
      </c>
      <c r="O220" s="26">
        <f>IF(H220="","",SUMIFS(VENDAS!$F$5:$F$1004,VENDAS!$A$5:$A$1004,H220,VENDAS!$D$5:$D$1004,O$4))</f>
        <v/>
      </c>
      <c r="P220" s="26">
        <f>IF(H220="","",SUMIFS(VENDAS!$F$5:$F$1004,VENDAS!$A$5:$A$1004,H220,VENDAS!$D$5:$D$1004,P$4))</f>
        <v/>
      </c>
      <c r="Q220" s="24">
        <f>IF(H220="","",SUMIFS(VENDAS!$H$5:$H$1004,VENDAS!$A$5:$A$1004,H220))</f>
        <v/>
      </c>
      <c r="R220" s="24">
        <f>IF(H220="","",SUMIFS(VENDAS!$K$5:$K$1004,VENDAS!$A$5:$A$1004,H220))</f>
        <v/>
      </c>
      <c r="S220" s="20" t="n"/>
      <c r="T220" s="31" t="n"/>
    </row>
    <row r="221">
      <c r="H221" s="20" t="n"/>
      <c r="I221" s="30">
        <f>IF(H221="","",IFERROR(INDEX(VENDAS!$B$5:$B$1004,MATCH(H221,VENDAS!$A$5:$A$1004,0)),"não lançado"))</f>
        <v/>
      </c>
      <c r="J221" s="22">
        <f>IF(H221="","",IFERROR(INDEX(VENDAS!$M$5:$M$1004,MATCH(H221,VENDAS!$A$5:$A$1004,0))&amp;"",""))</f>
        <v/>
      </c>
      <c r="K221" s="22">
        <f>IF(H221="","",IFERROR(INDEX(VENDAS!$J$5:$J$1004,MATCH(H221,VENDAS!$A$5:$A$1004,0))&amp;"",""))</f>
        <v/>
      </c>
      <c r="L221" s="26">
        <f>IF(H221="","",SUMIFS(VENDAS!$F$5:$F$1004,VENDAS!$A$5:$A$1004,H221))</f>
        <v/>
      </c>
      <c r="M221" s="26">
        <f>IF(H221="","",SUMIFS(VENDAS!$F$5:$F$1004,VENDAS!$A$5:$A$1004,H221,VENDAS!$D$5:$D$1004,M$4))</f>
        <v/>
      </c>
      <c r="N221" s="26">
        <f>IF(H221="","",SUMIFS(VENDAS!$F$5:$F$1004,VENDAS!$A$5:$A$1004,H221,VENDAS!$D$5:$D$1004,N$4))</f>
        <v/>
      </c>
      <c r="O221" s="26">
        <f>IF(H221="","",SUMIFS(VENDAS!$F$5:$F$1004,VENDAS!$A$5:$A$1004,H221,VENDAS!$D$5:$D$1004,O$4))</f>
        <v/>
      </c>
      <c r="P221" s="26">
        <f>IF(H221="","",SUMIFS(VENDAS!$F$5:$F$1004,VENDAS!$A$5:$A$1004,H221,VENDAS!$D$5:$D$1004,P$4))</f>
        <v/>
      </c>
      <c r="Q221" s="24">
        <f>IF(H221="","",SUMIFS(VENDAS!$H$5:$H$1004,VENDAS!$A$5:$A$1004,H221))</f>
        <v/>
      </c>
      <c r="R221" s="24">
        <f>IF(H221="","",SUMIFS(VENDAS!$K$5:$K$1004,VENDAS!$A$5:$A$1004,H221))</f>
        <v/>
      </c>
      <c r="S221" s="20" t="n"/>
      <c r="T221" s="31" t="n"/>
    </row>
    <row r="222">
      <c r="H222" s="20" t="n"/>
      <c r="I222" s="30">
        <f>IF(H222="","",IFERROR(INDEX(VENDAS!$B$5:$B$1004,MATCH(H222,VENDAS!$A$5:$A$1004,0)),"não lançado"))</f>
        <v/>
      </c>
      <c r="J222" s="22">
        <f>IF(H222="","",IFERROR(INDEX(VENDAS!$M$5:$M$1004,MATCH(H222,VENDAS!$A$5:$A$1004,0))&amp;"",""))</f>
        <v/>
      </c>
      <c r="K222" s="22">
        <f>IF(H222="","",IFERROR(INDEX(VENDAS!$J$5:$J$1004,MATCH(H222,VENDAS!$A$5:$A$1004,0))&amp;"",""))</f>
        <v/>
      </c>
      <c r="L222" s="26">
        <f>IF(H222="","",SUMIFS(VENDAS!$F$5:$F$1004,VENDAS!$A$5:$A$1004,H222))</f>
        <v/>
      </c>
      <c r="M222" s="26">
        <f>IF(H222="","",SUMIFS(VENDAS!$F$5:$F$1004,VENDAS!$A$5:$A$1004,H222,VENDAS!$D$5:$D$1004,M$4))</f>
        <v/>
      </c>
      <c r="N222" s="26">
        <f>IF(H222="","",SUMIFS(VENDAS!$F$5:$F$1004,VENDAS!$A$5:$A$1004,H222,VENDAS!$D$5:$D$1004,N$4))</f>
        <v/>
      </c>
      <c r="O222" s="26">
        <f>IF(H222="","",SUMIFS(VENDAS!$F$5:$F$1004,VENDAS!$A$5:$A$1004,H222,VENDAS!$D$5:$D$1004,O$4))</f>
        <v/>
      </c>
      <c r="P222" s="26">
        <f>IF(H222="","",SUMIFS(VENDAS!$F$5:$F$1004,VENDAS!$A$5:$A$1004,H222,VENDAS!$D$5:$D$1004,P$4))</f>
        <v/>
      </c>
      <c r="Q222" s="24">
        <f>IF(H222="","",SUMIFS(VENDAS!$H$5:$H$1004,VENDAS!$A$5:$A$1004,H222))</f>
        <v/>
      </c>
      <c r="R222" s="24">
        <f>IF(H222="","",SUMIFS(VENDAS!$K$5:$K$1004,VENDAS!$A$5:$A$1004,H222))</f>
        <v/>
      </c>
      <c r="S222" s="20" t="n"/>
      <c r="T222" s="31" t="n"/>
    </row>
    <row r="223">
      <c r="H223" s="20" t="n"/>
      <c r="I223" s="30">
        <f>IF(H223="","",IFERROR(INDEX(VENDAS!$B$5:$B$1004,MATCH(H223,VENDAS!$A$5:$A$1004,0)),"não lançado"))</f>
        <v/>
      </c>
      <c r="J223" s="22">
        <f>IF(H223="","",IFERROR(INDEX(VENDAS!$M$5:$M$1004,MATCH(H223,VENDAS!$A$5:$A$1004,0))&amp;"",""))</f>
        <v/>
      </c>
      <c r="K223" s="22">
        <f>IF(H223="","",IFERROR(INDEX(VENDAS!$J$5:$J$1004,MATCH(H223,VENDAS!$A$5:$A$1004,0))&amp;"",""))</f>
        <v/>
      </c>
      <c r="L223" s="26">
        <f>IF(H223="","",SUMIFS(VENDAS!$F$5:$F$1004,VENDAS!$A$5:$A$1004,H223))</f>
        <v/>
      </c>
      <c r="M223" s="26">
        <f>IF(H223="","",SUMIFS(VENDAS!$F$5:$F$1004,VENDAS!$A$5:$A$1004,H223,VENDAS!$D$5:$D$1004,M$4))</f>
        <v/>
      </c>
      <c r="N223" s="26">
        <f>IF(H223="","",SUMIFS(VENDAS!$F$5:$F$1004,VENDAS!$A$5:$A$1004,H223,VENDAS!$D$5:$D$1004,N$4))</f>
        <v/>
      </c>
      <c r="O223" s="26">
        <f>IF(H223="","",SUMIFS(VENDAS!$F$5:$F$1004,VENDAS!$A$5:$A$1004,H223,VENDAS!$D$5:$D$1004,O$4))</f>
        <v/>
      </c>
      <c r="P223" s="26">
        <f>IF(H223="","",SUMIFS(VENDAS!$F$5:$F$1004,VENDAS!$A$5:$A$1004,H223,VENDAS!$D$5:$D$1004,P$4))</f>
        <v/>
      </c>
      <c r="Q223" s="24">
        <f>IF(H223="","",SUMIFS(VENDAS!$H$5:$H$1004,VENDAS!$A$5:$A$1004,H223))</f>
        <v/>
      </c>
      <c r="R223" s="24">
        <f>IF(H223="","",SUMIFS(VENDAS!$K$5:$K$1004,VENDAS!$A$5:$A$1004,H223))</f>
        <v/>
      </c>
      <c r="S223" s="20" t="n"/>
      <c r="T223" s="31" t="n"/>
    </row>
    <row r="224">
      <c r="H224" s="20" t="n"/>
      <c r="I224" s="30">
        <f>IF(H224="","",IFERROR(INDEX(VENDAS!$B$5:$B$1004,MATCH(H224,VENDAS!$A$5:$A$1004,0)),"não lançado"))</f>
        <v/>
      </c>
      <c r="J224" s="22">
        <f>IF(H224="","",IFERROR(INDEX(VENDAS!$M$5:$M$1004,MATCH(H224,VENDAS!$A$5:$A$1004,0))&amp;"",""))</f>
        <v/>
      </c>
      <c r="K224" s="22">
        <f>IF(H224="","",IFERROR(INDEX(VENDAS!$J$5:$J$1004,MATCH(H224,VENDAS!$A$5:$A$1004,0))&amp;"",""))</f>
        <v/>
      </c>
      <c r="L224" s="26">
        <f>IF(H224="","",SUMIFS(VENDAS!$F$5:$F$1004,VENDAS!$A$5:$A$1004,H224))</f>
        <v/>
      </c>
      <c r="M224" s="26">
        <f>IF(H224="","",SUMIFS(VENDAS!$F$5:$F$1004,VENDAS!$A$5:$A$1004,H224,VENDAS!$D$5:$D$1004,M$4))</f>
        <v/>
      </c>
      <c r="N224" s="26">
        <f>IF(H224="","",SUMIFS(VENDAS!$F$5:$F$1004,VENDAS!$A$5:$A$1004,H224,VENDAS!$D$5:$D$1004,N$4))</f>
        <v/>
      </c>
      <c r="O224" s="26">
        <f>IF(H224="","",SUMIFS(VENDAS!$F$5:$F$1004,VENDAS!$A$5:$A$1004,H224,VENDAS!$D$5:$D$1004,O$4))</f>
        <v/>
      </c>
      <c r="P224" s="26">
        <f>IF(H224="","",SUMIFS(VENDAS!$F$5:$F$1004,VENDAS!$A$5:$A$1004,H224,VENDAS!$D$5:$D$1004,P$4))</f>
        <v/>
      </c>
      <c r="Q224" s="24">
        <f>IF(H224="","",SUMIFS(VENDAS!$H$5:$H$1004,VENDAS!$A$5:$A$1004,H224))</f>
        <v/>
      </c>
      <c r="R224" s="24">
        <f>IF(H224="","",SUMIFS(VENDAS!$K$5:$K$1004,VENDAS!$A$5:$A$1004,H224))</f>
        <v/>
      </c>
      <c r="S224" s="20" t="n"/>
      <c r="T224" s="31" t="n"/>
    </row>
    <row r="225">
      <c r="H225" s="20" t="n"/>
      <c r="I225" s="30">
        <f>IF(H225="","",IFERROR(INDEX(VENDAS!$B$5:$B$1004,MATCH(H225,VENDAS!$A$5:$A$1004,0)),"não lançado"))</f>
        <v/>
      </c>
      <c r="J225" s="22">
        <f>IF(H225="","",IFERROR(INDEX(VENDAS!$M$5:$M$1004,MATCH(H225,VENDAS!$A$5:$A$1004,0))&amp;"",""))</f>
        <v/>
      </c>
      <c r="K225" s="22">
        <f>IF(H225="","",IFERROR(INDEX(VENDAS!$J$5:$J$1004,MATCH(H225,VENDAS!$A$5:$A$1004,0))&amp;"",""))</f>
        <v/>
      </c>
      <c r="L225" s="26">
        <f>IF(H225="","",SUMIFS(VENDAS!$F$5:$F$1004,VENDAS!$A$5:$A$1004,H225))</f>
        <v/>
      </c>
      <c r="M225" s="26">
        <f>IF(H225="","",SUMIFS(VENDAS!$F$5:$F$1004,VENDAS!$A$5:$A$1004,H225,VENDAS!$D$5:$D$1004,M$4))</f>
        <v/>
      </c>
      <c r="N225" s="26">
        <f>IF(H225="","",SUMIFS(VENDAS!$F$5:$F$1004,VENDAS!$A$5:$A$1004,H225,VENDAS!$D$5:$D$1004,N$4))</f>
        <v/>
      </c>
      <c r="O225" s="26">
        <f>IF(H225="","",SUMIFS(VENDAS!$F$5:$F$1004,VENDAS!$A$5:$A$1004,H225,VENDAS!$D$5:$D$1004,O$4))</f>
        <v/>
      </c>
      <c r="P225" s="26">
        <f>IF(H225="","",SUMIFS(VENDAS!$F$5:$F$1004,VENDAS!$A$5:$A$1004,H225,VENDAS!$D$5:$D$1004,P$4))</f>
        <v/>
      </c>
      <c r="Q225" s="24">
        <f>IF(H225="","",SUMIFS(VENDAS!$H$5:$H$1004,VENDAS!$A$5:$A$1004,H225))</f>
        <v/>
      </c>
      <c r="R225" s="24">
        <f>IF(H225="","",SUMIFS(VENDAS!$K$5:$K$1004,VENDAS!$A$5:$A$1004,H225))</f>
        <v/>
      </c>
      <c r="S225" s="20" t="n"/>
      <c r="T225" s="31" t="n"/>
    </row>
    <row r="226">
      <c r="H226" s="20" t="n"/>
      <c r="I226" s="30">
        <f>IF(H226="","",IFERROR(INDEX(VENDAS!$B$5:$B$1004,MATCH(H226,VENDAS!$A$5:$A$1004,0)),"não lançado"))</f>
        <v/>
      </c>
      <c r="J226" s="22">
        <f>IF(H226="","",IFERROR(INDEX(VENDAS!$M$5:$M$1004,MATCH(H226,VENDAS!$A$5:$A$1004,0))&amp;"",""))</f>
        <v/>
      </c>
      <c r="K226" s="22">
        <f>IF(H226="","",IFERROR(INDEX(VENDAS!$J$5:$J$1004,MATCH(H226,VENDAS!$A$5:$A$1004,0))&amp;"",""))</f>
        <v/>
      </c>
      <c r="L226" s="26">
        <f>IF(H226="","",SUMIFS(VENDAS!$F$5:$F$1004,VENDAS!$A$5:$A$1004,H226))</f>
        <v/>
      </c>
      <c r="M226" s="26">
        <f>IF(H226="","",SUMIFS(VENDAS!$F$5:$F$1004,VENDAS!$A$5:$A$1004,H226,VENDAS!$D$5:$D$1004,M$4))</f>
        <v/>
      </c>
      <c r="N226" s="26">
        <f>IF(H226="","",SUMIFS(VENDAS!$F$5:$F$1004,VENDAS!$A$5:$A$1004,H226,VENDAS!$D$5:$D$1004,N$4))</f>
        <v/>
      </c>
      <c r="O226" s="26">
        <f>IF(H226="","",SUMIFS(VENDAS!$F$5:$F$1004,VENDAS!$A$5:$A$1004,H226,VENDAS!$D$5:$D$1004,O$4))</f>
        <v/>
      </c>
      <c r="P226" s="26">
        <f>IF(H226="","",SUMIFS(VENDAS!$F$5:$F$1004,VENDAS!$A$5:$A$1004,H226,VENDAS!$D$5:$D$1004,P$4))</f>
        <v/>
      </c>
      <c r="Q226" s="24">
        <f>IF(H226="","",SUMIFS(VENDAS!$H$5:$H$1004,VENDAS!$A$5:$A$1004,H226))</f>
        <v/>
      </c>
      <c r="R226" s="24">
        <f>IF(H226="","",SUMIFS(VENDAS!$K$5:$K$1004,VENDAS!$A$5:$A$1004,H226))</f>
        <v/>
      </c>
      <c r="S226" s="20" t="n"/>
      <c r="T226" s="31" t="n"/>
    </row>
    <row r="227">
      <c r="H227" s="20" t="n"/>
      <c r="I227" s="30">
        <f>IF(H227="","",IFERROR(INDEX(VENDAS!$B$5:$B$1004,MATCH(H227,VENDAS!$A$5:$A$1004,0)),"não lançado"))</f>
        <v/>
      </c>
      <c r="J227" s="22">
        <f>IF(H227="","",IFERROR(INDEX(VENDAS!$M$5:$M$1004,MATCH(H227,VENDAS!$A$5:$A$1004,0))&amp;"",""))</f>
        <v/>
      </c>
      <c r="K227" s="22">
        <f>IF(H227="","",IFERROR(INDEX(VENDAS!$J$5:$J$1004,MATCH(H227,VENDAS!$A$5:$A$1004,0))&amp;"",""))</f>
        <v/>
      </c>
      <c r="L227" s="26">
        <f>IF(H227="","",SUMIFS(VENDAS!$F$5:$F$1004,VENDAS!$A$5:$A$1004,H227))</f>
        <v/>
      </c>
      <c r="M227" s="26">
        <f>IF(H227="","",SUMIFS(VENDAS!$F$5:$F$1004,VENDAS!$A$5:$A$1004,H227,VENDAS!$D$5:$D$1004,M$4))</f>
        <v/>
      </c>
      <c r="N227" s="26">
        <f>IF(H227="","",SUMIFS(VENDAS!$F$5:$F$1004,VENDAS!$A$5:$A$1004,H227,VENDAS!$D$5:$D$1004,N$4))</f>
        <v/>
      </c>
      <c r="O227" s="26">
        <f>IF(H227="","",SUMIFS(VENDAS!$F$5:$F$1004,VENDAS!$A$5:$A$1004,H227,VENDAS!$D$5:$D$1004,O$4))</f>
        <v/>
      </c>
      <c r="P227" s="26">
        <f>IF(H227="","",SUMIFS(VENDAS!$F$5:$F$1004,VENDAS!$A$5:$A$1004,H227,VENDAS!$D$5:$D$1004,P$4))</f>
        <v/>
      </c>
      <c r="Q227" s="24">
        <f>IF(H227="","",SUMIFS(VENDAS!$H$5:$H$1004,VENDAS!$A$5:$A$1004,H227))</f>
        <v/>
      </c>
      <c r="R227" s="24">
        <f>IF(H227="","",SUMIFS(VENDAS!$K$5:$K$1004,VENDAS!$A$5:$A$1004,H227))</f>
        <v/>
      </c>
      <c r="S227" s="20" t="n"/>
      <c r="T227" s="31" t="n"/>
    </row>
    <row r="228">
      <c r="H228" s="20" t="n"/>
      <c r="I228" s="30">
        <f>IF(H228="","",IFERROR(INDEX(VENDAS!$B$5:$B$1004,MATCH(H228,VENDAS!$A$5:$A$1004,0)),"não lançado"))</f>
        <v/>
      </c>
      <c r="J228" s="22">
        <f>IF(H228="","",IFERROR(INDEX(VENDAS!$M$5:$M$1004,MATCH(H228,VENDAS!$A$5:$A$1004,0))&amp;"",""))</f>
        <v/>
      </c>
      <c r="K228" s="22">
        <f>IF(H228="","",IFERROR(INDEX(VENDAS!$J$5:$J$1004,MATCH(H228,VENDAS!$A$5:$A$1004,0))&amp;"",""))</f>
        <v/>
      </c>
      <c r="L228" s="26">
        <f>IF(H228="","",SUMIFS(VENDAS!$F$5:$F$1004,VENDAS!$A$5:$A$1004,H228))</f>
        <v/>
      </c>
      <c r="M228" s="26">
        <f>IF(H228="","",SUMIFS(VENDAS!$F$5:$F$1004,VENDAS!$A$5:$A$1004,H228,VENDAS!$D$5:$D$1004,M$4))</f>
        <v/>
      </c>
      <c r="N228" s="26">
        <f>IF(H228="","",SUMIFS(VENDAS!$F$5:$F$1004,VENDAS!$A$5:$A$1004,H228,VENDAS!$D$5:$D$1004,N$4))</f>
        <v/>
      </c>
      <c r="O228" s="26">
        <f>IF(H228="","",SUMIFS(VENDAS!$F$5:$F$1004,VENDAS!$A$5:$A$1004,H228,VENDAS!$D$5:$D$1004,O$4))</f>
        <v/>
      </c>
      <c r="P228" s="26">
        <f>IF(H228="","",SUMIFS(VENDAS!$F$5:$F$1004,VENDAS!$A$5:$A$1004,H228,VENDAS!$D$5:$D$1004,P$4))</f>
        <v/>
      </c>
      <c r="Q228" s="24">
        <f>IF(H228="","",SUMIFS(VENDAS!$H$5:$H$1004,VENDAS!$A$5:$A$1004,H228))</f>
        <v/>
      </c>
      <c r="R228" s="24">
        <f>IF(H228="","",SUMIFS(VENDAS!$K$5:$K$1004,VENDAS!$A$5:$A$1004,H228))</f>
        <v/>
      </c>
      <c r="S228" s="20" t="n"/>
      <c r="T228" s="31" t="n"/>
    </row>
    <row r="229">
      <c r="H229" s="20" t="n"/>
      <c r="I229" s="30">
        <f>IF(H229="","",IFERROR(INDEX(VENDAS!$B$5:$B$1004,MATCH(H229,VENDAS!$A$5:$A$1004,0)),"não lançado"))</f>
        <v/>
      </c>
      <c r="J229" s="22">
        <f>IF(H229="","",IFERROR(INDEX(VENDAS!$M$5:$M$1004,MATCH(H229,VENDAS!$A$5:$A$1004,0))&amp;"",""))</f>
        <v/>
      </c>
      <c r="K229" s="22">
        <f>IF(H229="","",IFERROR(INDEX(VENDAS!$J$5:$J$1004,MATCH(H229,VENDAS!$A$5:$A$1004,0))&amp;"",""))</f>
        <v/>
      </c>
      <c r="L229" s="26">
        <f>IF(H229="","",SUMIFS(VENDAS!$F$5:$F$1004,VENDAS!$A$5:$A$1004,H229))</f>
        <v/>
      </c>
      <c r="M229" s="26">
        <f>IF(H229="","",SUMIFS(VENDAS!$F$5:$F$1004,VENDAS!$A$5:$A$1004,H229,VENDAS!$D$5:$D$1004,M$4))</f>
        <v/>
      </c>
      <c r="N229" s="26">
        <f>IF(H229="","",SUMIFS(VENDAS!$F$5:$F$1004,VENDAS!$A$5:$A$1004,H229,VENDAS!$D$5:$D$1004,N$4))</f>
        <v/>
      </c>
      <c r="O229" s="26">
        <f>IF(H229="","",SUMIFS(VENDAS!$F$5:$F$1004,VENDAS!$A$5:$A$1004,H229,VENDAS!$D$5:$D$1004,O$4))</f>
        <v/>
      </c>
      <c r="P229" s="26">
        <f>IF(H229="","",SUMIFS(VENDAS!$F$5:$F$1004,VENDAS!$A$5:$A$1004,H229,VENDAS!$D$5:$D$1004,P$4))</f>
        <v/>
      </c>
      <c r="Q229" s="24">
        <f>IF(H229="","",SUMIFS(VENDAS!$H$5:$H$1004,VENDAS!$A$5:$A$1004,H229))</f>
        <v/>
      </c>
      <c r="R229" s="24">
        <f>IF(H229="","",SUMIFS(VENDAS!$K$5:$K$1004,VENDAS!$A$5:$A$1004,H229))</f>
        <v/>
      </c>
      <c r="S229" s="20" t="n"/>
      <c r="T229" s="31" t="n"/>
    </row>
    <row r="230">
      <c r="H230" s="20" t="n"/>
      <c r="I230" s="30">
        <f>IF(H230="","",IFERROR(INDEX(VENDAS!$B$5:$B$1004,MATCH(H230,VENDAS!$A$5:$A$1004,0)),"não lançado"))</f>
        <v/>
      </c>
      <c r="J230" s="22">
        <f>IF(H230="","",IFERROR(INDEX(VENDAS!$M$5:$M$1004,MATCH(H230,VENDAS!$A$5:$A$1004,0))&amp;"",""))</f>
        <v/>
      </c>
      <c r="K230" s="22">
        <f>IF(H230="","",IFERROR(INDEX(VENDAS!$J$5:$J$1004,MATCH(H230,VENDAS!$A$5:$A$1004,0))&amp;"",""))</f>
        <v/>
      </c>
      <c r="L230" s="26">
        <f>IF(H230="","",SUMIFS(VENDAS!$F$5:$F$1004,VENDAS!$A$5:$A$1004,H230))</f>
        <v/>
      </c>
      <c r="M230" s="26">
        <f>IF(H230="","",SUMIFS(VENDAS!$F$5:$F$1004,VENDAS!$A$5:$A$1004,H230,VENDAS!$D$5:$D$1004,M$4))</f>
        <v/>
      </c>
      <c r="N230" s="26">
        <f>IF(H230="","",SUMIFS(VENDAS!$F$5:$F$1004,VENDAS!$A$5:$A$1004,H230,VENDAS!$D$5:$D$1004,N$4))</f>
        <v/>
      </c>
      <c r="O230" s="26">
        <f>IF(H230="","",SUMIFS(VENDAS!$F$5:$F$1004,VENDAS!$A$5:$A$1004,H230,VENDAS!$D$5:$D$1004,O$4))</f>
        <v/>
      </c>
      <c r="P230" s="26">
        <f>IF(H230="","",SUMIFS(VENDAS!$F$5:$F$1004,VENDAS!$A$5:$A$1004,H230,VENDAS!$D$5:$D$1004,P$4))</f>
        <v/>
      </c>
      <c r="Q230" s="24">
        <f>IF(H230="","",SUMIFS(VENDAS!$H$5:$H$1004,VENDAS!$A$5:$A$1004,H230))</f>
        <v/>
      </c>
      <c r="R230" s="24">
        <f>IF(H230="","",SUMIFS(VENDAS!$K$5:$K$1004,VENDAS!$A$5:$A$1004,H230))</f>
        <v/>
      </c>
      <c r="S230" s="20" t="n"/>
      <c r="T230" s="31" t="n"/>
    </row>
    <row r="231">
      <c r="H231" s="20" t="n"/>
      <c r="I231" s="30">
        <f>IF(H231="","",IFERROR(INDEX(VENDAS!$B$5:$B$1004,MATCH(H231,VENDAS!$A$5:$A$1004,0)),"não lançado"))</f>
        <v/>
      </c>
      <c r="J231" s="22">
        <f>IF(H231="","",IFERROR(INDEX(VENDAS!$M$5:$M$1004,MATCH(H231,VENDAS!$A$5:$A$1004,0))&amp;"",""))</f>
        <v/>
      </c>
      <c r="K231" s="22">
        <f>IF(H231="","",IFERROR(INDEX(VENDAS!$J$5:$J$1004,MATCH(H231,VENDAS!$A$5:$A$1004,0))&amp;"",""))</f>
        <v/>
      </c>
      <c r="L231" s="26">
        <f>IF(H231="","",SUMIFS(VENDAS!$F$5:$F$1004,VENDAS!$A$5:$A$1004,H231))</f>
        <v/>
      </c>
      <c r="M231" s="26">
        <f>IF(H231="","",SUMIFS(VENDAS!$F$5:$F$1004,VENDAS!$A$5:$A$1004,H231,VENDAS!$D$5:$D$1004,M$4))</f>
        <v/>
      </c>
      <c r="N231" s="26">
        <f>IF(H231="","",SUMIFS(VENDAS!$F$5:$F$1004,VENDAS!$A$5:$A$1004,H231,VENDAS!$D$5:$D$1004,N$4))</f>
        <v/>
      </c>
      <c r="O231" s="26">
        <f>IF(H231="","",SUMIFS(VENDAS!$F$5:$F$1004,VENDAS!$A$5:$A$1004,H231,VENDAS!$D$5:$D$1004,O$4))</f>
        <v/>
      </c>
      <c r="P231" s="26">
        <f>IF(H231="","",SUMIFS(VENDAS!$F$5:$F$1004,VENDAS!$A$5:$A$1004,H231,VENDAS!$D$5:$D$1004,P$4))</f>
        <v/>
      </c>
      <c r="Q231" s="24">
        <f>IF(H231="","",SUMIFS(VENDAS!$H$5:$H$1004,VENDAS!$A$5:$A$1004,H231))</f>
        <v/>
      </c>
      <c r="R231" s="24">
        <f>IF(H231="","",SUMIFS(VENDAS!$K$5:$K$1004,VENDAS!$A$5:$A$1004,H231))</f>
        <v/>
      </c>
      <c r="S231" s="20" t="n"/>
      <c r="T231" s="31" t="n"/>
    </row>
    <row r="232">
      <c r="H232" s="20" t="n"/>
      <c r="I232" s="30">
        <f>IF(H232="","",IFERROR(INDEX(VENDAS!$B$5:$B$1004,MATCH(H232,VENDAS!$A$5:$A$1004,0)),"não lançado"))</f>
        <v/>
      </c>
      <c r="J232" s="22">
        <f>IF(H232="","",IFERROR(INDEX(VENDAS!$M$5:$M$1004,MATCH(H232,VENDAS!$A$5:$A$1004,0))&amp;"",""))</f>
        <v/>
      </c>
      <c r="K232" s="22">
        <f>IF(H232="","",IFERROR(INDEX(VENDAS!$J$5:$J$1004,MATCH(H232,VENDAS!$A$5:$A$1004,0))&amp;"",""))</f>
        <v/>
      </c>
      <c r="L232" s="26">
        <f>IF(H232="","",SUMIFS(VENDAS!$F$5:$F$1004,VENDAS!$A$5:$A$1004,H232))</f>
        <v/>
      </c>
      <c r="M232" s="26">
        <f>IF(H232="","",SUMIFS(VENDAS!$F$5:$F$1004,VENDAS!$A$5:$A$1004,H232,VENDAS!$D$5:$D$1004,M$4))</f>
        <v/>
      </c>
      <c r="N232" s="26">
        <f>IF(H232="","",SUMIFS(VENDAS!$F$5:$F$1004,VENDAS!$A$5:$A$1004,H232,VENDAS!$D$5:$D$1004,N$4))</f>
        <v/>
      </c>
      <c r="O232" s="26">
        <f>IF(H232="","",SUMIFS(VENDAS!$F$5:$F$1004,VENDAS!$A$5:$A$1004,H232,VENDAS!$D$5:$D$1004,O$4))</f>
        <v/>
      </c>
      <c r="P232" s="26">
        <f>IF(H232="","",SUMIFS(VENDAS!$F$5:$F$1004,VENDAS!$A$5:$A$1004,H232,VENDAS!$D$5:$D$1004,P$4))</f>
        <v/>
      </c>
      <c r="Q232" s="24">
        <f>IF(H232="","",SUMIFS(VENDAS!$H$5:$H$1004,VENDAS!$A$5:$A$1004,H232))</f>
        <v/>
      </c>
      <c r="R232" s="24">
        <f>IF(H232="","",SUMIFS(VENDAS!$K$5:$K$1004,VENDAS!$A$5:$A$1004,H232))</f>
        <v/>
      </c>
      <c r="S232" s="20" t="n"/>
      <c r="T232" s="31" t="n"/>
    </row>
    <row r="233">
      <c r="H233" s="20" t="n"/>
      <c r="I233" s="30">
        <f>IF(H233="","",IFERROR(INDEX(VENDAS!$B$5:$B$1004,MATCH(H233,VENDAS!$A$5:$A$1004,0)),"não lançado"))</f>
        <v/>
      </c>
      <c r="J233" s="22">
        <f>IF(H233="","",IFERROR(INDEX(VENDAS!$M$5:$M$1004,MATCH(H233,VENDAS!$A$5:$A$1004,0))&amp;"",""))</f>
        <v/>
      </c>
      <c r="K233" s="22">
        <f>IF(H233="","",IFERROR(INDEX(VENDAS!$J$5:$J$1004,MATCH(H233,VENDAS!$A$5:$A$1004,0))&amp;"",""))</f>
        <v/>
      </c>
      <c r="L233" s="26">
        <f>IF(H233="","",SUMIFS(VENDAS!$F$5:$F$1004,VENDAS!$A$5:$A$1004,H233))</f>
        <v/>
      </c>
      <c r="M233" s="26">
        <f>IF(H233="","",SUMIFS(VENDAS!$F$5:$F$1004,VENDAS!$A$5:$A$1004,H233,VENDAS!$D$5:$D$1004,M$4))</f>
        <v/>
      </c>
      <c r="N233" s="26">
        <f>IF(H233="","",SUMIFS(VENDAS!$F$5:$F$1004,VENDAS!$A$5:$A$1004,H233,VENDAS!$D$5:$D$1004,N$4))</f>
        <v/>
      </c>
      <c r="O233" s="26">
        <f>IF(H233="","",SUMIFS(VENDAS!$F$5:$F$1004,VENDAS!$A$5:$A$1004,H233,VENDAS!$D$5:$D$1004,O$4))</f>
        <v/>
      </c>
      <c r="P233" s="26">
        <f>IF(H233="","",SUMIFS(VENDAS!$F$5:$F$1004,VENDAS!$A$5:$A$1004,H233,VENDAS!$D$5:$D$1004,P$4))</f>
        <v/>
      </c>
      <c r="Q233" s="24">
        <f>IF(H233="","",SUMIFS(VENDAS!$H$5:$H$1004,VENDAS!$A$5:$A$1004,H233))</f>
        <v/>
      </c>
      <c r="R233" s="24">
        <f>IF(H233="","",SUMIFS(VENDAS!$K$5:$K$1004,VENDAS!$A$5:$A$1004,H233))</f>
        <v/>
      </c>
      <c r="S233" s="20" t="n"/>
      <c r="T233" s="31" t="n"/>
    </row>
    <row r="234">
      <c r="H234" s="20" t="n"/>
      <c r="I234" s="30">
        <f>IF(H234="","",IFERROR(INDEX(VENDAS!$B$5:$B$1004,MATCH(H234,VENDAS!$A$5:$A$1004,0)),"não lançado"))</f>
        <v/>
      </c>
      <c r="J234" s="22">
        <f>IF(H234="","",IFERROR(INDEX(VENDAS!$M$5:$M$1004,MATCH(H234,VENDAS!$A$5:$A$1004,0))&amp;"",""))</f>
        <v/>
      </c>
      <c r="K234" s="22">
        <f>IF(H234="","",IFERROR(INDEX(VENDAS!$J$5:$J$1004,MATCH(H234,VENDAS!$A$5:$A$1004,0))&amp;"",""))</f>
        <v/>
      </c>
      <c r="L234" s="26">
        <f>IF(H234="","",SUMIFS(VENDAS!$F$5:$F$1004,VENDAS!$A$5:$A$1004,H234))</f>
        <v/>
      </c>
      <c r="M234" s="26">
        <f>IF(H234="","",SUMIFS(VENDAS!$F$5:$F$1004,VENDAS!$A$5:$A$1004,H234,VENDAS!$D$5:$D$1004,M$4))</f>
        <v/>
      </c>
      <c r="N234" s="26">
        <f>IF(H234="","",SUMIFS(VENDAS!$F$5:$F$1004,VENDAS!$A$5:$A$1004,H234,VENDAS!$D$5:$D$1004,N$4))</f>
        <v/>
      </c>
      <c r="O234" s="26">
        <f>IF(H234="","",SUMIFS(VENDAS!$F$5:$F$1004,VENDAS!$A$5:$A$1004,H234,VENDAS!$D$5:$D$1004,O$4))</f>
        <v/>
      </c>
      <c r="P234" s="26">
        <f>IF(H234="","",SUMIFS(VENDAS!$F$5:$F$1004,VENDAS!$A$5:$A$1004,H234,VENDAS!$D$5:$D$1004,P$4))</f>
        <v/>
      </c>
      <c r="Q234" s="24">
        <f>IF(H234="","",SUMIFS(VENDAS!$H$5:$H$1004,VENDAS!$A$5:$A$1004,H234))</f>
        <v/>
      </c>
      <c r="R234" s="24">
        <f>IF(H234="","",SUMIFS(VENDAS!$K$5:$K$1004,VENDAS!$A$5:$A$1004,H234))</f>
        <v/>
      </c>
      <c r="S234" s="20" t="n"/>
      <c r="T234" s="31" t="n"/>
    </row>
    <row r="235">
      <c r="H235" s="20" t="n"/>
      <c r="I235" s="30">
        <f>IF(H235="","",IFERROR(INDEX(VENDAS!$B$5:$B$1004,MATCH(H235,VENDAS!$A$5:$A$1004,0)),"não lançado"))</f>
        <v/>
      </c>
      <c r="J235" s="22">
        <f>IF(H235="","",IFERROR(INDEX(VENDAS!$M$5:$M$1004,MATCH(H235,VENDAS!$A$5:$A$1004,0))&amp;"",""))</f>
        <v/>
      </c>
      <c r="K235" s="22">
        <f>IF(H235="","",IFERROR(INDEX(VENDAS!$J$5:$J$1004,MATCH(H235,VENDAS!$A$5:$A$1004,0))&amp;"",""))</f>
        <v/>
      </c>
      <c r="L235" s="26">
        <f>IF(H235="","",SUMIFS(VENDAS!$F$5:$F$1004,VENDAS!$A$5:$A$1004,H235))</f>
        <v/>
      </c>
      <c r="M235" s="26">
        <f>IF(H235="","",SUMIFS(VENDAS!$F$5:$F$1004,VENDAS!$A$5:$A$1004,H235,VENDAS!$D$5:$D$1004,M$4))</f>
        <v/>
      </c>
      <c r="N235" s="26">
        <f>IF(H235="","",SUMIFS(VENDAS!$F$5:$F$1004,VENDAS!$A$5:$A$1004,H235,VENDAS!$D$5:$D$1004,N$4))</f>
        <v/>
      </c>
      <c r="O235" s="26">
        <f>IF(H235="","",SUMIFS(VENDAS!$F$5:$F$1004,VENDAS!$A$5:$A$1004,H235,VENDAS!$D$5:$D$1004,O$4))</f>
        <v/>
      </c>
      <c r="P235" s="26">
        <f>IF(H235="","",SUMIFS(VENDAS!$F$5:$F$1004,VENDAS!$A$5:$A$1004,H235,VENDAS!$D$5:$D$1004,P$4))</f>
        <v/>
      </c>
      <c r="Q235" s="24">
        <f>IF(H235="","",SUMIFS(VENDAS!$H$5:$H$1004,VENDAS!$A$5:$A$1004,H235))</f>
        <v/>
      </c>
      <c r="R235" s="24">
        <f>IF(H235="","",SUMIFS(VENDAS!$K$5:$K$1004,VENDAS!$A$5:$A$1004,H235))</f>
        <v/>
      </c>
      <c r="S235" s="20" t="n"/>
      <c r="T235" s="31" t="n"/>
    </row>
    <row r="236">
      <c r="H236" s="20" t="n"/>
      <c r="I236" s="30">
        <f>IF(H236="","",IFERROR(INDEX(VENDAS!$B$5:$B$1004,MATCH(H236,VENDAS!$A$5:$A$1004,0)),"não lançado"))</f>
        <v/>
      </c>
      <c r="J236" s="22">
        <f>IF(H236="","",IFERROR(INDEX(VENDAS!$M$5:$M$1004,MATCH(H236,VENDAS!$A$5:$A$1004,0))&amp;"",""))</f>
        <v/>
      </c>
      <c r="K236" s="22">
        <f>IF(H236="","",IFERROR(INDEX(VENDAS!$J$5:$J$1004,MATCH(H236,VENDAS!$A$5:$A$1004,0))&amp;"",""))</f>
        <v/>
      </c>
      <c r="L236" s="26">
        <f>IF(H236="","",SUMIFS(VENDAS!$F$5:$F$1004,VENDAS!$A$5:$A$1004,H236))</f>
        <v/>
      </c>
      <c r="M236" s="26">
        <f>IF(H236="","",SUMIFS(VENDAS!$F$5:$F$1004,VENDAS!$A$5:$A$1004,H236,VENDAS!$D$5:$D$1004,M$4))</f>
        <v/>
      </c>
      <c r="N236" s="26">
        <f>IF(H236="","",SUMIFS(VENDAS!$F$5:$F$1004,VENDAS!$A$5:$A$1004,H236,VENDAS!$D$5:$D$1004,N$4))</f>
        <v/>
      </c>
      <c r="O236" s="26">
        <f>IF(H236="","",SUMIFS(VENDAS!$F$5:$F$1004,VENDAS!$A$5:$A$1004,H236,VENDAS!$D$5:$D$1004,O$4))</f>
        <v/>
      </c>
      <c r="P236" s="26">
        <f>IF(H236="","",SUMIFS(VENDAS!$F$5:$F$1004,VENDAS!$A$5:$A$1004,H236,VENDAS!$D$5:$D$1004,P$4))</f>
        <v/>
      </c>
      <c r="Q236" s="24">
        <f>IF(H236="","",SUMIFS(VENDAS!$H$5:$H$1004,VENDAS!$A$5:$A$1004,H236))</f>
        <v/>
      </c>
      <c r="R236" s="24">
        <f>IF(H236="","",SUMIFS(VENDAS!$K$5:$K$1004,VENDAS!$A$5:$A$1004,H236))</f>
        <v/>
      </c>
      <c r="S236" s="20" t="n"/>
      <c r="T236" s="31" t="n"/>
    </row>
    <row r="237">
      <c r="H237" s="20" t="n"/>
      <c r="I237" s="30">
        <f>IF(H237="","",IFERROR(INDEX(VENDAS!$B$5:$B$1004,MATCH(H237,VENDAS!$A$5:$A$1004,0)),"não lançado"))</f>
        <v/>
      </c>
      <c r="J237" s="22">
        <f>IF(H237="","",IFERROR(INDEX(VENDAS!$M$5:$M$1004,MATCH(H237,VENDAS!$A$5:$A$1004,0))&amp;"",""))</f>
        <v/>
      </c>
      <c r="K237" s="22">
        <f>IF(H237="","",IFERROR(INDEX(VENDAS!$J$5:$J$1004,MATCH(H237,VENDAS!$A$5:$A$1004,0))&amp;"",""))</f>
        <v/>
      </c>
      <c r="L237" s="26">
        <f>IF(H237="","",SUMIFS(VENDAS!$F$5:$F$1004,VENDAS!$A$5:$A$1004,H237))</f>
        <v/>
      </c>
      <c r="M237" s="26">
        <f>IF(H237="","",SUMIFS(VENDAS!$F$5:$F$1004,VENDAS!$A$5:$A$1004,H237,VENDAS!$D$5:$D$1004,M$4))</f>
        <v/>
      </c>
      <c r="N237" s="26">
        <f>IF(H237="","",SUMIFS(VENDAS!$F$5:$F$1004,VENDAS!$A$5:$A$1004,H237,VENDAS!$D$5:$D$1004,N$4))</f>
        <v/>
      </c>
      <c r="O237" s="26">
        <f>IF(H237="","",SUMIFS(VENDAS!$F$5:$F$1004,VENDAS!$A$5:$A$1004,H237,VENDAS!$D$5:$D$1004,O$4))</f>
        <v/>
      </c>
      <c r="P237" s="26">
        <f>IF(H237="","",SUMIFS(VENDAS!$F$5:$F$1004,VENDAS!$A$5:$A$1004,H237,VENDAS!$D$5:$D$1004,P$4))</f>
        <v/>
      </c>
      <c r="Q237" s="24">
        <f>IF(H237="","",SUMIFS(VENDAS!$H$5:$H$1004,VENDAS!$A$5:$A$1004,H237))</f>
        <v/>
      </c>
      <c r="R237" s="24">
        <f>IF(H237="","",SUMIFS(VENDAS!$K$5:$K$1004,VENDAS!$A$5:$A$1004,H237))</f>
        <v/>
      </c>
      <c r="S237" s="20" t="n"/>
      <c r="T237" s="31" t="n"/>
    </row>
    <row r="238">
      <c r="H238" s="20" t="n"/>
      <c r="I238" s="30">
        <f>IF(H238="","",IFERROR(INDEX(VENDAS!$B$5:$B$1004,MATCH(H238,VENDAS!$A$5:$A$1004,0)),"não lançado"))</f>
        <v/>
      </c>
      <c r="J238" s="22">
        <f>IF(H238="","",IFERROR(INDEX(VENDAS!$M$5:$M$1004,MATCH(H238,VENDAS!$A$5:$A$1004,0))&amp;"",""))</f>
        <v/>
      </c>
      <c r="K238" s="22">
        <f>IF(H238="","",IFERROR(INDEX(VENDAS!$J$5:$J$1004,MATCH(H238,VENDAS!$A$5:$A$1004,0))&amp;"",""))</f>
        <v/>
      </c>
      <c r="L238" s="26">
        <f>IF(H238="","",SUMIFS(VENDAS!$F$5:$F$1004,VENDAS!$A$5:$A$1004,H238))</f>
        <v/>
      </c>
      <c r="M238" s="26">
        <f>IF(H238="","",SUMIFS(VENDAS!$F$5:$F$1004,VENDAS!$A$5:$A$1004,H238,VENDAS!$D$5:$D$1004,M$4))</f>
        <v/>
      </c>
      <c r="N238" s="26">
        <f>IF(H238="","",SUMIFS(VENDAS!$F$5:$F$1004,VENDAS!$A$5:$A$1004,H238,VENDAS!$D$5:$D$1004,N$4))</f>
        <v/>
      </c>
      <c r="O238" s="26">
        <f>IF(H238="","",SUMIFS(VENDAS!$F$5:$F$1004,VENDAS!$A$5:$A$1004,H238,VENDAS!$D$5:$D$1004,O$4))</f>
        <v/>
      </c>
      <c r="P238" s="26">
        <f>IF(H238="","",SUMIFS(VENDAS!$F$5:$F$1004,VENDAS!$A$5:$A$1004,H238,VENDAS!$D$5:$D$1004,P$4))</f>
        <v/>
      </c>
      <c r="Q238" s="24">
        <f>IF(H238="","",SUMIFS(VENDAS!$H$5:$H$1004,VENDAS!$A$5:$A$1004,H238))</f>
        <v/>
      </c>
      <c r="R238" s="24">
        <f>IF(H238="","",SUMIFS(VENDAS!$K$5:$K$1004,VENDAS!$A$5:$A$1004,H238))</f>
        <v/>
      </c>
      <c r="S238" s="20" t="n"/>
      <c r="T238" s="31" t="n"/>
    </row>
    <row r="239">
      <c r="H239" s="20" t="n"/>
      <c r="I239" s="30">
        <f>IF(H239="","",IFERROR(INDEX(VENDAS!$B$5:$B$1004,MATCH(H239,VENDAS!$A$5:$A$1004,0)),"não lançado"))</f>
        <v/>
      </c>
      <c r="J239" s="22">
        <f>IF(H239="","",IFERROR(INDEX(VENDAS!$M$5:$M$1004,MATCH(H239,VENDAS!$A$5:$A$1004,0))&amp;"",""))</f>
        <v/>
      </c>
      <c r="K239" s="22">
        <f>IF(H239="","",IFERROR(INDEX(VENDAS!$J$5:$J$1004,MATCH(H239,VENDAS!$A$5:$A$1004,0))&amp;"",""))</f>
        <v/>
      </c>
      <c r="L239" s="26">
        <f>IF(H239="","",SUMIFS(VENDAS!$F$5:$F$1004,VENDAS!$A$5:$A$1004,H239))</f>
        <v/>
      </c>
      <c r="M239" s="26">
        <f>IF(H239="","",SUMIFS(VENDAS!$F$5:$F$1004,VENDAS!$A$5:$A$1004,H239,VENDAS!$D$5:$D$1004,M$4))</f>
        <v/>
      </c>
      <c r="N239" s="26">
        <f>IF(H239="","",SUMIFS(VENDAS!$F$5:$F$1004,VENDAS!$A$5:$A$1004,H239,VENDAS!$D$5:$D$1004,N$4))</f>
        <v/>
      </c>
      <c r="O239" s="26">
        <f>IF(H239="","",SUMIFS(VENDAS!$F$5:$F$1004,VENDAS!$A$5:$A$1004,H239,VENDAS!$D$5:$D$1004,O$4))</f>
        <v/>
      </c>
      <c r="P239" s="26">
        <f>IF(H239="","",SUMIFS(VENDAS!$F$5:$F$1004,VENDAS!$A$5:$A$1004,H239,VENDAS!$D$5:$D$1004,P$4))</f>
        <v/>
      </c>
      <c r="Q239" s="24">
        <f>IF(H239="","",SUMIFS(VENDAS!$H$5:$H$1004,VENDAS!$A$5:$A$1004,H239))</f>
        <v/>
      </c>
      <c r="R239" s="24">
        <f>IF(H239="","",SUMIFS(VENDAS!$K$5:$K$1004,VENDAS!$A$5:$A$1004,H239))</f>
        <v/>
      </c>
      <c r="S239" s="20" t="n"/>
      <c r="T239" s="31" t="n"/>
    </row>
    <row r="240">
      <c r="H240" s="20" t="n"/>
      <c r="I240" s="30">
        <f>IF(H240="","",IFERROR(INDEX(VENDAS!$B$5:$B$1004,MATCH(H240,VENDAS!$A$5:$A$1004,0)),"não lançado"))</f>
        <v/>
      </c>
      <c r="J240" s="22">
        <f>IF(H240="","",IFERROR(INDEX(VENDAS!$M$5:$M$1004,MATCH(H240,VENDAS!$A$5:$A$1004,0))&amp;"",""))</f>
        <v/>
      </c>
      <c r="K240" s="22">
        <f>IF(H240="","",IFERROR(INDEX(VENDAS!$J$5:$J$1004,MATCH(H240,VENDAS!$A$5:$A$1004,0))&amp;"",""))</f>
        <v/>
      </c>
      <c r="L240" s="26">
        <f>IF(H240="","",SUMIFS(VENDAS!$F$5:$F$1004,VENDAS!$A$5:$A$1004,H240))</f>
        <v/>
      </c>
      <c r="M240" s="26">
        <f>IF(H240="","",SUMIFS(VENDAS!$F$5:$F$1004,VENDAS!$A$5:$A$1004,H240,VENDAS!$D$5:$D$1004,M$4))</f>
        <v/>
      </c>
      <c r="N240" s="26">
        <f>IF(H240="","",SUMIFS(VENDAS!$F$5:$F$1004,VENDAS!$A$5:$A$1004,H240,VENDAS!$D$5:$D$1004,N$4))</f>
        <v/>
      </c>
      <c r="O240" s="26">
        <f>IF(H240="","",SUMIFS(VENDAS!$F$5:$F$1004,VENDAS!$A$5:$A$1004,H240,VENDAS!$D$5:$D$1004,O$4))</f>
        <v/>
      </c>
      <c r="P240" s="26">
        <f>IF(H240="","",SUMIFS(VENDAS!$F$5:$F$1004,VENDAS!$A$5:$A$1004,H240,VENDAS!$D$5:$D$1004,P$4))</f>
        <v/>
      </c>
      <c r="Q240" s="24">
        <f>IF(H240="","",SUMIFS(VENDAS!$H$5:$H$1004,VENDAS!$A$5:$A$1004,H240))</f>
        <v/>
      </c>
      <c r="R240" s="24">
        <f>IF(H240="","",SUMIFS(VENDAS!$K$5:$K$1004,VENDAS!$A$5:$A$1004,H240))</f>
        <v/>
      </c>
      <c r="S240" s="20" t="n"/>
      <c r="T240" s="31" t="n"/>
    </row>
    <row r="241">
      <c r="H241" s="20" t="n"/>
      <c r="I241" s="30">
        <f>IF(H241="","",IFERROR(INDEX(VENDAS!$B$5:$B$1004,MATCH(H241,VENDAS!$A$5:$A$1004,0)),"não lançado"))</f>
        <v/>
      </c>
      <c r="J241" s="22">
        <f>IF(H241="","",IFERROR(INDEX(VENDAS!$M$5:$M$1004,MATCH(H241,VENDAS!$A$5:$A$1004,0))&amp;"",""))</f>
        <v/>
      </c>
      <c r="K241" s="22">
        <f>IF(H241="","",IFERROR(INDEX(VENDAS!$J$5:$J$1004,MATCH(H241,VENDAS!$A$5:$A$1004,0))&amp;"",""))</f>
        <v/>
      </c>
      <c r="L241" s="26">
        <f>IF(H241="","",SUMIFS(VENDAS!$F$5:$F$1004,VENDAS!$A$5:$A$1004,H241))</f>
        <v/>
      </c>
      <c r="M241" s="26">
        <f>IF(H241="","",SUMIFS(VENDAS!$F$5:$F$1004,VENDAS!$A$5:$A$1004,H241,VENDAS!$D$5:$D$1004,M$4))</f>
        <v/>
      </c>
      <c r="N241" s="26">
        <f>IF(H241="","",SUMIFS(VENDAS!$F$5:$F$1004,VENDAS!$A$5:$A$1004,H241,VENDAS!$D$5:$D$1004,N$4))</f>
        <v/>
      </c>
      <c r="O241" s="26">
        <f>IF(H241="","",SUMIFS(VENDAS!$F$5:$F$1004,VENDAS!$A$5:$A$1004,H241,VENDAS!$D$5:$D$1004,O$4))</f>
        <v/>
      </c>
      <c r="P241" s="26">
        <f>IF(H241="","",SUMIFS(VENDAS!$F$5:$F$1004,VENDAS!$A$5:$A$1004,H241,VENDAS!$D$5:$D$1004,P$4))</f>
        <v/>
      </c>
      <c r="Q241" s="24">
        <f>IF(H241="","",SUMIFS(VENDAS!$H$5:$H$1004,VENDAS!$A$5:$A$1004,H241))</f>
        <v/>
      </c>
      <c r="R241" s="24">
        <f>IF(H241="","",SUMIFS(VENDAS!$K$5:$K$1004,VENDAS!$A$5:$A$1004,H241))</f>
        <v/>
      </c>
      <c r="S241" s="20" t="n"/>
      <c r="T241" s="31" t="n"/>
    </row>
    <row r="242">
      <c r="H242" s="20" t="n"/>
      <c r="I242" s="30">
        <f>IF(H242="","",IFERROR(INDEX(VENDAS!$B$5:$B$1004,MATCH(H242,VENDAS!$A$5:$A$1004,0)),"não lançado"))</f>
        <v/>
      </c>
      <c r="J242" s="22">
        <f>IF(H242="","",IFERROR(INDEX(VENDAS!$M$5:$M$1004,MATCH(H242,VENDAS!$A$5:$A$1004,0))&amp;"",""))</f>
        <v/>
      </c>
      <c r="K242" s="22">
        <f>IF(H242="","",IFERROR(INDEX(VENDAS!$J$5:$J$1004,MATCH(H242,VENDAS!$A$5:$A$1004,0))&amp;"",""))</f>
        <v/>
      </c>
      <c r="L242" s="26">
        <f>IF(H242="","",SUMIFS(VENDAS!$F$5:$F$1004,VENDAS!$A$5:$A$1004,H242))</f>
        <v/>
      </c>
      <c r="M242" s="26">
        <f>IF(H242="","",SUMIFS(VENDAS!$F$5:$F$1004,VENDAS!$A$5:$A$1004,H242,VENDAS!$D$5:$D$1004,M$4))</f>
        <v/>
      </c>
      <c r="N242" s="26">
        <f>IF(H242="","",SUMIFS(VENDAS!$F$5:$F$1004,VENDAS!$A$5:$A$1004,H242,VENDAS!$D$5:$D$1004,N$4))</f>
        <v/>
      </c>
      <c r="O242" s="26">
        <f>IF(H242="","",SUMIFS(VENDAS!$F$5:$F$1004,VENDAS!$A$5:$A$1004,H242,VENDAS!$D$5:$D$1004,O$4))</f>
        <v/>
      </c>
      <c r="P242" s="26">
        <f>IF(H242="","",SUMIFS(VENDAS!$F$5:$F$1004,VENDAS!$A$5:$A$1004,H242,VENDAS!$D$5:$D$1004,P$4))</f>
        <v/>
      </c>
      <c r="Q242" s="24">
        <f>IF(H242="","",SUMIFS(VENDAS!$H$5:$H$1004,VENDAS!$A$5:$A$1004,H242))</f>
        <v/>
      </c>
      <c r="R242" s="24">
        <f>IF(H242="","",SUMIFS(VENDAS!$K$5:$K$1004,VENDAS!$A$5:$A$1004,H242))</f>
        <v/>
      </c>
      <c r="S242" s="20" t="n"/>
      <c r="T242" s="31" t="n"/>
    </row>
    <row r="243">
      <c r="H243" s="20" t="n"/>
      <c r="I243" s="30">
        <f>IF(H243="","",IFERROR(INDEX(VENDAS!$B$5:$B$1004,MATCH(H243,VENDAS!$A$5:$A$1004,0)),"não lançado"))</f>
        <v/>
      </c>
      <c r="J243" s="22">
        <f>IF(H243="","",IFERROR(INDEX(VENDAS!$M$5:$M$1004,MATCH(H243,VENDAS!$A$5:$A$1004,0))&amp;"",""))</f>
        <v/>
      </c>
      <c r="K243" s="22">
        <f>IF(H243="","",IFERROR(INDEX(VENDAS!$J$5:$J$1004,MATCH(H243,VENDAS!$A$5:$A$1004,0))&amp;"",""))</f>
        <v/>
      </c>
      <c r="L243" s="26">
        <f>IF(H243="","",SUMIFS(VENDAS!$F$5:$F$1004,VENDAS!$A$5:$A$1004,H243))</f>
        <v/>
      </c>
      <c r="M243" s="26">
        <f>IF(H243="","",SUMIFS(VENDAS!$F$5:$F$1004,VENDAS!$A$5:$A$1004,H243,VENDAS!$D$5:$D$1004,M$4))</f>
        <v/>
      </c>
      <c r="N243" s="26">
        <f>IF(H243="","",SUMIFS(VENDAS!$F$5:$F$1004,VENDAS!$A$5:$A$1004,H243,VENDAS!$D$5:$D$1004,N$4))</f>
        <v/>
      </c>
      <c r="O243" s="26">
        <f>IF(H243="","",SUMIFS(VENDAS!$F$5:$F$1004,VENDAS!$A$5:$A$1004,H243,VENDAS!$D$5:$D$1004,O$4))</f>
        <v/>
      </c>
      <c r="P243" s="26">
        <f>IF(H243="","",SUMIFS(VENDAS!$F$5:$F$1004,VENDAS!$A$5:$A$1004,H243,VENDAS!$D$5:$D$1004,P$4))</f>
        <v/>
      </c>
      <c r="Q243" s="24">
        <f>IF(H243="","",SUMIFS(VENDAS!$H$5:$H$1004,VENDAS!$A$5:$A$1004,H243))</f>
        <v/>
      </c>
      <c r="R243" s="24">
        <f>IF(H243="","",SUMIFS(VENDAS!$K$5:$K$1004,VENDAS!$A$5:$A$1004,H243))</f>
        <v/>
      </c>
      <c r="S243" s="20" t="n"/>
      <c r="T243" s="31" t="n"/>
    </row>
    <row r="244">
      <c r="H244" s="20" t="n"/>
      <c r="I244" s="30">
        <f>IF(H244="","",IFERROR(INDEX(VENDAS!$B$5:$B$1004,MATCH(H244,VENDAS!$A$5:$A$1004,0)),"não lançado"))</f>
        <v/>
      </c>
      <c r="J244" s="22">
        <f>IF(H244="","",IFERROR(INDEX(VENDAS!$M$5:$M$1004,MATCH(H244,VENDAS!$A$5:$A$1004,0))&amp;"",""))</f>
        <v/>
      </c>
      <c r="K244" s="22">
        <f>IF(H244="","",IFERROR(INDEX(VENDAS!$J$5:$J$1004,MATCH(H244,VENDAS!$A$5:$A$1004,0))&amp;"",""))</f>
        <v/>
      </c>
      <c r="L244" s="26">
        <f>IF(H244="","",SUMIFS(VENDAS!$F$5:$F$1004,VENDAS!$A$5:$A$1004,H244))</f>
        <v/>
      </c>
      <c r="M244" s="26">
        <f>IF(H244="","",SUMIFS(VENDAS!$F$5:$F$1004,VENDAS!$A$5:$A$1004,H244,VENDAS!$D$5:$D$1004,M$4))</f>
        <v/>
      </c>
      <c r="N244" s="26">
        <f>IF(H244="","",SUMIFS(VENDAS!$F$5:$F$1004,VENDAS!$A$5:$A$1004,H244,VENDAS!$D$5:$D$1004,N$4))</f>
        <v/>
      </c>
      <c r="O244" s="26">
        <f>IF(H244="","",SUMIFS(VENDAS!$F$5:$F$1004,VENDAS!$A$5:$A$1004,H244,VENDAS!$D$5:$D$1004,O$4))</f>
        <v/>
      </c>
      <c r="P244" s="26">
        <f>IF(H244="","",SUMIFS(VENDAS!$F$5:$F$1004,VENDAS!$A$5:$A$1004,H244,VENDAS!$D$5:$D$1004,P$4))</f>
        <v/>
      </c>
      <c r="Q244" s="24">
        <f>IF(H244="","",SUMIFS(VENDAS!$H$5:$H$1004,VENDAS!$A$5:$A$1004,H244))</f>
        <v/>
      </c>
      <c r="R244" s="24">
        <f>IF(H244="","",SUMIFS(VENDAS!$K$5:$K$1004,VENDAS!$A$5:$A$1004,H244))</f>
        <v/>
      </c>
      <c r="S244" s="20" t="n"/>
      <c r="T244" s="31" t="n"/>
    </row>
    <row r="245">
      <c r="H245" s="20" t="n"/>
      <c r="I245" s="30">
        <f>IF(H245="","",IFERROR(INDEX(VENDAS!$B$5:$B$1004,MATCH(H245,VENDAS!$A$5:$A$1004,0)),"não lançado"))</f>
        <v/>
      </c>
      <c r="J245" s="22">
        <f>IF(H245="","",IFERROR(INDEX(VENDAS!$M$5:$M$1004,MATCH(H245,VENDAS!$A$5:$A$1004,0))&amp;"",""))</f>
        <v/>
      </c>
      <c r="K245" s="22">
        <f>IF(H245="","",IFERROR(INDEX(VENDAS!$J$5:$J$1004,MATCH(H245,VENDAS!$A$5:$A$1004,0))&amp;"",""))</f>
        <v/>
      </c>
      <c r="L245" s="26">
        <f>IF(H245="","",SUMIFS(VENDAS!$F$5:$F$1004,VENDAS!$A$5:$A$1004,H245))</f>
        <v/>
      </c>
      <c r="M245" s="26">
        <f>IF(H245="","",SUMIFS(VENDAS!$F$5:$F$1004,VENDAS!$A$5:$A$1004,H245,VENDAS!$D$5:$D$1004,M$4))</f>
        <v/>
      </c>
      <c r="N245" s="26">
        <f>IF(H245="","",SUMIFS(VENDAS!$F$5:$F$1004,VENDAS!$A$5:$A$1004,H245,VENDAS!$D$5:$D$1004,N$4))</f>
        <v/>
      </c>
      <c r="O245" s="26">
        <f>IF(H245="","",SUMIFS(VENDAS!$F$5:$F$1004,VENDAS!$A$5:$A$1004,H245,VENDAS!$D$5:$D$1004,O$4))</f>
        <v/>
      </c>
      <c r="P245" s="26">
        <f>IF(H245="","",SUMIFS(VENDAS!$F$5:$F$1004,VENDAS!$A$5:$A$1004,H245,VENDAS!$D$5:$D$1004,P$4))</f>
        <v/>
      </c>
      <c r="Q245" s="24">
        <f>IF(H245="","",SUMIFS(VENDAS!$H$5:$H$1004,VENDAS!$A$5:$A$1004,H245))</f>
        <v/>
      </c>
      <c r="R245" s="24">
        <f>IF(H245="","",SUMIFS(VENDAS!$K$5:$K$1004,VENDAS!$A$5:$A$1004,H245))</f>
        <v/>
      </c>
      <c r="S245" s="20" t="n"/>
      <c r="T245" s="31" t="n"/>
    </row>
    <row r="246">
      <c r="H246" s="20" t="n"/>
      <c r="I246" s="30">
        <f>IF(H246="","",IFERROR(INDEX(VENDAS!$B$5:$B$1004,MATCH(H246,VENDAS!$A$5:$A$1004,0)),"não lançado"))</f>
        <v/>
      </c>
      <c r="J246" s="22">
        <f>IF(H246="","",IFERROR(INDEX(VENDAS!$M$5:$M$1004,MATCH(H246,VENDAS!$A$5:$A$1004,0))&amp;"",""))</f>
        <v/>
      </c>
      <c r="K246" s="22">
        <f>IF(H246="","",IFERROR(INDEX(VENDAS!$J$5:$J$1004,MATCH(H246,VENDAS!$A$5:$A$1004,0))&amp;"",""))</f>
        <v/>
      </c>
      <c r="L246" s="26">
        <f>IF(H246="","",SUMIFS(VENDAS!$F$5:$F$1004,VENDAS!$A$5:$A$1004,H246))</f>
        <v/>
      </c>
      <c r="M246" s="26">
        <f>IF(H246="","",SUMIFS(VENDAS!$F$5:$F$1004,VENDAS!$A$5:$A$1004,H246,VENDAS!$D$5:$D$1004,M$4))</f>
        <v/>
      </c>
      <c r="N246" s="26">
        <f>IF(H246="","",SUMIFS(VENDAS!$F$5:$F$1004,VENDAS!$A$5:$A$1004,H246,VENDAS!$D$5:$D$1004,N$4))</f>
        <v/>
      </c>
      <c r="O246" s="26">
        <f>IF(H246="","",SUMIFS(VENDAS!$F$5:$F$1004,VENDAS!$A$5:$A$1004,H246,VENDAS!$D$5:$D$1004,O$4))</f>
        <v/>
      </c>
      <c r="P246" s="26">
        <f>IF(H246="","",SUMIFS(VENDAS!$F$5:$F$1004,VENDAS!$A$5:$A$1004,H246,VENDAS!$D$5:$D$1004,P$4))</f>
        <v/>
      </c>
      <c r="Q246" s="24">
        <f>IF(H246="","",SUMIFS(VENDAS!$H$5:$H$1004,VENDAS!$A$5:$A$1004,H246))</f>
        <v/>
      </c>
      <c r="R246" s="24">
        <f>IF(H246="","",SUMIFS(VENDAS!$K$5:$K$1004,VENDAS!$A$5:$A$1004,H246))</f>
        <v/>
      </c>
      <c r="S246" s="20" t="n"/>
      <c r="T246" s="31" t="n"/>
    </row>
    <row r="247">
      <c r="H247" s="20" t="n"/>
      <c r="I247" s="30">
        <f>IF(H247="","",IFERROR(INDEX(VENDAS!$B$5:$B$1004,MATCH(H247,VENDAS!$A$5:$A$1004,0)),"não lançado"))</f>
        <v/>
      </c>
      <c r="J247" s="22">
        <f>IF(H247="","",IFERROR(INDEX(VENDAS!$M$5:$M$1004,MATCH(H247,VENDAS!$A$5:$A$1004,0))&amp;"",""))</f>
        <v/>
      </c>
      <c r="K247" s="22">
        <f>IF(H247="","",IFERROR(INDEX(VENDAS!$J$5:$J$1004,MATCH(H247,VENDAS!$A$5:$A$1004,0))&amp;"",""))</f>
        <v/>
      </c>
      <c r="L247" s="26">
        <f>IF(H247="","",SUMIFS(VENDAS!$F$5:$F$1004,VENDAS!$A$5:$A$1004,H247))</f>
        <v/>
      </c>
      <c r="M247" s="26">
        <f>IF(H247="","",SUMIFS(VENDAS!$F$5:$F$1004,VENDAS!$A$5:$A$1004,H247,VENDAS!$D$5:$D$1004,M$4))</f>
        <v/>
      </c>
      <c r="N247" s="26">
        <f>IF(H247="","",SUMIFS(VENDAS!$F$5:$F$1004,VENDAS!$A$5:$A$1004,H247,VENDAS!$D$5:$D$1004,N$4))</f>
        <v/>
      </c>
      <c r="O247" s="26">
        <f>IF(H247="","",SUMIFS(VENDAS!$F$5:$F$1004,VENDAS!$A$5:$A$1004,H247,VENDAS!$D$5:$D$1004,O$4))</f>
        <v/>
      </c>
      <c r="P247" s="26">
        <f>IF(H247="","",SUMIFS(VENDAS!$F$5:$F$1004,VENDAS!$A$5:$A$1004,H247,VENDAS!$D$5:$D$1004,P$4))</f>
        <v/>
      </c>
      <c r="Q247" s="24">
        <f>IF(H247="","",SUMIFS(VENDAS!$H$5:$H$1004,VENDAS!$A$5:$A$1004,H247))</f>
        <v/>
      </c>
      <c r="R247" s="24">
        <f>IF(H247="","",SUMIFS(VENDAS!$K$5:$K$1004,VENDAS!$A$5:$A$1004,H247))</f>
        <v/>
      </c>
      <c r="S247" s="20" t="n"/>
      <c r="T247" s="31" t="n"/>
    </row>
    <row r="248">
      <c r="H248" s="20" t="n"/>
      <c r="I248" s="30">
        <f>IF(H248="","",IFERROR(INDEX(VENDAS!$B$5:$B$1004,MATCH(H248,VENDAS!$A$5:$A$1004,0)),"não lançado"))</f>
        <v/>
      </c>
      <c r="J248" s="22">
        <f>IF(H248="","",IFERROR(INDEX(VENDAS!$M$5:$M$1004,MATCH(H248,VENDAS!$A$5:$A$1004,0))&amp;"",""))</f>
        <v/>
      </c>
      <c r="K248" s="22">
        <f>IF(H248="","",IFERROR(INDEX(VENDAS!$J$5:$J$1004,MATCH(H248,VENDAS!$A$5:$A$1004,0))&amp;"",""))</f>
        <v/>
      </c>
      <c r="L248" s="26">
        <f>IF(H248="","",SUMIFS(VENDAS!$F$5:$F$1004,VENDAS!$A$5:$A$1004,H248))</f>
        <v/>
      </c>
      <c r="M248" s="26">
        <f>IF(H248="","",SUMIFS(VENDAS!$F$5:$F$1004,VENDAS!$A$5:$A$1004,H248,VENDAS!$D$5:$D$1004,M$4))</f>
        <v/>
      </c>
      <c r="N248" s="26">
        <f>IF(H248="","",SUMIFS(VENDAS!$F$5:$F$1004,VENDAS!$A$5:$A$1004,H248,VENDAS!$D$5:$D$1004,N$4))</f>
        <v/>
      </c>
      <c r="O248" s="26">
        <f>IF(H248="","",SUMIFS(VENDAS!$F$5:$F$1004,VENDAS!$A$5:$A$1004,H248,VENDAS!$D$5:$D$1004,O$4))</f>
        <v/>
      </c>
      <c r="P248" s="26">
        <f>IF(H248="","",SUMIFS(VENDAS!$F$5:$F$1004,VENDAS!$A$5:$A$1004,H248,VENDAS!$D$5:$D$1004,P$4))</f>
        <v/>
      </c>
      <c r="Q248" s="24">
        <f>IF(H248="","",SUMIFS(VENDAS!$H$5:$H$1004,VENDAS!$A$5:$A$1004,H248))</f>
        <v/>
      </c>
      <c r="R248" s="24">
        <f>IF(H248="","",SUMIFS(VENDAS!$K$5:$K$1004,VENDAS!$A$5:$A$1004,H248))</f>
        <v/>
      </c>
      <c r="S248" s="20" t="n"/>
      <c r="T248" s="31" t="n"/>
    </row>
    <row r="249">
      <c r="H249" s="20" t="n"/>
      <c r="I249" s="30">
        <f>IF(H249="","",IFERROR(INDEX(VENDAS!$B$5:$B$1004,MATCH(H249,VENDAS!$A$5:$A$1004,0)),"não lançado"))</f>
        <v/>
      </c>
      <c r="J249" s="22">
        <f>IF(H249="","",IFERROR(INDEX(VENDAS!$M$5:$M$1004,MATCH(H249,VENDAS!$A$5:$A$1004,0))&amp;"",""))</f>
        <v/>
      </c>
      <c r="K249" s="22">
        <f>IF(H249="","",IFERROR(INDEX(VENDAS!$J$5:$J$1004,MATCH(H249,VENDAS!$A$5:$A$1004,0))&amp;"",""))</f>
        <v/>
      </c>
      <c r="L249" s="26">
        <f>IF(H249="","",SUMIFS(VENDAS!$F$5:$F$1004,VENDAS!$A$5:$A$1004,H249))</f>
        <v/>
      </c>
      <c r="M249" s="26">
        <f>IF(H249="","",SUMIFS(VENDAS!$F$5:$F$1004,VENDAS!$A$5:$A$1004,H249,VENDAS!$D$5:$D$1004,M$4))</f>
        <v/>
      </c>
      <c r="N249" s="26">
        <f>IF(H249="","",SUMIFS(VENDAS!$F$5:$F$1004,VENDAS!$A$5:$A$1004,H249,VENDAS!$D$5:$D$1004,N$4))</f>
        <v/>
      </c>
      <c r="O249" s="26">
        <f>IF(H249="","",SUMIFS(VENDAS!$F$5:$F$1004,VENDAS!$A$5:$A$1004,H249,VENDAS!$D$5:$D$1004,O$4))</f>
        <v/>
      </c>
      <c r="P249" s="26">
        <f>IF(H249="","",SUMIFS(VENDAS!$F$5:$F$1004,VENDAS!$A$5:$A$1004,H249,VENDAS!$D$5:$D$1004,P$4))</f>
        <v/>
      </c>
      <c r="Q249" s="24">
        <f>IF(H249="","",SUMIFS(VENDAS!$H$5:$H$1004,VENDAS!$A$5:$A$1004,H249))</f>
        <v/>
      </c>
      <c r="R249" s="24">
        <f>IF(H249="","",SUMIFS(VENDAS!$K$5:$K$1004,VENDAS!$A$5:$A$1004,H249))</f>
        <v/>
      </c>
      <c r="S249" s="20" t="n"/>
      <c r="T249" s="31" t="n"/>
    </row>
    <row r="250">
      <c r="H250" s="20" t="n"/>
      <c r="I250" s="30">
        <f>IF(H250="","",IFERROR(INDEX(VENDAS!$B$5:$B$1004,MATCH(H250,VENDAS!$A$5:$A$1004,0)),"não lançado"))</f>
        <v/>
      </c>
      <c r="J250" s="22">
        <f>IF(H250="","",IFERROR(INDEX(VENDAS!$M$5:$M$1004,MATCH(H250,VENDAS!$A$5:$A$1004,0))&amp;"",""))</f>
        <v/>
      </c>
      <c r="K250" s="22">
        <f>IF(H250="","",IFERROR(INDEX(VENDAS!$J$5:$J$1004,MATCH(H250,VENDAS!$A$5:$A$1004,0))&amp;"",""))</f>
        <v/>
      </c>
      <c r="L250" s="26">
        <f>IF(H250="","",SUMIFS(VENDAS!$F$5:$F$1004,VENDAS!$A$5:$A$1004,H250))</f>
        <v/>
      </c>
      <c r="M250" s="26">
        <f>IF(H250="","",SUMIFS(VENDAS!$F$5:$F$1004,VENDAS!$A$5:$A$1004,H250,VENDAS!$D$5:$D$1004,M$4))</f>
        <v/>
      </c>
      <c r="N250" s="26">
        <f>IF(H250="","",SUMIFS(VENDAS!$F$5:$F$1004,VENDAS!$A$5:$A$1004,H250,VENDAS!$D$5:$D$1004,N$4))</f>
        <v/>
      </c>
      <c r="O250" s="26">
        <f>IF(H250="","",SUMIFS(VENDAS!$F$5:$F$1004,VENDAS!$A$5:$A$1004,H250,VENDAS!$D$5:$D$1004,O$4))</f>
        <v/>
      </c>
      <c r="P250" s="26">
        <f>IF(H250="","",SUMIFS(VENDAS!$F$5:$F$1004,VENDAS!$A$5:$A$1004,H250,VENDAS!$D$5:$D$1004,P$4))</f>
        <v/>
      </c>
      <c r="Q250" s="24">
        <f>IF(H250="","",SUMIFS(VENDAS!$H$5:$H$1004,VENDAS!$A$5:$A$1004,H250))</f>
        <v/>
      </c>
      <c r="R250" s="24">
        <f>IF(H250="","",SUMIFS(VENDAS!$K$5:$K$1004,VENDAS!$A$5:$A$1004,H250))</f>
        <v/>
      </c>
      <c r="S250" s="20" t="n"/>
      <c r="T250" s="31" t="n"/>
    </row>
    <row r="251">
      <c r="H251" s="20" t="n"/>
      <c r="I251" s="30">
        <f>IF(H251="","",IFERROR(INDEX(VENDAS!$B$5:$B$1004,MATCH(H251,VENDAS!$A$5:$A$1004,0)),"não lançado"))</f>
        <v/>
      </c>
      <c r="J251" s="22">
        <f>IF(H251="","",IFERROR(INDEX(VENDAS!$M$5:$M$1004,MATCH(H251,VENDAS!$A$5:$A$1004,0))&amp;"",""))</f>
        <v/>
      </c>
      <c r="K251" s="22">
        <f>IF(H251="","",IFERROR(INDEX(VENDAS!$J$5:$J$1004,MATCH(H251,VENDAS!$A$5:$A$1004,0))&amp;"",""))</f>
        <v/>
      </c>
      <c r="L251" s="26">
        <f>IF(H251="","",SUMIFS(VENDAS!$F$5:$F$1004,VENDAS!$A$5:$A$1004,H251))</f>
        <v/>
      </c>
      <c r="M251" s="26">
        <f>IF(H251="","",SUMIFS(VENDAS!$F$5:$F$1004,VENDAS!$A$5:$A$1004,H251,VENDAS!$D$5:$D$1004,M$4))</f>
        <v/>
      </c>
      <c r="N251" s="26">
        <f>IF(H251="","",SUMIFS(VENDAS!$F$5:$F$1004,VENDAS!$A$5:$A$1004,H251,VENDAS!$D$5:$D$1004,N$4))</f>
        <v/>
      </c>
      <c r="O251" s="26">
        <f>IF(H251="","",SUMIFS(VENDAS!$F$5:$F$1004,VENDAS!$A$5:$A$1004,H251,VENDAS!$D$5:$D$1004,O$4))</f>
        <v/>
      </c>
      <c r="P251" s="26">
        <f>IF(H251="","",SUMIFS(VENDAS!$F$5:$F$1004,VENDAS!$A$5:$A$1004,H251,VENDAS!$D$5:$D$1004,P$4))</f>
        <v/>
      </c>
      <c r="Q251" s="24">
        <f>IF(H251="","",SUMIFS(VENDAS!$H$5:$H$1004,VENDAS!$A$5:$A$1004,H251))</f>
        <v/>
      </c>
      <c r="R251" s="24">
        <f>IF(H251="","",SUMIFS(VENDAS!$K$5:$K$1004,VENDAS!$A$5:$A$1004,H251))</f>
        <v/>
      </c>
      <c r="S251" s="20" t="n"/>
      <c r="T251" s="31" t="n"/>
    </row>
    <row r="252">
      <c r="H252" s="20" t="n"/>
      <c r="I252" s="30">
        <f>IF(H252="","",IFERROR(INDEX(VENDAS!$B$5:$B$1004,MATCH(H252,VENDAS!$A$5:$A$1004,0)),"não lançado"))</f>
        <v/>
      </c>
      <c r="J252" s="22">
        <f>IF(H252="","",IFERROR(INDEX(VENDAS!$M$5:$M$1004,MATCH(H252,VENDAS!$A$5:$A$1004,0))&amp;"",""))</f>
        <v/>
      </c>
      <c r="K252" s="22">
        <f>IF(H252="","",IFERROR(INDEX(VENDAS!$J$5:$J$1004,MATCH(H252,VENDAS!$A$5:$A$1004,0))&amp;"",""))</f>
        <v/>
      </c>
      <c r="L252" s="26">
        <f>IF(H252="","",SUMIFS(VENDAS!$F$5:$F$1004,VENDAS!$A$5:$A$1004,H252))</f>
        <v/>
      </c>
      <c r="M252" s="26">
        <f>IF(H252="","",SUMIFS(VENDAS!$F$5:$F$1004,VENDAS!$A$5:$A$1004,H252,VENDAS!$D$5:$D$1004,M$4))</f>
        <v/>
      </c>
      <c r="N252" s="26">
        <f>IF(H252="","",SUMIFS(VENDAS!$F$5:$F$1004,VENDAS!$A$5:$A$1004,H252,VENDAS!$D$5:$D$1004,N$4))</f>
        <v/>
      </c>
      <c r="O252" s="26">
        <f>IF(H252="","",SUMIFS(VENDAS!$F$5:$F$1004,VENDAS!$A$5:$A$1004,H252,VENDAS!$D$5:$D$1004,O$4))</f>
        <v/>
      </c>
      <c r="P252" s="26">
        <f>IF(H252="","",SUMIFS(VENDAS!$F$5:$F$1004,VENDAS!$A$5:$A$1004,H252,VENDAS!$D$5:$D$1004,P$4))</f>
        <v/>
      </c>
      <c r="Q252" s="24">
        <f>IF(H252="","",SUMIFS(VENDAS!$H$5:$H$1004,VENDAS!$A$5:$A$1004,H252))</f>
        <v/>
      </c>
      <c r="R252" s="24">
        <f>IF(H252="","",SUMIFS(VENDAS!$K$5:$K$1004,VENDAS!$A$5:$A$1004,H252))</f>
        <v/>
      </c>
      <c r="S252" s="20" t="n"/>
      <c r="T252" s="31" t="n"/>
    </row>
    <row r="253">
      <c r="H253" s="20" t="n"/>
      <c r="I253" s="30">
        <f>IF(H253="","",IFERROR(INDEX(VENDAS!$B$5:$B$1004,MATCH(H253,VENDAS!$A$5:$A$1004,0)),"não lançado"))</f>
        <v/>
      </c>
      <c r="J253" s="22">
        <f>IF(H253="","",IFERROR(INDEX(VENDAS!$M$5:$M$1004,MATCH(H253,VENDAS!$A$5:$A$1004,0))&amp;"",""))</f>
        <v/>
      </c>
      <c r="K253" s="22">
        <f>IF(H253="","",IFERROR(INDEX(VENDAS!$J$5:$J$1004,MATCH(H253,VENDAS!$A$5:$A$1004,0))&amp;"",""))</f>
        <v/>
      </c>
      <c r="L253" s="26">
        <f>IF(H253="","",SUMIFS(VENDAS!$F$5:$F$1004,VENDAS!$A$5:$A$1004,H253))</f>
        <v/>
      </c>
      <c r="M253" s="26">
        <f>IF(H253="","",SUMIFS(VENDAS!$F$5:$F$1004,VENDAS!$A$5:$A$1004,H253,VENDAS!$D$5:$D$1004,M$4))</f>
        <v/>
      </c>
      <c r="N253" s="26">
        <f>IF(H253="","",SUMIFS(VENDAS!$F$5:$F$1004,VENDAS!$A$5:$A$1004,H253,VENDAS!$D$5:$D$1004,N$4))</f>
        <v/>
      </c>
      <c r="O253" s="26">
        <f>IF(H253="","",SUMIFS(VENDAS!$F$5:$F$1004,VENDAS!$A$5:$A$1004,H253,VENDAS!$D$5:$D$1004,O$4))</f>
        <v/>
      </c>
      <c r="P253" s="26">
        <f>IF(H253="","",SUMIFS(VENDAS!$F$5:$F$1004,VENDAS!$A$5:$A$1004,H253,VENDAS!$D$5:$D$1004,P$4))</f>
        <v/>
      </c>
      <c r="Q253" s="24">
        <f>IF(H253="","",SUMIFS(VENDAS!$H$5:$H$1004,VENDAS!$A$5:$A$1004,H253))</f>
        <v/>
      </c>
      <c r="R253" s="24">
        <f>IF(H253="","",SUMIFS(VENDAS!$K$5:$K$1004,VENDAS!$A$5:$A$1004,H253))</f>
        <v/>
      </c>
      <c r="S253" s="20" t="n"/>
      <c r="T253" s="31" t="n"/>
    </row>
    <row r="254">
      <c r="H254" s="20" t="n"/>
      <c r="I254" s="30">
        <f>IF(H254="","",IFERROR(INDEX(VENDAS!$B$5:$B$1004,MATCH(H254,VENDAS!$A$5:$A$1004,0)),"não lançado"))</f>
        <v/>
      </c>
      <c r="J254" s="22">
        <f>IF(H254="","",IFERROR(INDEX(VENDAS!$M$5:$M$1004,MATCH(H254,VENDAS!$A$5:$A$1004,0))&amp;"",""))</f>
        <v/>
      </c>
      <c r="K254" s="22">
        <f>IF(H254="","",IFERROR(INDEX(VENDAS!$J$5:$J$1004,MATCH(H254,VENDAS!$A$5:$A$1004,0))&amp;"",""))</f>
        <v/>
      </c>
      <c r="L254" s="26">
        <f>IF(H254="","",SUMIFS(VENDAS!$F$5:$F$1004,VENDAS!$A$5:$A$1004,H254))</f>
        <v/>
      </c>
      <c r="M254" s="26">
        <f>IF(H254="","",SUMIFS(VENDAS!$F$5:$F$1004,VENDAS!$A$5:$A$1004,H254,VENDAS!$D$5:$D$1004,M$4))</f>
        <v/>
      </c>
      <c r="N254" s="26">
        <f>IF(H254="","",SUMIFS(VENDAS!$F$5:$F$1004,VENDAS!$A$5:$A$1004,H254,VENDAS!$D$5:$D$1004,N$4))</f>
        <v/>
      </c>
      <c r="O254" s="26">
        <f>IF(H254="","",SUMIFS(VENDAS!$F$5:$F$1004,VENDAS!$A$5:$A$1004,H254,VENDAS!$D$5:$D$1004,O$4))</f>
        <v/>
      </c>
      <c r="P254" s="26">
        <f>IF(H254="","",SUMIFS(VENDAS!$F$5:$F$1004,VENDAS!$A$5:$A$1004,H254,VENDAS!$D$5:$D$1004,P$4))</f>
        <v/>
      </c>
      <c r="Q254" s="24">
        <f>IF(H254="","",SUMIFS(VENDAS!$H$5:$H$1004,VENDAS!$A$5:$A$1004,H254))</f>
        <v/>
      </c>
      <c r="R254" s="24">
        <f>IF(H254="","",SUMIFS(VENDAS!$K$5:$K$1004,VENDAS!$A$5:$A$1004,H254))</f>
        <v/>
      </c>
      <c r="S254" s="20" t="n"/>
      <c r="T254" s="31" t="n"/>
    </row>
    <row r="255">
      <c r="H255" s="20" t="n"/>
      <c r="I255" s="30">
        <f>IF(H255="","",IFERROR(INDEX(VENDAS!$B$5:$B$1004,MATCH(H255,VENDAS!$A$5:$A$1004,0)),"não lançado"))</f>
        <v/>
      </c>
      <c r="J255" s="22">
        <f>IF(H255="","",IFERROR(INDEX(VENDAS!$M$5:$M$1004,MATCH(H255,VENDAS!$A$5:$A$1004,0))&amp;"",""))</f>
        <v/>
      </c>
      <c r="K255" s="22">
        <f>IF(H255="","",IFERROR(INDEX(VENDAS!$J$5:$J$1004,MATCH(H255,VENDAS!$A$5:$A$1004,0))&amp;"",""))</f>
        <v/>
      </c>
      <c r="L255" s="26">
        <f>IF(H255="","",SUMIFS(VENDAS!$F$5:$F$1004,VENDAS!$A$5:$A$1004,H255))</f>
        <v/>
      </c>
      <c r="M255" s="26">
        <f>IF(H255="","",SUMIFS(VENDAS!$F$5:$F$1004,VENDAS!$A$5:$A$1004,H255,VENDAS!$D$5:$D$1004,M$4))</f>
        <v/>
      </c>
      <c r="N255" s="26">
        <f>IF(H255="","",SUMIFS(VENDAS!$F$5:$F$1004,VENDAS!$A$5:$A$1004,H255,VENDAS!$D$5:$D$1004,N$4))</f>
        <v/>
      </c>
      <c r="O255" s="26">
        <f>IF(H255="","",SUMIFS(VENDAS!$F$5:$F$1004,VENDAS!$A$5:$A$1004,H255,VENDAS!$D$5:$D$1004,O$4))</f>
        <v/>
      </c>
      <c r="P255" s="26">
        <f>IF(H255="","",SUMIFS(VENDAS!$F$5:$F$1004,VENDAS!$A$5:$A$1004,H255,VENDAS!$D$5:$D$1004,P$4))</f>
        <v/>
      </c>
      <c r="Q255" s="24">
        <f>IF(H255="","",SUMIFS(VENDAS!$H$5:$H$1004,VENDAS!$A$5:$A$1004,H255))</f>
        <v/>
      </c>
      <c r="R255" s="24">
        <f>IF(H255="","",SUMIFS(VENDAS!$K$5:$K$1004,VENDAS!$A$5:$A$1004,H255))</f>
        <v/>
      </c>
      <c r="S255" s="20" t="n"/>
      <c r="T255" s="31" t="n"/>
    </row>
    <row r="256">
      <c r="H256" s="20" t="n"/>
      <c r="I256" s="30">
        <f>IF(H256="","",IFERROR(INDEX(VENDAS!$B$5:$B$1004,MATCH(H256,VENDAS!$A$5:$A$1004,0)),"não lançado"))</f>
        <v/>
      </c>
      <c r="J256" s="22">
        <f>IF(H256="","",IFERROR(INDEX(VENDAS!$M$5:$M$1004,MATCH(H256,VENDAS!$A$5:$A$1004,0))&amp;"",""))</f>
        <v/>
      </c>
      <c r="K256" s="22">
        <f>IF(H256="","",IFERROR(INDEX(VENDAS!$J$5:$J$1004,MATCH(H256,VENDAS!$A$5:$A$1004,0))&amp;"",""))</f>
        <v/>
      </c>
      <c r="L256" s="26">
        <f>IF(H256="","",SUMIFS(VENDAS!$F$5:$F$1004,VENDAS!$A$5:$A$1004,H256))</f>
        <v/>
      </c>
      <c r="M256" s="26">
        <f>IF(H256="","",SUMIFS(VENDAS!$F$5:$F$1004,VENDAS!$A$5:$A$1004,H256,VENDAS!$D$5:$D$1004,M$4))</f>
        <v/>
      </c>
      <c r="N256" s="26">
        <f>IF(H256="","",SUMIFS(VENDAS!$F$5:$F$1004,VENDAS!$A$5:$A$1004,H256,VENDAS!$D$5:$D$1004,N$4))</f>
        <v/>
      </c>
      <c r="O256" s="26">
        <f>IF(H256="","",SUMIFS(VENDAS!$F$5:$F$1004,VENDAS!$A$5:$A$1004,H256,VENDAS!$D$5:$D$1004,O$4))</f>
        <v/>
      </c>
      <c r="P256" s="26">
        <f>IF(H256="","",SUMIFS(VENDAS!$F$5:$F$1004,VENDAS!$A$5:$A$1004,H256,VENDAS!$D$5:$D$1004,P$4))</f>
        <v/>
      </c>
      <c r="Q256" s="24">
        <f>IF(H256="","",SUMIFS(VENDAS!$H$5:$H$1004,VENDAS!$A$5:$A$1004,H256))</f>
        <v/>
      </c>
      <c r="R256" s="24">
        <f>IF(H256="","",SUMIFS(VENDAS!$K$5:$K$1004,VENDAS!$A$5:$A$1004,H256))</f>
        <v/>
      </c>
      <c r="S256" s="20" t="n"/>
      <c r="T256" s="31" t="n"/>
    </row>
    <row r="257">
      <c r="H257" s="20" t="n"/>
      <c r="I257" s="30">
        <f>IF(H257="","",IFERROR(INDEX(VENDAS!$B$5:$B$1004,MATCH(H257,VENDAS!$A$5:$A$1004,0)),"não lançado"))</f>
        <v/>
      </c>
      <c r="J257" s="22">
        <f>IF(H257="","",IFERROR(INDEX(VENDAS!$M$5:$M$1004,MATCH(H257,VENDAS!$A$5:$A$1004,0))&amp;"",""))</f>
        <v/>
      </c>
      <c r="K257" s="22">
        <f>IF(H257="","",IFERROR(INDEX(VENDAS!$J$5:$J$1004,MATCH(H257,VENDAS!$A$5:$A$1004,0))&amp;"",""))</f>
        <v/>
      </c>
      <c r="L257" s="26">
        <f>IF(H257="","",SUMIFS(VENDAS!$F$5:$F$1004,VENDAS!$A$5:$A$1004,H257))</f>
        <v/>
      </c>
      <c r="M257" s="26">
        <f>IF(H257="","",SUMIFS(VENDAS!$F$5:$F$1004,VENDAS!$A$5:$A$1004,H257,VENDAS!$D$5:$D$1004,M$4))</f>
        <v/>
      </c>
      <c r="N257" s="26">
        <f>IF(H257="","",SUMIFS(VENDAS!$F$5:$F$1004,VENDAS!$A$5:$A$1004,H257,VENDAS!$D$5:$D$1004,N$4))</f>
        <v/>
      </c>
      <c r="O257" s="26">
        <f>IF(H257="","",SUMIFS(VENDAS!$F$5:$F$1004,VENDAS!$A$5:$A$1004,H257,VENDAS!$D$5:$D$1004,O$4))</f>
        <v/>
      </c>
      <c r="P257" s="26">
        <f>IF(H257="","",SUMIFS(VENDAS!$F$5:$F$1004,VENDAS!$A$5:$A$1004,H257,VENDAS!$D$5:$D$1004,P$4))</f>
        <v/>
      </c>
      <c r="Q257" s="24">
        <f>IF(H257="","",SUMIFS(VENDAS!$H$5:$H$1004,VENDAS!$A$5:$A$1004,H257))</f>
        <v/>
      </c>
      <c r="R257" s="24">
        <f>IF(H257="","",SUMIFS(VENDAS!$K$5:$K$1004,VENDAS!$A$5:$A$1004,H257))</f>
        <v/>
      </c>
      <c r="S257" s="20" t="n"/>
      <c r="T257" s="31" t="n"/>
    </row>
    <row r="258">
      <c r="H258" s="20" t="n"/>
      <c r="I258" s="30">
        <f>IF(H258="","",IFERROR(INDEX(VENDAS!$B$5:$B$1004,MATCH(H258,VENDAS!$A$5:$A$1004,0)),"não lançado"))</f>
        <v/>
      </c>
      <c r="J258" s="22">
        <f>IF(H258="","",IFERROR(INDEX(VENDAS!$M$5:$M$1004,MATCH(H258,VENDAS!$A$5:$A$1004,0))&amp;"",""))</f>
        <v/>
      </c>
      <c r="K258" s="22">
        <f>IF(H258="","",IFERROR(INDEX(VENDAS!$J$5:$J$1004,MATCH(H258,VENDAS!$A$5:$A$1004,0))&amp;"",""))</f>
        <v/>
      </c>
      <c r="L258" s="26">
        <f>IF(H258="","",SUMIFS(VENDAS!$F$5:$F$1004,VENDAS!$A$5:$A$1004,H258))</f>
        <v/>
      </c>
      <c r="M258" s="26">
        <f>IF(H258="","",SUMIFS(VENDAS!$F$5:$F$1004,VENDAS!$A$5:$A$1004,H258,VENDAS!$D$5:$D$1004,M$4))</f>
        <v/>
      </c>
      <c r="N258" s="26">
        <f>IF(H258="","",SUMIFS(VENDAS!$F$5:$F$1004,VENDAS!$A$5:$A$1004,H258,VENDAS!$D$5:$D$1004,N$4))</f>
        <v/>
      </c>
      <c r="O258" s="26">
        <f>IF(H258="","",SUMIFS(VENDAS!$F$5:$F$1004,VENDAS!$A$5:$A$1004,H258,VENDAS!$D$5:$D$1004,O$4))</f>
        <v/>
      </c>
      <c r="P258" s="26">
        <f>IF(H258="","",SUMIFS(VENDAS!$F$5:$F$1004,VENDAS!$A$5:$A$1004,H258,VENDAS!$D$5:$D$1004,P$4))</f>
        <v/>
      </c>
      <c r="Q258" s="24">
        <f>IF(H258="","",SUMIFS(VENDAS!$H$5:$H$1004,VENDAS!$A$5:$A$1004,H258))</f>
        <v/>
      </c>
      <c r="R258" s="24">
        <f>IF(H258="","",SUMIFS(VENDAS!$K$5:$K$1004,VENDAS!$A$5:$A$1004,H258))</f>
        <v/>
      </c>
      <c r="S258" s="20" t="n"/>
      <c r="T258" s="31" t="n"/>
    </row>
    <row r="259">
      <c r="H259" s="20" t="n"/>
      <c r="I259" s="30">
        <f>IF(H259="","",IFERROR(INDEX(VENDAS!$B$5:$B$1004,MATCH(H259,VENDAS!$A$5:$A$1004,0)),"não lançado"))</f>
        <v/>
      </c>
      <c r="J259" s="22">
        <f>IF(H259="","",IFERROR(INDEX(VENDAS!$M$5:$M$1004,MATCH(H259,VENDAS!$A$5:$A$1004,0))&amp;"",""))</f>
        <v/>
      </c>
      <c r="K259" s="22">
        <f>IF(H259="","",IFERROR(INDEX(VENDAS!$J$5:$J$1004,MATCH(H259,VENDAS!$A$5:$A$1004,0))&amp;"",""))</f>
        <v/>
      </c>
      <c r="L259" s="26">
        <f>IF(H259="","",SUMIFS(VENDAS!$F$5:$F$1004,VENDAS!$A$5:$A$1004,H259))</f>
        <v/>
      </c>
      <c r="M259" s="26">
        <f>IF(H259="","",SUMIFS(VENDAS!$F$5:$F$1004,VENDAS!$A$5:$A$1004,H259,VENDAS!$D$5:$D$1004,M$4))</f>
        <v/>
      </c>
      <c r="N259" s="26">
        <f>IF(H259="","",SUMIFS(VENDAS!$F$5:$F$1004,VENDAS!$A$5:$A$1004,H259,VENDAS!$D$5:$D$1004,N$4))</f>
        <v/>
      </c>
      <c r="O259" s="26">
        <f>IF(H259="","",SUMIFS(VENDAS!$F$5:$F$1004,VENDAS!$A$5:$A$1004,H259,VENDAS!$D$5:$D$1004,O$4))</f>
        <v/>
      </c>
      <c r="P259" s="26">
        <f>IF(H259="","",SUMIFS(VENDAS!$F$5:$F$1004,VENDAS!$A$5:$A$1004,H259,VENDAS!$D$5:$D$1004,P$4))</f>
        <v/>
      </c>
      <c r="Q259" s="24">
        <f>IF(H259="","",SUMIFS(VENDAS!$H$5:$H$1004,VENDAS!$A$5:$A$1004,H259))</f>
        <v/>
      </c>
      <c r="R259" s="24">
        <f>IF(H259="","",SUMIFS(VENDAS!$K$5:$K$1004,VENDAS!$A$5:$A$1004,H259))</f>
        <v/>
      </c>
      <c r="S259" s="20" t="n"/>
      <c r="T259" s="31" t="n"/>
    </row>
    <row r="260">
      <c r="H260" s="20" t="n"/>
      <c r="I260" s="30">
        <f>IF(H260="","",IFERROR(INDEX(VENDAS!$B$5:$B$1004,MATCH(H260,VENDAS!$A$5:$A$1004,0)),"não lançado"))</f>
        <v/>
      </c>
      <c r="J260" s="22">
        <f>IF(H260="","",IFERROR(INDEX(VENDAS!$M$5:$M$1004,MATCH(H260,VENDAS!$A$5:$A$1004,0))&amp;"",""))</f>
        <v/>
      </c>
      <c r="K260" s="22">
        <f>IF(H260="","",IFERROR(INDEX(VENDAS!$J$5:$J$1004,MATCH(H260,VENDAS!$A$5:$A$1004,0))&amp;"",""))</f>
        <v/>
      </c>
      <c r="L260" s="26">
        <f>IF(H260="","",SUMIFS(VENDAS!$F$5:$F$1004,VENDAS!$A$5:$A$1004,H260))</f>
        <v/>
      </c>
      <c r="M260" s="26">
        <f>IF(H260="","",SUMIFS(VENDAS!$F$5:$F$1004,VENDAS!$A$5:$A$1004,H260,VENDAS!$D$5:$D$1004,M$4))</f>
        <v/>
      </c>
      <c r="N260" s="26">
        <f>IF(H260="","",SUMIFS(VENDAS!$F$5:$F$1004,VENDAS!$A$5:$A$1004,H260,VENDAS!$D$5:$D$1004,N$4))</f>
        <v/>
      </c>
      <c r="O260" s="26">
        <f>IF(H260="","",SUMIFS(VENDAS!$F$5:$F$1004,VENDAS!$A$5:$A$1004,H260,VENDAS!$D$5:$D$1004,O$4))</f>
        <v/>
      </c>
      <c r="P260" s="26">
        <f>IF(H260="","",SUMIFS(VENDAS!$F$5:$F$1004,VENDAS!$A$5:$A$1004,H260,VENDAS!$D$5:$D$1004,P$4))</f>
        <v/>
      </c>
      <c r="Q260" s="24">
        <f>IF(H260="","",SUMIFS(VENDAS!$H$5:$H$1004,VENDAS!$A$5:$A$1004,H260))</f>
        <v/>
      </c>
      <c r="R260" s="24">
        <f>IF(H260="","",SUMIFS(VENDAS!$K$5:$K$1004,VENDAS!$A$5:$A$1004,H260))</f>
        <v/>
      </c>
      <c r="S260" s="20" t="n"/>
      <c r="T260" s="31" t="n"/>
    </row>
    <row r="261">
      <c r="H261" s="20" t="n"/>
      <c r="I261" s="30">
        <f>IF(H261="","",IFERROR(INDEX(VENDAS!$B$5:$B$1004,MATCH(H261,VENDAS!$A$5:$A$1004,0)),"não lançado"))</f>
        <v/>
      </c>
      <c r="J261" s="22">
        <f>IF(H261="","",IFERROR(INDEX(VENDAS!$M$5:$M$1004,MATCH(H261,VENDAS!$A$5:$A$1004,0))&amp;"",""))</f>
        <v/>
      </c>
      <c r="K261" s="22">
        <f>IF(H261="","",IFERROR(INDEX(VENDAS!$J$5:$J$1004,MATCH(H261,VENDAS!$A$5:$A$1004,0))&amp;"",""))</f>
        <v/>
      </c>
      <c r="L261" s="26">
        <f>IF(H261="","",SUMIFS(VENDAS!$F$5:$F$1004,VENDAS!$A$5:$A$1004,H261))</f>
        <v/>
      </c>
      <c r="M261" s="26">
        <f>IF(H261="","",SUMIFS(VENDAS!$F$5:$F$1004,VENDAS!$A$5:$A$1004,H261,VENDAS!$D$5:$D$1004,M$4))</f>
        <v/>
      </c>
      <c r="N261" s="26">
        <f>IF(H261="","",SUMIFS(VENDAS!$F$5:$F$1004,VENDAS!$A$5:$A$1004,H261,VENDAS!$D$5:$D$1004,N$4))</f>
        <v/>
      </c>
      <c r="O261" s="26">
        <f>IF(H261="","",SUMIFS(VENDAS!$F$5:$F$1004,VENDAS!$A$5:$A$1004,H261,VENDAS!$D$5:$D$1004,O$4))</f>
        <v/>
      </c>
      <c r="P261" s="26">
        <f>IF(H261="","",SUMIFS(VENDAS!$F$5:$F$1004,VENDAS!$A$5:$A$1004,H261,VENDAS!$D$5:$D$1004,P$4))</f>
        <v/>
      </c>
      <c r="Q261" s="24">
        <f>IF(H261="","",SUMIFS(VENDAS!$H$5:$H$1004,VENDAS!$A$5:$A$1004,H261))</f>
        <v/>
      </c>
      <c r="R261" s="24">
        <f>IF(H261="","",SUMIFS(VENDAS!$K$5:$K$1004,VENDAS!$A$5:$A$1004,H261))</f>
        <v/>
      </c>
      <c r="S261" s="20" t="n"/>
      <c r="T261" s="31" t="n"/>
    </row>
    <row r="262">
      <c r="H262" s="20" t="n"/>
      <c r="I262" s="30">
        <f>IF(H262="","",IFERROR(INDEX(VENDAS!$B$5:$B$1004,MATCH(H262,VENDAS!$A$5:$A$1004,0)),"não lançado"))</f>
        <v/>
      </c>
      <c r="J262" s="22">
        <f>IF(H262="","",IFERROR(INDEX(VENDAS!$M$5:$M$1004,MATCH(H262,VENDAS!$A$5:$A$1004,0))&amp;"",""))</f>
        <v/>
      </c>
      <c r="K262" s="22">
        <f>IF(H262="","",IFERROR(INDEX(VENDAS!$J$5:$J$1004,MATCH(H262,VENDAS!$A$5:$A$1004,0))&amp;"",""))</f>
        <v/>
      </c>
      <c r="L262" s="26">
        <f>IF(H262="","",SUMIFS(VENDAS!$F$5:$F$1004,VENDAS!$A$5:$A$1004,H262))</f>
        <v/>
      </c>
      <c r="M262" s="26">
        <f>IF(H262="","",SUMIFS(VENDAS!$F$5:$F$1004,VENDAS!$A$5:$A$1004,H262,VENDAS!$D$5:$D$1004,M$4))</f>
        <v/>
      </c>
      <c r="N262" s="26">
        <f>IF(H262="","",SUMIFS(VENDAS!$F$5:$F$1004,VENDAS!$A$5:$A$1004,H262,VENDAS!$D$5:$D$1004,N$4))</f>
        <v/>
      </c>
      <c r="O262" s="26">
        <f>IF(H262="","",SUMIFS(VENDAS!$F$5:$F$1004,VENDAS!$A$5:$A$1004,H262,VENDAS!$D$5:$D$1004,O$4))</f>
        <v/>
      </c>
      <c r="P262" s="26">
        <f>IF(H262="","",SUMIFS(VENDAS!$F$5:$F$1004,VENDAS!$A$5:$A$1004,H262,VENDAS!$D$5:$D$1004,P$4))</f>
        <v/>
      </c>
      <c r="Q262" s="24">
        <f>IF(H262="","",SUMIFS(VENDAS!$H$5:$H$1004,VENDAS!$A$5:$A$1004,H262))</f>
        <v/>
      </c>
      <c r="R262" s="24">
        <f>IF(H262="","",SUMIFS(VENDAS!$K$5:$K$1004,VENDAS!$A$5:$A$1004,H262))</f>
        <v/>
      </c>
      <c r="S262" s="20" t="n"/>
      <c r="T262" s="31" t="n"/>
    </row>
    <row r="263">
      <c r="H263" s="20" t="n"/>
      <c r="I263" s="30">
        <f>IF(H263="","",IFERROR(INDEX(VENDAS!$B$5:$B$1004,MATCH(H263,VENDAS!$A$5:$A$1004,0)),"não lançado"))</f>
        <v/>
      </c>
      <c r="J263" s="22">
        <f>IF(H263="","",IFERROR(INDEX(VENDAS!$M$5:$M$1004,MATCH(H263,VENDAS!$A$5:$A$1004,0))&amp;"",""))</f>
        <v/>
      </c>
      <c r="K263" s="22">
        <f>IF(H263="","",IFERROR(INDEX(VENDAS!$J$5:$J$1004,MATCH(H263,VENDAS!$A$5:$A$1004,0))&amp;"",""))</f>
        <v/>
      </c>
      <c r="L263" s="26">
        <f>IF(H263="","",SUMIFS(VENDAS!$F$5:$F$1004,VENDAS!$A$5:$A$1004,H263))</f>
        <v/>
      </c>
      <c r="M263" s="26">
        <f>IF(H263="","",SUMIFS(VENDAS!$F$5:$F$1004,VENDAS!$A$5:$A$1004,H263,VENDAS!$D$5:$D$1004,M$4))</f>
        <v/>
      </c>
      <c r="N263" s="26">
        <f>IF(H263="","",SUMIFS(VENDAS!$F$5:$F$1004,VENDAS!$A$5:$A$1004,H263,VENDAS!$D$5:$D$1004,N$4))</f>
        <v/>
      </c>
      <c r="O263" s="26">
        <f>IF(H263="","",SUMIFS(VENDAS!$F$5:$F$1004,VENDAS!$A$5:$A$1004,H263,VENDAS!$D$5:$D$1004,O$4))</f>
        <v/>
      </c>
      <c r="P263" s="26">
        <f>IF(H263="","",SUMIFS(VENDAS!$F$5:$F$1004,VENDAS!$A$5:$A$1004,H263,VENDAS!$D$5:$D$1004,P$4))</f>
        <v/>
      </c>
      <c r="Q263" s="24">
        <f>IF(H263="","",SUMIFS(VENDAS!$H$5:$H$1004,VENDAS!$A$5:$A$1004,H263))</f>
        <v/>
      </c>
      <c r="R263" s="24">
        <f>IF(H263="","",SUMIFS(VENDAS!$K$5:$K$1004,VENDAS!$A$5:$A$1004,H263))</f>
        <v/>
      </c>
      <c r="S263" s="20" t="n"/>
      <c r="T263" s="31" t="n"/>
    </row>
    <row r="264">
      <c r="H264" s="20" t="n"/>
      <c r="I264" s="30">
        <f>IF(H264="","",IFERROR(INDEX(VENDAS!$B$5:$B$1004,MATCH(H264,VENDAS!$A$5:$A$1004,0)),"não lançado"))</f>
        <v/>
      </c>
      <c r="J264" s="22">
        <f>IF(H264="","",IFERROR(INDEX(VENDAS!$M$5:$M$1004,MATCH(H264,VENDAS!$A$5:$A$1004,0))&amp;"",""))</f>
        <v/>
      </c>
      <c r="K264" s="22">
        <f>IF(H264="","",IFERROR(INDEX(VENDAS!$J$5:$J$1004,MATCH(H264,VENDAS!$A$5:$A$1004,0))&amp;"",""))</f>
        <v/>
      </c>
      <c r="L264" s="26">
        <f>IF(H264="","",SUMIFS(VENDAS!$F$5:$F$1004,VENDAS!$A$5:$A$1004,H264))</f>
        <v/>
      </c>
      <c r="M264" s="26">
        <f>IF(H264="","",SUMIFS(VENDAS!$F$5:$F$1004,VENDAS!$A$5:$A$1004,H264,VENDAS!$D$5:$D$1004,M$4))</f>
        <v/>
      </c>
      <c r="N264" s="26">
        <f>IF(H264="","",SUMIFS(VENDAS!$F$5:$F$1004,VENDAS!$A$5:$A$1004,H264,VENDAS!$D$5:$D$1004,N$4))</f>
        <v/>
      </c>
      <c r="O264" s="26">
        <f>IF(H264="","",SUMIFS(VENDAS!$F$5:$F$1004,VENDAS!$A$5:$A$1004,H264,VENDAS!$D$5:$D$1004,O$4))</f>
        <v/>
      </c>
      <c r="P264" s="26">
        <f>IF(H264="","",SUMIFS(VENDAS!$F$5:$F$1004,VENDAS!$A$5:$A$1004,H264,VENDAS!$D$5:$D$1004,P$4))</f>
        <v/>
      </c>
      <c r="Q264" s="24">
        <f>IF(H264="","",SUMIFS(VENDAS!$H$5:$H$1004,VENDAS!$A$5:$A$1004,H264))</f>
        <v/>
      </c>
      <c r="R264" s="24">
        <f>IF(H264="","",SUMIFS(VENDAS!$K$5:$K$1004,VENDAS!$A$5:$A$1004,H264))</f>
        <v/>
      </c>
      <c r="S264" s="20" t="n"/>
      <c r="T264" s="31" t="n"/>
    </row>
    <row r="265">
      <c r="H265" s="20" t="n"/>
      <c r="I265" s="30">
        <f>IF(H265="","",IFERROR(INDEX(VENDAS!$B$5:$B$1004,MATCH(H265,VENDAS!$A$5:$A$1004,0)),"não lançado"))</f>
        <v/>
      </c>
      <c r="J265" s="22">
        <f>IF(H265="","",IFERROR(INDEX(VENDAS!$M$5:$M$1004,MATCH(H265,VENDAS!$A$5:$A$1004,0))&amp;"",""))</f>
        <v/>
      </c>
      <c r="K265" s="22">
        <f>IF(H265="","",IFERROR(INDEX(VENDAS!$J$5:$J$1004,MATCH(H265,VENDAS!$A$5:$A$1004,0))&amp;"",""))</f>
        <v/>
      </c>
      <c r="L265" s="26">
        <f>IF(H265="","",SUMIFS(VENDAS!$F$5:$F$1004,VENDAS!$A$5:$A$1004,H265))</f>
        <v/>
      </c>
      <c r="M265" s="26">
        <f>IF(H265="","",SUMIFS(VENDAS!$F$5:$F$1004,VENDAS!$A$5:$A$1004,H265,VENDAS!$D$5:$D$1004,M$4))</f>
        <v/>
      </c>
      <c r="N265" s="26">
        <f>IF(H265="","",SUMIFS(VENDAS!$F$5:$F$1004,VENDAS!$A$5:$A$1004,H265,VENDAS!$D$5:$D$1004,N$4))</f>
        <v/>
      </c>
      <c r="O265" s="26">
        <f>IF(H265="","",SUMIFS(VENDAS!$F$5:$F$1004,VENDAS!$A$5:$A$1004,H265,VENDAS!$D$5:$D$1004,O$4))</f>
        <v/>
      </c>
      <c r="P265" s="26">
        <f>IF(H265="","",SUMIFS(VENDAS!$F$5:$F$1004,VENDAS!$A$5:$A$1004,H265,VENDAS!$D$5:$D$1004,P$4))</f>
        <v/>
      </c>
      <c r="Q265" s="24">
        <f>IF(H265="","",SUMIFS(VENDAS!$H$5:$H$1004,VENDAS!$A$5:$A$1004,H265))</f>
        <v/>
      </c>
      <c r="R265" s="24">
        <f>IF(H265="","",SUMIFS(VENDAS!$K$5:$K$1004,VENDAS!$A$5:$A$1004,H265))</f>
        <v/>
      </c>
      <c r="S265" s="20" t="n"/>
      <c r="T265" s="31" t="n"/>
    </row>
    <row r="266">
      <c r="H266" s="20" t="n"/>
      <c r="I266" s="30">
        <f>IF(H266="","",IFERROR(INDEX(VENDAS!$B$5:$B$1004,MATCH(H266,VENDAS!$A$5:$A$1004,0)),"não lançado"))</f>
        <v/>
      </c>
      <c r="J266" s="22">
        <f>IF(H266="","",IFERROR(INDEX(VENDAS!$M$5:$M$1004,MATCH(H266,VENDAS!$A$5:$A$1004,0))&amp;"",""))</f>
        <v/>
      </c>
      <c r="K266" s="22">
        <f>IF(H266="","",IFERROR(INDEX(VENDAS!$J$5:$J$1004,MATCH(H266,VENDAS!$A$5:$A$1004,0))&amp;"",""))</f>
        <v/>
      </c>
      <c r="L266" s="26">
        <f>IF(H266="","",SUMIFS(VENDAS!$F$5:$F$1004,VENDAS!$A$5:$A$1004,H266))</f>
        <v/>
      </c>
      <c r="M266" s="26">
        <f>IF(H266="","",SUMIFS(VENDAS!$F$5:$F$1004,VENDAS!$A$5:$A$1004,H266,VENDAS!$D$5:$D$1004,M$4))</f>
        <v/>
      </c>
      <c r="N266" s="26">
        <f>IF(H266="","",SUMIFS(VENDAS!$F$5:$F$1004,VENDAS!$A$5:$A$1004,H266,VENDAS!$D$5:$D$1004,N$4))</f>
        <v/>
      </c>
      <c r="O266" s="26">
        <f>IF(H266="","",SUMIFS(VENDAS!$F$5:$F$1004,VENDAS!$A$5:$A$1004,H266,VENDAS!$D$5:$D$1004,O$4))</f>
        <v/>
      </c>
      <c r="P266" s="26">
        <f>IF(H266="","",SUMIFS(VENDAS!$F$5:$F$1004,VENDAS!$A$5:$A$1004,H266,VENDAS!$D$5:$D$1004,P$4))</f>
        <v/>
      </c>
      <c r="Q266" s="24">
        <f>IF(H266="","",SUMIFS(VENDAS!$H$5:$H$1004,VENDAS!$A$5:$A$1004,H266))</f>
        <v/>
      </c>
      <c r="R266" s="24">
        <f>IF(H266="","",SUMIFS(VENDAS!$K$5:$K$1004,VENDAS!$A$5:$A$1004,H266))</f>
        <v/>
      </c>
      <c r="S266" s="20" t="n"/>
      <c r="T266" s="31" t="n"/>
    </row>
    <row r="267">
      <c r="H267" s="20" t="n"/>
      <c r="I267" s="30">
        <f>IF(H267="","",IFERROR(INDEX(VENDAS!$B$5:$B$1004,MATCH(H267,VENDAS!$A$5:$A$1004,0)),"não lançado"))</f>
        <v/>
      </c>
      <c r="J267" s="22">
        <f>IF(H267="","",IFERROR(INDEX(VENDAS!$M$5:$M$1004,MATCH(H267,VENDAS!$A$5:$A$1004,0))&amp;"",""))</f>
        <v/>
      </c>
      <c r="K267" s="22">
        <f>IF(H267="","",IFERROR(INDEX(VENDAS!$J$5:$J$1004,MATCH(H267,VENDAS!$A$5:$A$1004,0))&amp;"",""))</f>
        <v/>
      </c>
      <c r="L267" s="26">
        <f>IF(H267="","",SUMIFS(VENDAS!$F$5:$F$1004,VENDAS!$A$5:$A$1004,H267))</f>
        <v/>
      </c>
      <c r="M267" s="26">
        <f>IF(H267="","",SUMIFS(VENDAS!$F$5:$F$1004,VENDAS!$A$5:$A$1004,H267,VENDAS!$D$5:$D$1004,M$4))</f>
        <v/>
      </c>
      <c r="N267" s="26">
        <f>IF(H267="","",SUMIFS(VENDAS!$F$5:$F$1004,VENDAS!$A$5:$A$1004,H267,VENDAS!$D$5:$D$1004,N$4))</f>
        <v/>
      </c>
      <c r="O267" s="26">
        <f>IF(H267="","",SUMIFS(VENDAS!$F$5:$F$1004,VENDAS!$A$5:$A$1004,H267,VENDAS!$D$5:$D$1004,O$4))</f>
        <v/>
      </c>
      <c r="P267" s="26">
        <f>IF(H267="","",SUMIFS(VENDAS!$F$5:$F$1004,VENDAS!$A$5:$A$1004,H267,VENDAS!$D$5:$D$1004,P$4))</f>
        <v/>
      </c>
      <c r="Q267" s="24">
        <f>IF(H267="","",SUMIFS(VENDAS!$H$5:$H$1004,VENDAS!$A$5:$A$1004,H267))</f>
        <v/>
      </c>
      <c r="R267" s="24">
        <f>IF(H267="","",SUMIFS(VENDAS!$K$5:$K$1004,VENDAS!$A$5:$A$1004,H267))</f>
        <v/>
      </c>
      <c r="S267" s="20" t="n"/>
      <c r="T267" s="31" t="n"/>
    </row>
    <row r="268">
      <c r="H268" s="20" t="n"/>
      <c r="I268" s="30">
        <f>IF(H268="","",IFERROR(INDEX(VENDAS!$B$5:$B$1004,MATCH(H268,VENDAS!$A$5:$A$1004,0)),"não lançado"))</f>
        <v/>
      </c>
      <c r="J268" s="22">
        <f>IF(H268="","",IFERROR(INDEX(VENDAS!$M$5:$M$1004,MATCH(H268,VENDAS!$A$5:$A$1004,0))&amp;"",""))</f>
        <v/>
      </c>
      <c r="K268" s="22">
        <f>IF(H268="","",IFERROR(INDEX(VENDAS!$J$5:$J$1004,MATCH(H268,VENDAS!$A$5:$A$1004,0))&amp;"",""))</f>
        <v/>
      </c>
      <c r="L268" s="26">
        <f>IF(H268="","",SUMIFS(VENDAS!$F$5:$F$1004,VENDAS!$A$5:$A$1004,H268))</f>
        <v/>
      </c>
      <c r="M268" s="26">
        <f>IF(H268="","",SUMIFS(VENDAS!$F$5:$F$1004,VENDAS!$A$5:$A$1004,H268,VENDAS!$D$5:$D$1004,M$4))</f>
        <v/>
      </c>
      <c r="N268" s="26">
        <f>IF(H268="","",SUMIFS(VENDAS!$F$5:$F$1004,VENDAS!$A$5:$A$1004,H268,VENDAS!$D$5:$D$1004,N$4))</f>
        <v/>
      </c>
      <c r="O268" s="26">
        <f>IF(H268="","",SUMIFS(VENDAS!$F$5:$F$1004,VENDAS!$A$5:$A$1004,H268,VENDAS!$D$5:$D$1004,O$4))</f>
        <v/>
      </c>
      <c r="P268" s="26">
        <f>IF(H268="","",SUMIFS(VENDAS!$F$5:$F$1004,VENDAS!$A$5:$A$1004,H268,VENDAS!$D$5:$D$1004,P$4))</f>
        <v/>
      </c>
      <c r="Q268" s="24">
        <f>IF(H268="","",SUMIFS(VENDAS!$H$5:$H$1004,VENDAS!$A$5:$A$1004,H268))</f>
        <v/>
      </c>
      <c r="R268" s="24">
        <f>IF(H268="","",SUMIFS(VENDAS!$K$5:$K$1004,VENDAS!$A$5:$A$1004,H268))</f>
        <v/>
      </c>
      <c r="S268" s="20" t="n"/>
      <c r="T268" s="31" t="n"/>
    </row>
    <row r="269">
      <c r="H269" s="20" t="n"/>
      <c r="I269" s="30">
        <f>IF(H269="","",IFERROR(INDEX(VENDAS!$B$5:$B$1004,MATCH(H269,VENDAS!$A$5:$A$1004,0)),"não lançado"))</f>
        <v/>
      </c>
      <c r="J269" s="22">
        <f>IF(H269="","",IFERROR(INDEX(VENDAS!$M$5:$M$1004,MATCH(H269,VENDAS!$A$5:$A$1004,0))&amp;"",""))</f>
        <v/>
      </c>
      <c r="K269" s="22">
        <f>IF(H269="","",IFERROR(INDEX(VENDAS!$J$5:$J$1004,MATCH(H269,VENDAS!$A$5:$A$1004,0))&amp;"",""))</f>
        <v/>
      </c>
      <c r="L269" s="26">
        <f>IF(H269="","",SUMIFS(VENDAS!$F$5:$F$1004,VENDAS!$A$5:$A$1004,H269))</f>
        <v/>
      </c>
      <c r="M269" s="26">
        <f>IF(H269="","",SUMIFS(VENDAS!$F$5:$F$1004,VENDAS!$A$5:$A$1004,H269,VENDAS!$D$5:$D$1004,M$4))</f>
        <v/>
      </c>
      <c r="N269" s="26">
        <f>IF(H269="","",SUMIFS(VENDAS!$F$5:$F$1004,VENDAS!$A$5:$A$1004,H269,VENDAS!$D$5:$D$1004,N$4))</f>
        <v/>
      </c>
      <c r="O269" s="26">
        <f>IF(H269="","",SUMIFS(VENDAS!$F$5:$F$1004,VENDAS!$A$5:$A$1004,H269,VENDAS!$D$5:$D$1004,O$4))</f>
        <v/>
      </c>
      <c r="P269" s="26">
        <f>IF(H269="","",SUMIFS(VENDAS!$F$5:$F$1004,VENDAS!$A$5:$A$1004,H269,VENDAS!$D$5:$D$1004,P$4))</f>
        <v/>
      </c>
      <c r="Q269" s="24">
        <f>IF(H269="","",SUMIFS(VENDAS!$H$5:$H$1004,VENDAS!$A$5:$A$1004,H269))</f>
        <v/>
      </c>
      <c r="R269" s="24">
        <f>IF(H269="","",SUMIFS(VENDAS!$K$5:$K$1004,VENDAS!$A$5:$A$1004,H269))</f>
        <v/>
      </c>
      <c r="S269" s="20" t="n"/>
      <c r="T269" s="31" t="n"/>
    </row>
    <row r="270">
      <c r="H270" s="20" t="n"/>
      <c r="I270" s="30">
        <f>IF(H270="","",IFERROR(INDEX(VENDAS!$B$5:$B$1004,MATCH(H270,VENDAS!$A$5:$A$1004,0)),"não lançado"))</f>
        <v/>
      </c>
      <c r="J270" s="22">
        <f>IF(H270="","",IFERROR(INDEX(VENDAS!$M$5:$M$1004,MATCH(H270,VENDAS!$A$5:$A$1004,0))&amp;"",""))</f>
        <v/>
      </c>
      <c r="K270" s="22">
        <f>IF(H270="","",IFERROR(INDEX(VENDAS!$J$5:$J$1004,MATCH(H270,VENDAS!$A$5:$A$1004,0))&amp;"",""))</f>
        <v/>
      </c>
      <c r="L270" s="26">
        <f>IF(H270="","",SUMIFS(VENDAS!$F$5:$F$1004,VENDAS!$A$5:$A$1004,H270))</f>
        <v/>
      </c>
      <c r="M270" s="26">
        <f>IF(H270="","",SUMIFS(VENDAS!$F$5:$F$1004,VENDAS!$A$5:$A$1004,H270,VENDAS!$D$5:$D$1004,M$4))</f>
        <v/>
      </c>
      <c r="N270" s="26">
        <f>IF(H270="","",SUMIFS(VENDAS!$F$5:$F$1004,VENDAS!$A$5:$A$1004,H270,VENDAS!$D$5:$D$1004,N$4))</f>
        <v/>
      </c>
      <c r="O270" s="26">
        <f>IF(H270="","",SUMIFS(VENDAS!$F$5:$F$1004,VENDAS!$A$5:$A$1004,H270,VENDAS!$D$5:$D$1004,O$4))</f>
        <v/>
      </c>
      <c r="P270" s="26">
        <f>IF(H270="","",SUMIFS(VENDAS!$F$5:$F$1004,VENDAS!$A$5:$A$1004,H270,VENDAS!$D$5:$D$1004,P$4))</f>
        <v/>
      </c>
      <c r="Q270" s="24">
        <f>IF(H270="","",SUMIFS(VENDAS!$H$5:$H$1004,VENDAS!$A$5:$A$1004,H270))</f>
        <v/>
      </c>
      <c r="R270" s="24">
        <f>IF(H270="","",SUMIFS(VENDAS!$K$5:$K$1004,VENDAS!$A$5:$A$1004,H270))</f>
        <v/>
      </c>
      <c r="S270" s="20" t="n"/>
      <c r="T270" s="31" t="n"/>
    </row>
    <row r="271">
      <c r="H271" s="20" t="n"/>
      <c r="I271" s="30">
        <f>IF(H271="","",IFERROR(INDEX(VENDAS!$B$5:$B$1004,MATCH(H271,VENDAS!$A$5:$A$1004,0)),"não lançado"))</f>
        <v/>
      </c>
      <c r="J271" s="22">
        <f>IF(H271="","",IFERROR(INDEX(VENDAS!$M$5:$M$1004,MATCH(H271,VENDAS!$A$5:$A$1004,0))&amp;"",""))</f>
        <v/>
      </c>
      <c r="K271" s="22">
        <f>IF(H271="","",IFERROR(INDEX(VENDAS!$J$5:$J$1004,MATCH(H271,VENDAS!$A$5:$A$1004,0))&amp;"",""))</f>
        <v/>
      </c>
      <c r="L271" s="26">
        <f>IF(H271="","",SUMIFS(VENDAS!$F$5:$F$1004,VENDAS!$A$5:$A$1004,H271))</f>
        <v/>
      </c>
      <c r="M271" s="26">
        <f>IF(H271="","",SUMIFS(VENDAS!$F$5:$F$1004,VENDAS!$A$5:$A$1004,H271,VENDAS!$D$5:$D$1004,M$4))</f>
        <v/>
      </c>
      <c r="N271" s="26">
        <f>IF(H271="","",SUMIFS(VENDAS!$F$5:$F$1004,VENDAS!$A$5:$A$1004,H271,VENDAS!$D$5:$D$1004,N$4))</f>
        <v/>
      </c>
      <c r="O271" s="26">
        <f>IF(H271="","",SUMIFS(VENDAS!$F$5:$F$1004,VENDAS!$A$5:$A$1004,H271,VENDAS!$D$5:$D$1004,O$4))</f>
        <v/>
      </c>
      <c r="P271" s="26">
        <f>IF(H271="","",SUMIFS(VENDAS!$F$5:$F$1004,VENDAS!$A$5:$A$1004,H271,VENDAS!$D$5:$D$1004,P$4))</f>
        <v/>
      </c>
      <c r="Q271" s="24">
        <f>IF(H271="","",SUMIFS(VENDAS!$H$5:$H$1004,VENDAS!$A$5:$A$1004,H271))</f>
        <v/>
      </c>
      <c r="R271" s="24">
        <f>IF(H271="","",SUMIFS(VENDAS!$K$5:$K$1004,VENDAS!$A$5:$A$1004,H271))</f>
        <v/>
      </c>
      <c r="S271" s="20" t="n"/>
      <c r="T271" s="31" t="n"/>
    </row>
    <row r="272">
      <c r="H272" s="20" t="n"/>
      <c r="I272" s="30">
        <f>IF(H272="","",IFERROR(INDEX(VENDAS!$B$5:$B$1004,MATCH(H272,VENDAS!$A$5:$A$1004,0)),"não lançado"))</f>
        <v/>
      </c>
      <c r="J272" s="22">
        <f>IF(H272="","",IFERROR(INDEX(VENDAS!$M$5:$M$1004,MATCH(H272,VENDAS!$A$5:$A$1004,0))&amp;"",""))</f>
        <v/>
      </c>
      <c r="K272" s="22">
        <f>IF(H272="","",IFERROR(INDEX(VENDAS!$J$5:$J$1004,MATCH(H272,VENDAS!$A$5:$A$1004,0))&amp;"",""))</f>
        <v/>
      </c>
      <c r="L272" s="26">
        <f>IF(H272="","",SUMIFS(VENDAS!$F$5:$F$1004,VENDAS!$A$5:$A$1004,H272))</f>
        <v/>
      </c>
      <c r="M272" s="26">
        <f>IF(H272="","",SUMIFS(VENDAS!$F$5:$F$1004,VENDAS!$A$5:$A$1004,H272,VENDAS!$D$5:$D$1004,M$4))</f>
        <v/>
      </c>
      <c r="N272" s="26">
        <f>IF(H272="","",SUMIFS(VENDAS!$F$5:$F$1004,VENDAS!$A$5:$A$1004,H272,VENDAS!$D$5:$D$1004,N$4))</f>
        <v/>
      </c>
      <c r="O272" s="26">
        <f>IF(H272="","",SUMIFS(VENDAS!$F$5:$F$1004,VENDAS!$A$5:$A$1004,H272,VENDAS!$D$5:$D$1004,O$4))</f>
        <v/>
      </c>
      <c r="P272" s="26">
        <f>IF(H272="","",SUMIFS(VENDAS!$F$5:$F$1004,VENDAS!$A$5:$A$1004,H272,VENDAS!$D$5:$D$1004,P$4))</f>
        <v/>
      </c>
      <c r="Q272" s="24">
        <f>IF(H272="","",SUMIFS(VENDAS!$H$5:$H$1004,VENDAS!$A$5:$A$1004,H272))</f>
        <v/>
      </c>
      <c r="R272" s="24">
        <f>IF(H272="","",SUMIFS(VENDAS!$K$5:$K$1004,VENDAS!$A$5:$A$1004,H272))</f>
        <v/>
      </c>
      <c r="S272" s="20" t="n"/>
      <c r="T272" s="31" t="n"/>
    </row>
    <row r="273">
      <c r="H273" s="20" t="n"/>
      <c r="I273" s="30">
        <f>IF(H273="","",IFERROR(INDEX(VENDAS!$B$5:$B$1004,MATCH(H273,VENDAS!$A$5:$A$1004,0)),"não lançado"))</f>
        <v/>
      </c>
      <c r="J273" s="22">
        <f>IF(H273="","",IFERROR(INDEX(VENDAS!$M$5:$M$1004,MATCH(H273,VENDAS!$A$5:$A$1004,0))&amp;"",""))</f>
        <v/>
      </c>
      <c r="K273" s="22">
        <f>IF(H273="","",IFERROR(INDEX(VENDAS!$J$5:$J$1004,MATCH(H273,VENDAS!$A$5:$A$1004,0))&amp;"",""))</f>
        <v/>
      </c>
      <c r="L273" s="26">
        <f>IF(H273="","",SUMIFS(VENDAS!$F$5:$F$1004,VENDAS!$A$5:$A$1004,H273))</f>
        <v/>
      </c>
      <c r="M273" s="26">
        <f>IF(H273="","",SUMIFS(VENDAS!$F$5:$F$1004,VENDAS!$A$5:$A$1004,H273,VENDAS!$D$5:$D$1004,M$4))</f>
        <v/>
      </c>
      <c r="N273" s="26">
        <f>IF(H273="","",SUMIFS(VENDAS!$F$5:$F$1004,VENDAS!$A$5:$A$1004,H273,VENDAS!$D$5:$D$1004,N$4))</f>
        <v/>
      </c>
      <c r="O273" s="26">
        <f>IF(H273="","",SUMIFS(VENDAS!$F$5:$F$1004,VENDAS!$A$5:$A$1004,H273,VENDAS!$D$5:$D$1004,O$4))</f>
        <v/>
      </c>
      <c r="P273" s="26">
        <f>IF(H273="","",SUMIFS(VENDAS!$F$5:$F$1004,VENDAS!$A$5:$A$1004,H273,VENDAS!$D$5:$D$1004,P$4))</f>
        <v/>
      </c>
      <c r="Q273" s="24">
        <f>IF(H273="","",SUMIFS(VENDAS!$H$5:$H$1004,VENDAS!$A$5:$A$1004,H273))</f>
        <v/>
      </c>
      <c r="R273" s="24">
        <f>IF(H273="","",SUMIFS(VENDAS!$K$5:$K$1004,VENDAS!$A$5:$A$1004,H273))</f>
        <v/>
      </c>
      <c r="S273" s="20" t="n"/>
      <c r="T273" s="31" t="n"/>
    </row>
    <row r="274">
      <c r="H274" s="20" t="n"/>
      <c r="I274" s="30">
        <f>IF(H274="","",IFERROR(INDEX(VENDAS!$B$5:$B$1004,MATCH(H274,VENDAS!$A$5:$A$1004,0)),"não lançado"))</f>
        <v/>
      </c>
      <c r="J274" s="22">
        <f>IF(H274="","",IFERROR(INDEX(VENDAS!$M$5:$M$1004,MATCH(H274,VENDAS!$A$5:$A$1004,0))&amp;"",""))</f>
        <v/>
      </c>
      <c r="K274" s="22">
        <f>IF(H274="","",IFERROR(INDEX(VENDAS!$J$5:$J$1004,MATCH(H274,VENDAS!$A$5:$A$1004,0))&amp;"",""))</f>
        <v/>
      </c>
      <c r="L274" s="26">
        <f>IF(H274="","",SUMIFS(VENDAS!$F$5:$F$1004,VENDAS!$A$5:$A$1004,H274))</f>
        <v/>
      </c>
      <c r="M274" s="26">
        <f>IF(H274="","",SUMIFS(VENDAS!$F$5:$F$1004,VENDAS!$A$5:$A$1004,H274,VENDAS!$D$5:$D$1004,M$4))</f>
        <v/>
      </c>
      <c r="N274" s="26">
        <f>IF(H274="","",SUMIFS(VENDAS!$F$5:$F$1004,VENDAS!$A$5:$A$1004,H274,VENDAS!$D$5:$D$1004,N$4))</f>
        <v/>
      </c>
      <c r="O274" s="26">
        <f>IF(H274="","",SUMIFS(VENDAS!$F$5:$F$1004,VENDAS!$A$5:$A$1004,H274,VENDAS!$D$5:$D$1004,O$4))</f>
        <v/>
      </c>
      <c r="P274" s="26">
        <f>IF(H274="","",SUMIFS(VENDAS!$F$5:$F$1004,VENDAS!$A$5:$A$1004,H274,VENDAS!$D$5:$D$1004,P$4))</f>
        <v/>
      </c>
      <c r="Q274" s="24">
        <f>IF(H274="","",SUMIFS(VENDAS!$H$5:$H$1004,VENDAS!$A$5:$A$1004,H274))</f>
        <v/>
      </c>
      <c r="R274" s="24">
        <f>IF(H274="","",SUMIFS(VENDAS!$K$5:$K$1004,VENDAS!$A$5:$A$1004,H274))</f>
        <v/>
      </c>
      <c r="S274" s="20" t="n"/>
      <c r="T274" s="31" t="n"/>
    </row>
    <row r="275">
      <c r="H275" s="20" t="n"/>
      <c r="I275" s="30">
        <f>IF(H275="","",IFERROR(INDEX(VENDAS!$B$5:$B$1004,MATCH(H275,VENDAS!$A$5:$A$1004,0)),"não lançado"))</f>
        <v/>
      </c>
      <c r="J275" s="22">
        <f>IF(H275="","",IFERROR(INDEX(VENDAS!$M$5:$M$1004,MATCH(H275,VENDAS!$A$5:$A$1004,0))&amp;"",""))</f>
        <v/>
      </c>
      <c r="K275" s="22">
        <f>IF(H275="","",IFERROR(INDEX(VENDAS!$J$5:$J$1004,MATCH(H275,VENDAS!$A$5:$A$1004,0))&amp;"",""))</f>
        <v/>
      </c>
      <c r="L275" s="26">
        <f>IF(H275="","",SUMIFS(VENDAS!$F$5:$F$1004,VENDAS!$A$5:$A$1004,H275))</f>
        <v/>
      </c>
      <c r="M275" s="26">
        <f>IF(H275="","",SUMIFS(VENDAS!$F$5:$F$1004,VENDAS!$A$5:$A$1004,H275,VENDAS!$D$5:$D$1004,M$4))</f>
        <v/>
      </c>
      <c r="N275" s="26">
        <f>IF(H275="","",SUMIFS(VENDAS!$F$5:$F$1004,VENDAS!$A$5:$A$1004,H275,VENDAS!$D$5:$D$1004,N$4))</f>
        <v/>
      </c>
      <c r="O275" s="26">
        <f>IF(H275="","",SUMIFS(VENDAS!$F$5:$F$1004,VENDAS!$A$5:$A$1004,H275,VENDAS!$D$5:$D$1004,O$4))</f>
        <v/>
      </c>
      <c r="P275" s="26">
        <f>IF(H275="","",SUMIFS(VENDAS!$F$5:$F$1004,VENDAS!$A$5:$A$1004,H275,VENDAS!$D$5:$D$1004,P$4))</f>
        <v/>
      </c>
      <c r="Q275" s="24">
        <f>IF(H275="","",SUMIFS(VENDAS!$H$5:$H$1004,VENDAS!$A$5:$A$1004,H275))</f>
        <v/>
      </c>
      <c r="R275" s="24">
        <f>IF(H275="","",SUMIFS(VENDAS!$K$5:$K$1004,VENDAS!$A$5:$A$1004,H275))</f>
        <v/>
      </c>
      <c r="S275" s="20" t="n"/>
      <c r="T275" s="31" t="n"/>
    </row>
    <row r="276">
      <c r="H276" s="20" t="n"/>
      <c r="I276" s="30">
        <f>IF(H276="","",IFERROR(INDEX(VENDAS!$B$5:$B$1004,MATCH(H276,VENDAS!$A$5:$A$1004,0)),"não lançado"))</f>
        <v/>
      </c>
      <c r="J276" s="22">
        <f>IF(H276="","",IFERROR(INDEX(VENDAS!$M$5:$M$1004,MATCH(H276,VENDAS!$A$5:$A$1004,0))&amp;"",""))</f>
        <v/>
      </c>
      <c r="K276" s="22">
        <f>IF(H276="","",IFERROR(INDEX(VENDAS!$J$5:$J$1004,MATCH(H276,VENDAS!$A$5:$A$1004,0))&amp;"",""))</f>
        <v/>
      </c>
      <c r="L276" s="26">
        <f>IF(H276="","",SUMIFS(VENDAS!$F$5:$F$1004,VENDAS!$A$5:$A$1004,H276))</f>
        <v/>
      </c>
      <c r="M276" s="26">
        <f>IF(H276="","",SUMIFS(VENDAS!$F$5:$F$1004,VENDAS!$A$5:$A$1004,H276,VENDAS!$D$5:$D$1004,M$4))</f>
        <v/>
      </c>
      <c r="N276" s="26">
        <f>IF(H276="","",SUMIFS(VENDAS!$F$5:$F$1004,VENDAS!$A$5:$A$1004,H276,VENDAS!$D$5:$D$1004,N$4))</f>
        <v/>
      </c>
      <c r="O276" s="26">
        <f>IF(H276="","",SUMIFS(VENDAS!$F$5:$F$1004,VENDAS!$A$5:$A$1004,H276,VENDAS!$D$5:$D$1004,O$4))</f>
        <v/>
      </c>
      <c r="P276" s="26">
        <f>IF(H276="","",SUMIFS(VENDAS!$F$5:$F$1004,VENDAS!$A$5:$A$1004,H276,VENDAS!$D$5:$D$1004,P$4))</f>
        <v/>
      </c>
      <c r="Q276" s="24">
        <f>IF(H276="","",SUMIFS(VENDAS!$H$5:$H$1004,VENDAS!$A$5:$A$1004,H276))</f>
        <v/>
      </c>
      <c r="R276" s="24">
        <f>IF(H276="","",SUMIFS(VENDAS!$K$5:$K$1004,VENDAS!$A$5:$A$1004,H276))</f>
        <v/>
      </c>
      <c r="S276" s="20" t="n"/>
      <c r="T276" s="31" t="n"/>
    </row>
    <row r="277">
      <c r="H277" s="20" t="n"/>
      <c r="I277" s="30">
        <f>IF(H277="","",IFERROR(INDEX(VENDAS!$B$5:$B$1004,MATCH(H277,VENDAS!$A$5:$A$1004,0)),"não lançado"))</f>
        <v/>
      </c>
      <c r="J277" s="22">
        <f>IF(H277="","",IFERROR(INDEX(VENDAS!$M$5:$M$1004,MATCH(H277,VENDAS!$A$5:$A$1004,0))&amp;"",""))</f>
        <v/>
      </c>
      <c r="K277" s="22">
        <f>IF(H277="","",IFERROR(INDEX(VENDAS!$J$5:$J$1004,MATCH(H277,VENDAS!$A$5:$A$1004,0))&amp;"",""))</f>
        <v/>
      </c>
      <c r="L277" s="26">
        <f>IF(H277="","",SUMIFS(VENDAS!$F$5:$F$1004,VENDAS!$A$5:$A$1004,H277))</f>
        <v/>
      </c>
      <c r="M277" s="26">
        <f>IF(H277="","",SUMIFS(VENDAS!$F$5:$F$1004,VENDAS!$A$5:$A$1004,H277,VENDAS!$D$5:$D$1004,M$4))</f>
        <v/>
      </c>
      <c r="N277" s="26">
        <f>IF(H277="","",SUMIFS(VENDAS!$F$5:$F$1004,VENDAS!$A$5:$A$1004,H277,VENDAS!$D$5:$D$1004,N$4))</f>
        <v/>
      </c>
      <c r="O277" s="26">
        <f>IF(H277="","",SUMIFS(VENDAS!$F$5:$F$1004,VENDAS!$A$5:$A$1004,H277,VENDAS!$D$5:$D$1004,O$4))</f>
        <v/>
      </c>
      <c r="P277" s="26">
        <f>IF(H277="","",SUMIFS(VENDAS!$F$5:$F$1004,VENDAS!$A$5:$A$1004,H277,VENDAS!$D$5:$D$1004,P$4))</f>
        <v/>
      </c>
      <c r="Q277" s="24">
        <f>IF(H277="","",SUMIFS(VENDAS!$H$5:$H$1004,VENDAS!$A$5:$A$1004,H277))</f>
        <v/>
      </c>
      <c r="R277" s="24">
        <f>IF(H277="","",SUMIFS(VENDAS!$K$5:$K$1004,VENDAS!$A$5:$A$1004,H277))</f>
        <v/>
      </c>
      <c r="S277" s="20" t="n"/>
      <c r="T277" s="31" t="n"/>
    </row>
    <row r="278">
      <c r="H278" s="20" t="n"/>
      <c r="I278" s="30">
        <f>IF(H278="","",IFERROR(INDEX(VENDAS!$B$5:$B$1004,MATCH(H278,VENDAS!$A$5:$A$1004,0)),"não lançado"))</f>
        <v/>
      </c>
      <c r="J278" s="22">
        <f>IF(H278="","",IFERROR(INDEX(VENDAS!$M$5:$M$1004,MATCH(H278,VENDAS!$A$5:$A$1004,0))&amp;"",""))</f>
        <v/>
      </c>
      <c r="K278" s="22">
        <f>IF(H278="","",IFERROR(INDEX(VENDAS!$J$5:$J$1004,MATCH(H278,VENDAS!$A$5:$A$1004,0))&amp;"",""))</f>
        <v/>
      </c>
      <c r="L278" s="26">
        <f>IF(H278="","",SUMIFS(VENDAS!$F$5:$F$1004,VENDAS!$A$5:$A$1004,H278))</f>
        <v/>
      </c>
      <c r="M278" s="26">
        <f>IF(H278="","",SUMIFS(VENDAS!$F$5:$F$1004,VENDAS!$A$5:$A$1004,H278,VENDAS!$D$5:$D$1004,M$4))</f>
        <v/>
      </c>
      <c r="N278" s="26">
        <f>IF(H278="","",SUMIFS(VENDAS!$F$5:$F$1004,VENDAS!$A$5:$A$1004,H278,VENDAS!$D$5:$D$1004,N$4))</f>
        <v/>
      </c>
      <c r="O278" s="26">
        <f>IF(H278="","",SUMIFS(VENDAS!$F$5:$F$1004,VENDAS!$A$5:$A$1004,H278,VENDAS!$D$5:$D$1004,O$4))</f>
        <v/>
      </c>
      <c r="P278" s="26">
        <f>IF(H278="","",SUMIFS(VENDAS!$F$5:$F$1004,VENDAS!$A$5:$A$1004,H278,VENDAS!$D$5:$D$1004,P$4))</f>
        <v/>
      </c>
      <c r="Q278" s="24">
        <f>IF(H278="","",SUMIFS(VENDAS!$H$5:$H$1004,VENDAS!$A$5:$A$1004,H278))</f>
        <v/>
      </c>
      <c r="R278" s="24">
        <f>IF(H278="","",SUMIFS(VENDAS!$K$5:$K$1004,VENDAS!$A$5:$A$1004,H278))</f>
        <v/>
      </c>
      <c r="S278" s="20" t="n"/>
      <c r="T278" s="31" t="n"/>
    </row>
    <row r="279">
      <c r="H279" s="20" t="n"/>
      <c r="I279" s="30">
        <f>IF(H279="","",IFERROR(INDEX(VENDAS!$B$5:$B$1004,MATCH(H279,VENDAS!$A$5:$A$1004,0)),"não lançado"))</f>
        <v/>
      </c>
      <c r="J279" s="22">
        <f>IF(H279="","",IFERROR(INDEX(VENDAS!$M$5:$M$1004,MATCH(H279,VENDAS!$A$5:$A$1004,0))&amp;"",""))</f>
        <v/>
      </c>
      <c r="K279" s="22">
        <f>IF(H279="","",IFERROR(INDEX(VENDAS!$J$5:$J$1004,MATCH(H279,VENDAS!$A$5:$A$1004,0))&amp;"",""))</f>
        <v/>
      </c>
      <c r="L279" s="26">
        <f>IF(H279="","",SUMIFS(VENDAS!$F$5:$F$1004,VENDAS!$A$5:$A$1004,H279))</f>
        <v/>
      </c>
      <c r="M279" s="26">
        <f>IF(H279="","",SUMIFS(VENDAS!$F$5:$F$1004,VENDAS!$A$5:$A$1004,H279,VENDAS!$D$5:$D$1004,M$4))</f>
        <v/>
      </c>
      <c r="N279" s="26">
        <f>IF(H279="","",SUMIFS(VENDAS!$F$5:$F$1004,VENDAS!$A$5:$A$1004,H279,VENDAS!$D$5:$D$1004,N$4))</f>
        <v/>
      </c>
      <c r="O279" s="26">
        <f>IF(H279="","",SUMIFS(VENDAS!$F$5:$F$1004,VENDAS!$A$5:$A$1004,H279,VENDAS!$D$5:$D$1004,O$4))</f>
        <v/>
      </c>
      <c r="P279" s="26">
        <f>IF(H279="","",SUMIFS(VENDAS!$F$5:$F$1004,VENDAS!$A$5:$A$1004,H279,VENDAS!$D$5:$D$1004,P$4))</f>
        <v/>
      </c>
      <c r="Q279" s="24">
        <f>IF(H279="","",SUMIFS(VENDAS!$H$5:$H$1004,VENDAS!$A$5:$A$1004,H279))</f>
        <v/>
      </c>
      <c r="R279" s="24">
        <f>IF(H279="","",SUMIFS(VENDAS!$K$5:$K$1004,VENDAS!$A$5:$A$1004,H279))</f>
        <v/>
      </c>
      <c r="S279" s="20" t="n"/>
      <c r="T279" s="31" t="n"/>
    </row>
    <row r="280">
      <c r="H280" s="20" t="n"/>
      <c r="I280" s="30">
        <f>IF(H280="","",IFERROR(INDEX(VENDAS!$B$5:$B$1004,MATCH(H280,VENDAS!$A$5:$A$1004,0)),"não lançado"))</f>
        <v/>
      </c>
      <c r="J280" s="22">
        <f>IF(H280="","",IFERROR(INDEX(VENDAS!$M$5:$M$1004,MATCH(H280,VENDAS!$A$5:$A$1004,0))&amp;"",""))</f>
        <v/>
      </c>
      <c r="K280" s="22">
        <f>IF(H280="","",IFERROR(INDEX(VENDAS!$J$5:$J$1004,MATCH(H280,VENDAS!$A$5:$A$1004,0))&amp;"",""))</f>
        <v/>
      </c>
      <c r="L280" s="26">
        <f>IF(H280="","",SUMIFS(VENDAS!$F$5:$F$1004,VENDAS!$A$5:$A$1004,H280))</f>
        <v/>
      </c>
      <c r="M280" s="26">
        <f>IF(H280="","",SUMIFS(VENDAS!$F$5:$F$1004,VENDAS!$A$5:$A$1004,H280,VENDAS!$D$5:$D$1004,M$4))</f>
        <v/>
      </c>
      <c r="N280" s="26">
        <f>IF(H280="","",SUMIFS(VENDAS!$F$5:$F$1004,VENDAS!$A$5:$A$1004,H280,VENDAS!$D$5:$D$1004,N$4))</f>
        <v/>
      </c>
      <c r="O280" s="26">
        <f>IF(H280="","",SUMIFS(VENDAS!$F$5:$F$1004,VENDAS!$A$5:$A$1004,H280,VENDAS!$D$5:$D$1004,O$4))</f>
        <v/>
      </c>
      <c r="P280" s="26">
        <f>IF(H280="","",SUMIFS(VENDAS!$F$5:$F$1004,VENDAS!$A$5:$A$1004,H280,VENDAS!$D$5:$D$1004,P$4))</f>
        <v/>
      </c>
      <c r="Q280" s="24">
        <f>IF(H280="","",SUMIFS(VENDAS!$H$5:$H$1004,VENDAS!$A$5:$A$1004,H280))</f>
        <v/>
      </c>
      <c r="R280" s="24">
        <f>IF(H280="","",SUMIFS(VENDAS!$K$5:$K$1004,VENDAS!$A$5:$A$1004,H280))</f>
        <v/>
      </c>
      <c r="S280" s="20" t="n"/>
      <c r="T280" s="31" t="n"/>
    </row>
    <row r="281">
      <c r="H281" s="20" t="n"/>
      <c r="I281" s="30">
        <f>IF(H281="","",IFERROR(INDEX(VENDAS!$B$5:$B$1004,MATCH(H281,VENDAS!$A$5:$A$1004,0)),"não lançado"))</f>
        <v/>
      </c>
      <c r="J281" s="22">
        <f>IF(H281="","",IFERROR(INDEX(VENDAS!$M$5:$M$1004,MATCH(H281,VENDAS!$A$5:$A$1004,0))&amp;"",""))</f>
        <v/>
      </c>
      <c r="K281" s="22">
        <f>IF(H281="","",IFERROR(INDEX(VENDAS!$J$5:$J$1004,MATCH(H281,VENDAS!$A$5:$A$1004,0))&amp;"",""))</f>
        <v/>
      </c>
      <c r="L281" s="26">
        <f>IF(H281="","",SUMIFS(VENDAS!$F$5:$F$1004,VENDAS!$A$5:$A$1004,H281))</f>
        <v/>
      </c>
      <c r="M281" s="26">
        <f>IF(H281="","",SUMIFS(VENDAS!$F$5:$F$1004,VENDAS!$A$5:$A$1004,H281,VENDAS!$D$5:$D$1004,M$4))</f>
        <v/>
      </c>
      <c r="N281" s="26">
        <f>IF(H281="","",SUMIFS(VENDAS!$F$5:$F$1004,VENDAS!$A$5:$A$1004,H281,VENDAS!$D$5:$D$1004,N$4))</f>
        <v/>
      </c>
      <c r="O281" s="26">
        <f>IF(H281="","",SUMIFS(VENDAS!$F$5:$F$1004,VENDAS!$A$5:$A$1004,H281,VENDAS!$D$5:$D$1004,O$4))</f>
        <v/>
      </c>
      <c r="P281" s="26">
        <f>IF(H281="","",SUMIFS(VENDAS!$F$5:$F$1004,VENDAS!$A$5:$A$1004,H281,VENDAS!$D$5:$D$1004,P$4))</f>
        <v/>
      </c>
      <c r="Q281" s="24">
        <f>IF(H281="","",SUMIFS(VENDAS!$H$5:$H$1004,VENDAS!$A$5:$A$1004,H281))</f>
        <v/>
      </c>
      <c r="R281" s="24">
        <f>IF(H281="","",SUMIFS(VENDAS!$K$5:$K$1004,VENDAS!$A$5:$A$1004,H281))</f>
        <v/>
      </c>
      <c r="S281" s="20" t="n"/>
      <c r="T281" s="31" t="n"/>
    </row>
    <row r="282">
      <c r="H282" s="20" t="n"/>
      <c r="I282" s="30">
        <f>IF(H282="","",IFERROR(INDEX(VENDAS!$B$5:$B$1004,MATCH(H282,VENDAS!$A$5:$A$1004,0)),"não lançado"))</f>
        <v/>
      </c>
      <c r="J282" s="22">
        <f>IF(H282="","",IFERROR(INDEX(VENDAS!$M$5:$M$1004,MATCH(H282,VENDAS!$A$5:$A$1004,0))&amp;"",""))</f>
        <v/>
      </c>
      <c r="K282" s="22">
        <f>IF(H282="","",IFERROR(INDEX(VENDAS!$J$5:$J$1004,MATCH(H282,VENDAS!$A$5:$A$1004,0))&amp;"",""))</f>
        <v/>
      </c>
      <c r="L282" s="26">
        <f>IF(H282="","",SUMIFS(VENDAS!$F$5:$F$1004,VENDAS!$A$5:$A$1004,H282))</f>
        <v/>
      </c>
      <c r="M282" s="26">
        <f>IF(H282="","",SUMIFS(VENDAS!$F$5:$F$1004,VENDAS!$A$5:$A$1004,H282,VENDAS!$D$5:$D$1004,M$4))</f>
        <v/>
      </c>
      <c r="N282" s="26">
        <f>IF(H282="","",SUMIFS(VENDAS!$F$5:$F$1004,VENDAS!$A$5:$A$1004,H282,VENDAS!$D$5:$D$1004,N$4))</f>
        <v/>
      </c>
      <c r="O282" s="26">
        <f>IF(H282="","",SUMIFS(VENDAS!$F$5:$F$1004,VENDAS!$A$5:$A$1004,H282,VENDAS!$D$5:$D$1004,O$4))</f>
        <v/>
      </c>
      <c r="P282" s="26">
        <f>IF(H282="","",SUMIFS(VENDAS!$F$5:$F$1004,VENDAS!$A$5:$A$1004,H282,VENDAS!$D$5:$D$1004,P$4))</f>
        <v/>
      </c>
      <c r="Q282" s="24">
        <f>IF(H282="","",SUMIFS(VENDAS!$H$5:$H$1004,VENDAS!$A$5:$A$1004,H282))</f>
        <v/>
      </c>
      <c r="R282" s="24">
        <f>IF(H282="","",SUMIFS(VENDAS!$K$5:$K$1004,VENDAS!$A$5:$A$1004,H282))</f>
        <v/>
      </c>
      <c r="S282" s="20" t="n"/>
      <c r="T282" s="31" t="n"/>
    </row>
    <row r="283">
      <c r="H283" s="20" t="n"/>
      <c r="I283" s="30">
        <f>IF(H283="","",IFERROR(INDEX(VENDAS!$B$5:$B$1004,MATCH(H283,VENDAS!$A$5:$A$1004,0)),"não lançado"))</f>
        <v/>
      </c>
      <c r="J283" s="22">
        <f>IF(H283="","",IFERROR(INDEX(VENDAS!$M$5:$M$1004,MATCH(H283,VENDAS!$A$5:$A$1004,0))&amp;"",""))</f>
        <v/>
      </c>
      <c r="K283" s="22">
        <f>IF(H283="","",IFERROR(INDEX(VENDAS!$J$5:$J$1004,MATCH(H283,VENDAS!$A$5:$A$1004,0))&amp;"",""))</f>
        <v/>
      </c>
      <c r="L283" s="26">
        <f>IF(H283="","",SUMIFS(VENDAS!$F$5:$F$1004,VENDAS!$A$5:$A$1004,H283))</f>
        <v/>
      </c>
      <c r="M283" s="26">
        <f>IF(H283="","",SUMIFS(VENDAS!$F$5:$F$1004,VENDAS!$A$5:$A$1004,H283,VENDAS!$D$5:$D$1004,M$4))</f>
        <v/>
      </c>
      <c r="N283" s="26">
        <f>IF(H283="","",SUMIFS(VENDAS!$F$5:$F$1004,VENDAS!$A$5:$A$1004,H283,VENDAS!$D$5:$D$1004,N$4))</f>
        <v/>
      </c>
      <c r="O283" s="26">
        <f>IF(H283="","",SUMIFS(VENDAS!$F$5:$F$1004,VENDAS!$A$5:$A$1004,H283,VENDAS!$D$5:$D$1004,O$4))</f>
        <v/>
      </c>
      <c r="P283" s="26">
        <f>IF(H283="","",SUMIFS(VENDAS!$F$5:$F$1004,VENDAS!$A$5:$A$1004,H283,VENDAS!$D$5:$D$1004,P$4))</f>
        <v/>
      </c>
      <c r="Q283" s="24">
        <f>IF(H283="","",SUMIFS(VENDAS!$H$5:$H$1004,VENDAS!$A$5:$A$1004,H283))</f>
        <v/>
      </c>
      <c r="R283" s="24">
        <f>IF(H283="","",SUMIFS(VENDAS!$K$5:$K$1004,VENDAS!$A$5:$A$1004,H283))</f>
        <v/>
      </c>
      <c r="S283" s="20" t="n"/>
      <c r="T283" s="31" t="n"/>
    </row>
    <row r="284">
      <c r="H284" s="20" t="n"/>
      <c r="I284" s="30">
        <f>IF(H284="","",IFERROR(INDEX(VENDAS!$B$5:$B$1004,MATCH(H284,VENDAS!$A$5:$A$1004,0)),"não lançado"))</f>
        <v/>
      </c>
      <c r="J284" s="22">
        <f>IF(H284="","",IFERROR(INDEX(VENDAS!$M$5:$M$1004,MATCH(H284,VENDAS!$A$5:$A$1004,0))&amp;"",""))</f>
        <v/>
      </c>
      <c r="K284" s="22">
        <f>IF(H284="","",IFERROR(INDEX(VENDAS!$J$5:$J$1004,MATCH(H284,VENDAS!$A$5:$A$1004,0))&amp;"",""))</f>
        <v/>
      </c>
      <c r="L284" s="26">
        <f>IF(H284="","",SUMIFS(VENDAS!$F$5:$F$1004,VENDAS!$A$5:$A$1004,H284))</f>
        <v/>
      </c>
      <c r="M284" s="26">
        <f>IF(H284="","",SUMIFS(VENDAS!$F$5:$F$1004,VENDAS!$A$5:$A$1004,H284,VENDAS!$D$5:$D$1004,M$4))</f>
        <v/>
      </c>
      <c r="N284" s="26">
        <f>IF(H284="","",SUMIFS(VENDAS!$F$5:$F$1004,VENDAS!$A$5:$A$1004,H284,VENDAS!$D$5:$D$1004,N$4))</f>
        <v/>
      </c>
      <c r="O284" s="26">
        <f>IF(H284="","",SUMIFS(VENDAS!$F$5:$F$1004,VENDAS!$A$5:$A$1004,H284,VENDAS!$D$5:$D$1004,O$4))</f>
        <v/>
      </c>
      <c r="P284" s="26">
        <f>IF(H284="","",SUMIFS(VENDAS!$F$5:$F$1004,VENDAS!$A$5:$A$1004,H284,VENDAS!$D$5:$D$1004,P$4))</f>
        <v/>
      </c>
      <c r="Q284" s="24">
        <f>IF(H284="","",SUMIFS(VENDAS!$H$5:$H$1004,VENDAS!$A$5:$A$1004,H284))</f>
        <v/>
      </c>
      <c r="R284" s="24">
        <f>IF(H284="","",SUMIFS(VENDAS!$K$5:$K$1004,VENDAS!$A$5:$A$1004,H284))</f>
        <v/>
      </c>
      <c r="S284" s="20" t="n"/>
      <c r="T284" s="31" t="n"/>
    </row>
    <row r="285">
      <c r="H285" s="20" t="n"/>
      <c r="I285" s="30">
        <f>IF(H285="","",IFERROR(INDEX(VENDAS!$B$5:$B$1004,MATCH(H285,VENDAS!$A$5:$A$1004,0)),"não lançado"))</f>
        <v/>
      </c>
      <c r="J285" s="22">
        <f>IF(H285="","",IFERROR(INDEX(VENDAS!$M$5:$M$1004,MATCH(H285,VENDAS!$A$5:$A$1004,0))&amp;"",""))</f>
        <v/>
      </c>
      <c r="K285" s="22">
        <f>IF(H285="","",IFERROR(INDEX(VENDAS!$J$5:$J$1004,MATCH(H285,VENDAS!$A$5:$A$1004,0))&amp;"",""))</f>
        <v/>
      </c>
      <c r="L285" s="26">
        <f>IF(H285="","",SUMIFS(VENDAS!$F$5:$F$1004,VENDAS!$A$5:$A$1004,H285))</f>
        <v/>
      </c>
      <c r="M285" s="26">
        <f>IF(H285="","",SUMIFS(VENDAS!$F$5:$F$1004,VENDAS!$A$5:$A$1004,H285,VENDAS!$D$5:$D$1004,M$4))</f>
        <v/>
      </c>
      <c r="N285" s="26">
        <f>IF(H285="","",SUMIFS(VENDAS!$F$5:$F$1004,VENDAS!$A$5:$A$1004,H285,VENDAS!$D$5:$D$1004,N$4))</f>
        <v/>
      </c>
      <c r="O285" s="26">
        <f>IF(H285="","",SUMIFS(VENDAS!$F$5:$F$1004,VENDAS!$A$5:$A$1004,H285,VENDAS!$D$5:$D$1004,O$4))</f>
        <v/>
      </c>
      <c r="P285" s="26">
        <f>IF(H285="","",SUMIFS(VENDAS!$F$5:$F$1004,VENDAS!$A$5:$A$1004,H285,VENDAS!$D$5:$D$1004,P$4))</f>
        <v/>
      </c>
      <c r="Q285" s="24">
        <f>IF(H285="","",SUMIFS(VENDAS!$H$5:$H$1004,VENDAS!$A$5:$A$1004,H285))</f>
        <v/>
      </c>
      <c r="R285" s="24">
        <f>IF(H285="","",SUMIFS(VENDAS!$K$5:$K$1004,VENDAS!$A$5:$A$1004,H285))</f>
        <v/>
      </c>
      <c r="S285" s="20" t="n"/>
      <c r="T285" s="31" t="n"/>
    </row>
    <row r="286">
      <c r="H286" s="20" t="n"/>
      <c r="I286" s="30">
        <f>IF(H286="","",IFERROR(INDEX(VENDAS!$B$5:$B$1004,MATCH(H286,VENDAS!$A$5:$A$1004,0)),"não lançado"))</f>
        <v/>
      </c>
      <c r="J286" s="22">
        <f>IF(H286="","",IFERROR(INDEX(VENDAS!$M$5:$M$1004,MATCH(H286,VENDAS!$A$5:$A$1004,0))&amp;"",""))</f>
        <v/>
      </c>
      <c r="K286" s="22">
        <f>IF(H286="","",IFERROR(INDEX(VENDAS!$J$5:$J$1004,MATCH(H286,VENDAS!$A$5:$A$1004,0))&amp;"",""))</f>
        <v/>
      </c>
      <c r="L286" s="26">
        <f>IF(H286="","",SUMIFS(VENDAS!$F$5:$F$1004,VENDAS!$A$5:$A$1004,H286))</f>
        <v/>
      </c>
      <c r="M286" s="26">
        <f>IF(H286="","",SUMIFS(VENDAS!$F$5:$F$1004,VENDAS!$A$5:$A$1004,H286,VENDAS!$D$5:$D$1004,M$4))</f>
        <v/>
      </c>
      <c r="N286" s="26">
        <f>IF(H286="","",SUMIFS(VENDAS!$F$5:$F$1004,VENDAS!$A$5:$A$1004,H286,VENDAS!$D$5:$D$1004,N$4))</f>
        <v/>
      </c>
      <c r="O286" s="26">
        <f>IF(H286="","",SUMIFS(VENDAS!$F$5:$F$1004,VENDAS!$A$5:$A$1004,H286,VENDAS!$D$5:$D$1004,O$4))</f>
        <v/>
      </c>
      <c r="P286" s="26">
        <f>IF(H286="","",SUMIFS(VENDAS!$F$5:$F$1004,VENDAS!$A$5:$A$1004,H286,VENDAS!$D$5:$D$1004,P$4))</f>
        <v/>
      </c>
      <c r="Q286" s="24">
        <f>IF(H286="","",SUMIFS(VENDAS!$H$5:$H$1004,VENDAS!$A$5:$A$1004,H286))</f>
        <v/>
      </c>
      <c r="R286" s="24">
        <f>IF(H286="","",SUMIFS(VENDAS!$K$5:$K$1004,VENDAS!$A$5:$A$1004,H286))</f>
        <v/>
      </c>
      <c r="S286" s="20" t="n"/>
      <c r="T286" s="31" t="n"/>
    </row>
    <row r="287">
      <c r="H287" s="20" t="n"/>
      <c r="I287" s="30">
        <f>IF(H287="","",IFERROR(INDEX(VENDAS!$B$5:$B$1004,MATCH(H287,VENDAS!$A$5:$A$1004,0)),"não lançado"))</f>
        <v/>
      </c>
      <c r="J287" s="22">
        <f>IF(H287="","",IFERROR(INDEX(VENDAS!$M$5:$M$1004,MATCH(H287,VENDAS!$A$5:$A$1004,0))&amp;"",""))</f>
        <v/>
      </c>
      <c r="K287" s="22">
        <f>IF(H287="","",IFERROR(INDEX(VENDAS!$J$5:$J$1004,MATCH(H287,VENDAS!$A$5:$A$1004,0))&amp;"",""))</f>
        <v/>
      </c>
      <c r="L287" s="26">
        <f>IF(H287="","",SUMIFS(VENDAS!$F$5:$F$1004,VENDAS!$A$5:$A$1004,H287))</f>
        <v/>
      </c>
      <c r="M287" s="26">
        <f>IF(H287="","",SUMIFS(VENDAS!$F$5:$F$1004,VENDAS!$A$5:$A$1004,H287,VENDAS!$D$5:$D$1004,M$4))</f>
        <v/>
      </c>
      <c r="N287" s="26">
        <f>IF(H287="","",SUMIFS(VENDAS!$F$5:$F$1004,VENDAS!$A$5:$A$1004,H287,VENDAS!$D$5:$D$1004,N$4))</f>
        <v/>
      </c>
      <c r="O287" s="26">
        <f>IF(H287="","",SUMIFS(VENDAS!$F$5:$F$1004,VENDAS!$A$5:$A$1004,H287,VENDAS!$D$5:$D$1004,O$4))</f>
        <v/>
      </c>
      <c r="P287" s="26">
        <f>IF(H287="","",SUMIFS(VENDAS!$F$5:$F$1004,VENDAS!$A$5:$A$1004,H287,VENDAS!$D$5:$D$1004,P$4))</f>
        <v/>
      </c>
      <c r="Q287" s="24">
        <f>IF(H287="","",SUMIFS(VENDAS!$H$5:$H$1004,VENDAS!$A$5:$A$1004,H287))</f>
        <v/>
      </c>
      <c r="R287" s="24">
        <f>IF(H287="","",SUMIFS(VENDAS!$K$5:$K$1004,VENDAS!$A$5:$A$1004,H287))</f>
        <v/>
      </c>
      <c r="S287" s="20" t="n"/>
      <c r="T287" s="31" t="n"/>
    </row>
    <row r="288">
      <c r="H288" s="20" t="n"/>
      <c r="I288" s="30">
        <f>IF(H288="","",IFERROR(INDEX(VENDAS!$B$5:$B$1004,MATCH(H288,VENDAS!$A$5:$A$1004,0)),"não lançado"))</f>
        <v/>
      </c>
      <c r="J288" s="22">
        <f>IF(H288="","",IFERROR(INDEX(VENDAS!$M$5:$M$1004,MATCH(H288,VENDAS!$A$5:$A$1004,0))&amp;"",""))</f>
        <v/>
      </c>
      <c r="K288" s="22">
        <f>IF(H288="","",IFERROR(INDEX(VENDAS!$J$5:$J$1004,MATCH(H288,VENDAS!$A$5:$A$1004,0))&amp;"",""))</f>
        <v/>
      </c>
      <c r="L288" s="26">
        <f>IF(H288="","",SUMIFS(VENDAS!$F$5:$F$1004,VENDAS!$A$5:$A$1004,H288))</f>
        <v/>
      </c>
      <c r="M288" s="26">
        <f>IF(H288="","",SUMIFS(VENDAS!$F$5:$F$1004,VENDAS!$A$5:$A$1004,H288,VENDAS!$D$5:$D$1004,M$4))</f>
        <v/>
      </c>
      <c r="N288" s="26">
        <f>IF(H288="","",SUMIFS(VENDAS!$F$5:$F$1004,VENDAS!$A$5:$A$1004,H288,VENDAS!$D$5:$D$1004,N$4))</f>
        <v/>
      </c>
      <c r="O288" s="26">
        <f>IF(H288="","",SUMIFS(VENDAS!$F$5:$F$1004,VENDAS!$A$5:$A$1004,H288,VENDAS!$D$5:$D$1004,O$4))</f>
        <v/>
      </c>
      <c r="P288" s="26">
        <f>IF(H288="","",SUMIFS(VENDAS!$F$5:$F$1004,VENDAS!$A$5:$A$1004,H288,VENDAS!$D$5:$D$1004,P$4))</f>
        <v/>
      </c>
      <c r="Q288" s="24">
        <f>IF(H288="","",SUMIFS(VENDAS!$H$5:$H$1004,VENDAS!$A$5:$A$1004,H288))</f>
        <v/>
      </c>
      <c r="R288" s="24">
        <f>IF(H288="","",SUMIFS(VENDAS!$K$5:$K$1004,VENDAS!$A$5:$A$1004,H288))</f>
        <v/>
      </c>
      <c r="S288" s="20" t="n"/>
      <c r="T288" s="31" t="n"/>
    </row>
    <row r="289">
      <c r="H289" s="20" t="n"/>
      <c r="I289" s="30">
        <f>IF(H289="","",IFERROR(INDEX(VENDAS!$B$5:$B$1004,MATCH(H289,VENDAS!$A$5:$A$1004,0)),"não lançado"))</f>
        <v/>
      </c>
      <c r="J289" s="22">
        <f>IF(H289="","",IFERROR(INDEX(VENDAS!$M$5:$M$1004,MATCH(H289,VENDAS!$A$5:$A$1004,0))&amp;"",""))</f>
        <v/>
      </c>
      <c r="K289" s="22">
        <f>IF(H289="","",IFERROR(INDEX(VENDAS!$J$5:$J$1004,MATCH(H289,VENDAS!$A$5:$A$1004,0))&amp;"",""))</f>
        <v/>
      </c>
      <c r="L289" s="26">
        <f>IF(H289="","",SUMIFS(VENDAS!$F$5:$F$1004,VENDAS!$A$5:$A$1004,H289))</f>
        <v/>
      </c>
      <c r="M289" s="26">
        <f>IF(H289="","",SUMIFS(VENDAS!$F$5:$F$1004,VENDAS!$A$5:$A$1004,H289,VENDAS!$D$5:$D$1004,M$4))</f>
        <v/>
      </c>
      <c r="N289" s="26">
        <f>IF(H289="","",SUMIFS(VENDAS!$F$5:$F$1004,VENDAS!$A$5:$A$1004,H289,VENDAS!$D$5:$D$1004,N$4))</f>
        <v/>
      </c>
      <c r="O289" s="26">
        <f>IF(H289="","",SUMIFS(VENDAS!$F$5:$F$1004,VENDAS!$A$5:$A$1004,H289,VENDAS!$D$5:$D$1004,O$4))</f>
        <v/>
      </c>
      <c r="P289" s="26">
        <f>IF(H289="","",SUMIFS(VENDAS!$F$5:$F$1004,VENDAS!$A$5:$A$1004,H289,VENDAS!$D$5:$D$1004,P$4))</f>
        <v/>
      </c>
      <c r="Q289" s="24">
        <f>IF(H289="","",SUMIFS(VENDAS!$H$5:$H$1004,VENDAS!$A$5:$A$1004,H289))</f>
        <v/>
      </c>
      <c r="R289" s="24">
        <f>IF(H289="","",SUMIFS(VENDAS!$K$5:$K$1004,VENDAS!$A$5:$A$1004,H289))</f>
        <v/>
      </c>
      <c r="S289" s="20" t="n"/>
      <c r="T289" s="31" t="n"/>
    </row>
    <row r="290">
      <c r="H290" s="20" t="n"/>
      <c r="I290" s="30">
        <f>IF(H290="","",IFERROR(INDEX(VENDAS!$B$5:$B$1004,MATCH(H290,VENDAS!$A$5:$A$1004,0)),"não lançado"))</f>
        <v/>
      </c>
      <c r="J290" s="22">
        <f>IF(H290="","",IFERROR(INDEX(VENDAS!$M$5:$M$1004,MATCH(H290,VENDAS!$A$5:$A$1004,0))&amp;"",""))</f>
        <v/>
      </c>
      <c r="K290" s="22">
        <f>IF(H290="","",IFERROR(INDEX(VENDAS!$J$5:$J$1004,MATCH(H290,VENDAS!$A$5:$A$1004,0))&amp;"",""))</f>
        <v/>
      </c>
      <c r="L290" s="26">
        <f>IF(H290="","",SUMIFS(VENDAS!$F$5:$F$1004,VENDAS!$A$5:$A$1004,H290))</f>
        <v/>
      </c>
      <c r="M290" s="26">
        <f>IF(H290="","",SUMIFS(VENDAS!$F$5:$F$1004,VENDAS!$A$5:$A$1004,H290,VENDAS!$D$5:$D$1004,M$4))</f>
        <v/>
      </c>
      <c r="N290" s="26">
        <f>IF(H290="","",SUMIFS(VENDAS!$F$5:$F$1004,VENDAS!$A$5:$A$1004,H290,VENDAS!$D$5:$D$1004,N$4))</f>
        <v/>
      </c>
      <c r="O290" s="26">
        <f>IF(H290="","",SUMIFS(VENDAS!$F$5:$F$1004,VENDAS!$A$5:$A$1004,H290,VENDAS!$D$5:$D$1004,O$4))</f>
        <v/>
      </c>
      <c r="P290" s="26">
        <f>IF(H290="","",SUMIFS(VENDAS!$F$5:$F$1004,VENDAS!$A$5:$A$1004,H290,VENDAS!$D$5:$D$1004,P$4))</f>
        <v/>
      </c>
      <c r="Q290" s="24">
        <f>IF(H290="","",SUMIFS(VENDAS!$H$5:$H$1004,VENDAS!$A$5:$A$1004,H290))</f>
        <v/>
      </c>
      <c r="R290" s="24">
        <f>IF(H290="","",SUMIFS(VENDAS!$K$5:$K$1004,VENDAS!$A$5:$A$1004,H290))</f>
        <v/>
      </c>
      <c r="S290" s="20" t="n"/>
      <c r="T290" s="31" t="n"/>
    </row>
    <row r="291">
      <c r="H291" s="20" t="n"/>
      <c r="I291" s="30">
        <f>IF(H291="","",IFERROR(INDEX(VENDAS!$B$5:$B$1004,MATCH(H291,VENDAS!$A$5:$A$1004,0)),"não lançado"))</f>
        <v/>
      </c>
      <c r="J291" s="22">
        <f>IF(H291="","",IFERROR(INDEX(VENDAS!$M$5:$M$1004,MATCH(H291,VENDAS!$A$5:$A$1004,0))&amp;"",""))</f>
        <v/>
      </c>
      <c r="K291" s="22">
        <f>IF(H291="","",IFERROR(INDEX(VENDAS!$J$5:$J$1004,MATCH(H291,VENDAS!$A$5:$A$1004,0))&amp;"",""))</f>
        <v/>
      </c>
      <c r="L291" s="26">
        <f>IF(H291="","",SUMIFS(VENDAS!$F$5:$F$1004,VENDAS!$A$5:$A$1004,H291))</f>
        <v/>
      </c>
      <c r="M291" s="26">
        <f>IF(H291="","",SUMIFS(VENDAS!$F$5:$F$1004,VENDAS!$A$5:$A$1004,H291,VENDAS!$D$5:$D$1004,M$4))</f>
        <v/>
      </c>
      <c r="N291" s="26">
        <f>IF(H291="","",SUMIFS(VENDAS!$F$5:$F$1004,VENDAS!$A$5:$A$1004,H291,VENDAS!$D$5:$D$1004,N$4))</f>
        <v/>
      </c>
      <c r="O291" s="26">
        <f>IF(H291="","",SUMIFS(VENDAS!$F$5:$F$1004,VENDAS!$A$5:$A$1004,H291,VENDAS!$D$5:$D$1004,O$4))</f>
        <v/>
      </c>
      <c r="P291" s="26">
        <f>IF(H291="","",SUMIFS(VENDAS!$F$5:$F$1004,VENDAS!$A$5:$A$1004,H291,VENDAS!$D$5:$D$1004,P$4))</f>
        <v/>
      </c>
      <c r="Q291" s="24">
        <f>IF(H291="","",SUMIFS(VENDAS!$H$5:$H$1004,VENDAS!$A$5:$A$1004,H291))</f>
        <v/>
      </c>
      <c r="R291" s="24">
        <f>IF(H291="","",SUMIFS(VENDAS!$K$5:$K$1004,VENDAS!$A$5:$A$1004,H291))</f>
        <v/>
      </c>
      <c r="S291" s="20" t="n"/>
      <c r="T291" s="31" t="n"/>
    </row>
    <row r="292">
      <c r="H292" s="20" t="n"/>
      <c r="I292" s="30">
        <f>IF(H292="","",IFERROR(INDEX(VENDAS!$B$5:$B$1004,MATCH(H292,VENDAS!$A$5:$A$1004,0)),"não lançado"))</f>
        <v/>
      </c>
      <c r="J292" s="22">
        <f>IF(H292="","",IFERROR(INDEX(VENDAS!$M$5:$M$1004,MATCH(H292,VENDAS!$A$5:$A$1004,0))&amp;"",""))</f>
        <v/>
      </c>
      <c r="K292" s="22">
        <f>IF(H292="","",IFERROR(INDEX(VENDAS!$J$5:$J$1004,MATCH(H292,VENDAS!$A$5:$A$1004,0))&amp;"",""))</f>
        <v/>
      </c>
      <c r="L292" s="26">
        <f>IF(H292="","",SUMIFS(VENDAS!$F$5:$F$1004,VENDAS!$A$5:$A$1004,H292))</f>
        <v/>
      </c>
      <c r="M292" s="26">
        <f>IF(H292="","",SUMIFS(VENDAS!$F$5:$F$1004,VENDAS!$A$5:$A$1004,H292,VENDAS!$D$5:$D$1004,M$4))</f>
        <v/>
      </c>
      <c r="N292" s="26">
        <f>IF(H292="","",SUMIFS(VENDAS!$F$5:$F$1004,VENDAS!$A$5:$A$1004,H292,VENDAS!$D$5:$D$1004,N$4))</f>
        <v/>
      </c>
      <c r="O292" s="26">
        <f>IF(H292="","",SUMIFS(VENDAS!$F$5:$F$1004,VENDAS!$A$5:$A$1004,H292,VENDAS!$D$5:$D$1004,O$4))</f>
        <v/>
      </c>
      <c r="P292" s="26">
        <f>IF(H292="","",SUMIFS(VENDAS!$F$5:$F$1004,VENDAS!$A$5:$A$1004,H292,VENDAS!$D$5:$D$1004,P$4))</f>
        <v/>
      </c>
      <c r="Q292" s="24">
        <f>IF(H292="","",SUMIFS(VENDAS!$H$5:$H$1004,VENDAS!$A$5:$A$1004,H292))</f>
        <v/>
      </c>
      <c r="R292" s="24">
        <f>IF(H292="","",SUMIFS(VENDAS!$K$5:$K$1004,VENDAS!$A$5:$A$1004,H292))</f>
        <v/>
      </c>
      <c r="S292" s="20" t="n"/>
      <c r="T292" s="31" t="n"/>
    </row>
    <row r="293">
      <c r="H293" s="20" t="n"/>
      <c r="I293" s="30">
        <f>IF(H293="","",IFERROR(INDEX(VENDAS!$B$5:$B$1004,MATCH(H293,VENDAS!$A$5:$A$1004,0)),"não lançado"))</f>
        <v/>
      </c>
      <c r="J293" s="22">
        <f>IF(H293="","",IFERROR(INDEX(VENDAS!$M$5:$M$1004,MATCH(H293,VENDAS!$A$5:$A$1004,0))&amp;"",""))</f>
        <v/>
      </c>
      <c r="K293" s="22">
        <f>IF(H293="","",IFERROR(INDEX(VENDAS!$J$5:$J$1004,MATCH(H293,VENDAS!$A$5:$A$1004,0))&amp;"",""))</f>
        <v/>
      </c>
      <c r="L293" s="26">
        <f>IF(H293="","",SUMIFS(VENDAS!$F$5:$F$1004,VENDAS!$A$5:$A$1004,H293))</f>
        <v/>
      </c>
      <c r="M293" s="26">
        <f>IF(H293="","",SUMIFS(VENDAS!$F$5:$F$1004,VENDAS!$A$5:$A$1004,H293,VENDAS!$D$5:$D$1004,M$4))</f>
        <v/>
      </c>
      <c r="N293" s="26">
        <f>IF(H293="","",SUMIFS(VENDAS!$F$5:$F$1004,VENDAS!$A$5:$A$1004,H293,VENDAS!$D$5:$D$1004,N$4))</f>
        <v/>
      </c>
      <c r="O293" s="26">
        <f>IF(H293="","",SUMIFS(VENDAS!$F$5:$F$1004,VENDAS!$A$5:$A$1004,H293,VENDAS!$D$5:$D$1004,O$4))</f>
        <v/>
      </c>
      <c r="P293" s="26">
        <f>IF(H293="","",SUMIFS(VENDAS!$F$5:$F$1004,VENDAS!$A$5:$A$1004,H293,VENDAS!$D$5:$D$1004,P$4))</f>
        <v/>
      </c>
      <c r="Q293" s="24">
        <f>IF(H293="","",SUMIFS(VENDAS!$H$5:$H$1004,VENDAS!$A$5:$A$1004,H293))</f>
        <v/>
      </c>
      <c r="R293" s="24">
        <f>IF(H293="","",SUMIFS(VENDAS!$K$5:$K$1004,VENDAS!$A$5:$A$1004,H293))</f>
        <v/>
      </c>
      <c r="S293" s="20" t="n"/>
      <c r="T293" s="31" t="n"/>
    </row>
    <row r="294">
      <c r="H294" s="20" t="n"/>
      <c r="I294" s="30">
        <f>IF(H294="","",IFERROR(INDEX(VENDAS!$B$5:$B$1004,MATCH(H294,VENDAS!$A$5:$A$1004,0)),"não lançado"))</f>
        <v/>
      </c>
      <c r="J294" s="22">
        <f>IF(H294="","",IFERROR(INDEX(VENDAS!$M$5:$M$1004,MATCH(H294,VENDAS!$A$5:$A$1004,0))&amp;"",""))</f>
        <v/>
      </c>
      <c r="K294" s="22">
        <f>IF(H294="","",IFERROR(INDEX(VENDAS!$J$5:$J$1004,MATCH(H294,VENDAS!$A$5:$A$1004,0))&amp;"",""))</f>
        <v/>
      </c>
      <c r="L294" s="26">
        <f>IF(H294="","",SUMIFS(VENDAS!$F$5:$F$1004,VENDAS!$A$5:$A$1004,H294))</f>
        <v/>
      </c>
      <c r="M294" s="26">
        <f>IF(H294="","",SUMIFS(VENDAS!$F$5:$F$1004,VENDAS!$A$5:$A$1004,H294,VENDAS!$D$5:$D$1004,M$4))</f>
        <v/>
      </c>
      <c r="N294" s="26">
        <f>IF(H294="","",SUMIFS(VENDAS!$F$5:$F$1004,VENDAS!$A$5:$A$1004,H294,VENDAS!$D$5:$D$1004,N$4))</f>
        <v/>
      </c>
      <c r="O294" s="26">
        <f>IF(H294="","",SUMIFS(VENDAS!$F$5:$F$1004,VENDAS!$A$5:$A$1004,H294,VENDAS!$D$5:$D$1004,O$4))</f>
        <v/>
      </c>
      <c r="P294" s="26">
        <f>IF(H294="","",SUMIFS(VENDAS!$F$5:$F$1004,VENDAS!$A$5:$A$1004,H294,VENDAS!$D$5:$D$1004,P$4))</f>
        <v/>
      </c>
      <c r="Q294" s="24">
        <f>IF(H294="","",SUMIFS(VENDAS!$H$5:$H$1004,VENDAS!$A$5:$A$1004,H294))</f>
        <v/>
      </c>
      <c r="R294" s="24">
        <f>IF(H294="","",SUMIFS(VENDAS!$K$5:$K$1004,VENDAS!$A$5:$A$1004,H294))</f>
        <v/>
      </c>
      <c r="S294" s="20" t="n"/>
      <c r="T294" s="31" t="n"/>
    </row>
    <row r="295">
      <c r="H295" s="20" t="n"/>
      <c r="I295" s="30">
        <f>IF(H295="","",IFERROR(INDEX(VENDAS!$B$5:$B$1004,MATCH(H295,VENDAS!$A$5:$A$1004,0)),"não lançado"))</f>
        <v/>
      </c>
      <c r="J295" s="22">
        <f>IF(H295="","",IFERROR(INDEX(VENDAS!$M$5:$M$1004,MATCH(H295,VENDAS!$A$5:$A$1004,0))&amp;"",""))</f>
        <v/>
      </c>
      <c r="K295" s="22">
        <f>IF(H295="","",IFERROR(INDEX(VENDAS!$J$5:$J$1004,MATCH(H295,VENDAS!$A$5:$A$1004,0))&amp;"",""))</f>
        <v/>
      </c>
      <c r="L295" s="26">
        <f>IF(H295="","",SUMIFS(VENDAS!$F$5:$F$1004,VENDAS!$A$5:$A$1004,H295))</f>
        <v/>
      </c>
      <c r="M295" s="26">
        <f>IF(H295="","",SUMIFS(VENDAS!$F$5:$F$1004,VENDAS!$A$5:$A$1004,H295,VENDAS!$D$5:$D$1004,M$4))</f>
        <v/>
      </c>
      <c r="N295" s="26">
        <f>IF(H295="","",SUMIFS(VENDAS!$F$5:$F$1004,VENDAS!$A$5:$A$1004,H295,VENDAS!$D$5:$D$1004,N$4))</f>
        <v/>
      </c>
      <c r="O295" s="26">
        <f>IF(H295="","",SUMIFS(VENDAS!$F$5:$F$1004,VENDAS!$A$5:$A$1004,H295,VENDAS!$D$5:$D$1004,O$4))</f>
        <v/>
      </c>
      <c r="P295" s="26">
        <f>IF(H295="","",SUMIFS(VENDAS!$F$5:$F$1004,VENDAS!$A$5:$A$1004,H295,VENDAS!$D$5:$D$1004,P$4))</f>
        <v/>
      </c>
      <c r="Q295" s="24">
        <f>IF(H295="","",SUMIFS(VENDAS!$H$5:$H$1004,VENDAS!$A$5:$A$1004,H295))</f>
        <v/>
      </c>
      <c r="R295" s="24">
        <f>IF(H295="","",SUMIFS(VENDAS!$K$5:$K$1004,VENDAS!$A$5:$A$1004,H295))</f>
        <v/>
      </c>
      <c r="S295" s="20" t="n"/>
      <c r="T295" s="31" t="n"/>
    </row>
    <row r="296">
      <c r="H296" s="20" t="n"/>
      <c r="I296" s="30">
        <f>IF(H296="","",IFERROR(INDEX(VENDAS!$B$5:$B$1004,MATCH(H296,VENDAS!$A$5:$A$1004,0)),"não lançado"))</f>
        <v/>
      </c>
      <c r="J296" s="22">
        <f>IF(H296="","",IFERROR(INDEX(VENDAS!$M$5:$M$1004,MATCH(H296,VENDAS!$A$5:$A$1004,0))&amp;"",""))</f>
        <v/>
      </c>
      <c r="K296" s="22">
        <f>IF(H296="","",IFERROR(INDEX(VENDAS!$J$5:$J$1004,MATCH(H296,VENDAS!$A$5:$A$1004,0))&amp;"",""))</f>
        <v/>
      </c>
      <c r="L296" s="26">
        <f>IF(H296="","",SUMIFS(VENDAS!$F$5:$F$1004,VENDAS!$A$5:$A$1004,H296))</f>
        <v/>
      </c>
      <c r="M296" s="26">
        <f>IF(H296="","",SUMIFS(VENDAS!$F$5:$F$1004,VENDAS!$A$5:$A$1004,H296,VENDAS!$D$5:$D$1004,M$4))</f>
        <v/>
      </c>
      <c r="N296" s="26">
        <f>IF(H296="","",SUMIFS(VENDAS!$F$5:$F$1004,VENDAS!$A$5:$A$1004,H296,VENDAS!$D$5:$D$1004,N$4))</f>
        <v/>
      </c>
      <c r="O296" s="26">
        <f>IF(H296="","",SUMIFS(VENDAS!$F$5:$F$1004,VENDAS!$A$5:$A$1004,H296,VENDAS!$D$5:$D$1004,O$4))</f>
        <v/>
      </c>
      <c r="P296" s="26">
        <f>IF(H296="","",SUMIFS(VENDAS!$F$5:$F$1004,VENDAS!$A$5:$A$1004,H296,VENDAS!$D$5:$D$1004,P$4))</f>
        <v/>
      </c>
      <c r="Q296" s="24">
        <f>IF(H296="","",SUMIFS(VENDAS!$H$5:$H$1004,VENDAS!$A$5:$A$1004,H296))</f>
        <v/>
      </c>
      <c r="R296" s="24">
        <f>IF(H296="","",SUMIFS(VENDAS!$K$5:$K$1004,VENDAS!$A$5:$A$1004,H296))</f>
        <v/>
      </c>
      <c r="S296" s="20" t="n"/>
      <c r="T296" s="31" t="n"/>
    </row>
    <row r="297">
      <c r="H297" s="20" t="n"/>
      <c r="I297" s="30">
        <f>IF(H297="","",IFERROR(INDEX(VENDAS!$B$5:$B$1004,MATCH(H297,VENDAS!$A$5:$A$1004,0)),"não lançado"))</f>
        <v/>
      </c>
      <c r="J297" s="22">
        <f>IF(H297="","",IFERROR(INDEX(VENDAS!$M$5:$M$1004,MATCH(H297,VENDAS!$A$5:$A$1004,0))&amp;"",""))</f>
        <v/>
      </c>
      <c r="K297" s="22">
        <f>IF(H297="","",IFERROR(INDEX(VENDAS!$J$5:$J$1004,MATCH(H297,VENDAS!$A$5:$A$1004,0))&amp;"",""))</f>
        <v/>
      </c>
      <c r="L297" s="26">
        <f>IF(H297="","",SUMIFS(VENDAS!$F$5:$F$1004,VENDAS!$A$5:$A$1004,H297))</f>
        <v/>
      </c>
      <c r="M297" s="26">
        <f>IF(H297="","",SUMIFS(VENDAS!$F$5:$F$1004,VENDAS!$A$5:$A$1004,H297,VENDAS!$D$5:$D$1004,M$4))</f>
        <v/>
      </c>
      <c r="N297" s="26">
        <f>IF(H297="","",SUMIFS(VENDAS!$F$5:$F$1004,VENDAS!$A$5:$A$1004,H297,VENDAS!$D$5:$D$1004,N$4))</f>
        <v/>
      </c>
      <c r="O297" s="26">
        <f>IF(H297="","",SUMIFS(VENDAS!$F$5:$F$1004,VENDAS!$A$5:$A$1004,H297,VENDAS!$D$5:$D$1004,O$4))</f>
        <v/>
      </c>
      <c r="P297" s="26">
        <f>IF(H297="","",SUMIFS(VENDAS!$F$5:$F$1004,VENDAS!$A$5:$A$1004,H297,VENDAS!$D$5:$D$1004,P$4))</f>
        <v/>
      </c>
      <c r="Q297" s="24">
        <f>IF(H297="","",SUMIFS(VENDAS!$H$5:$H$1004,VENDAS!$A$5:$A$1004,H297))</f>
        <v/>
      </c>
      <c r="R297" s="24">
        <f>IF(H297="","",SUMIFS(VENDAS!$K$5:$K$1004,VENDAS!$A$5:$A$1004,H297))</f>
        <v/>
      </c>
      <c r="S297" s="20" t="n"/>
      <c r="T297" s="31" t="n"/>
    </row>
    <row r="298">
      <c r="H298" s="20" t="n"/>
      <c r="I298" s="30">
        <f>IF(H298="","",IFERROR(INDEX(VENDAS!$B$5:$B$1004,MATCH(H298,VENDAS!$A$5:$A$1004,0)),"não lançado"))</f>
        <v/>
      </c>
      <c r="J298" s="22">
        <f>IF(H298="","",IFERROR(INDEX(VENDAS!$M$5:$M$1004,MATCH(H298,VENDAS!$A$5:$A$1004,0))&amp;"",""))</f>
        <v/>
      </c>
      <c r="K298" s="22">
        <f>IF(H298="","",IFERROR(INDEX(VENDAS!$J$5:$J$1004,MATCH(H298,VENDAS!$A$5:$A$1004,0))&amp;"",""))</f>
        <v/>
      </c>
      <c r="L298" s="26">
        <f>IF(H298="","",SUMIFS(VENDAS!$F$5:$F$1004,VENDAS!$A$5:$A$1004,H298))</f>
        <v/>
      </c>
      <c r="M298" s="26">
        <f>IF(H298="","",SUMIFS(VENDAS!$F$5:$F$1004,VENDAS!$A$5:$A$1004,H298,VENDAS!$D$5:$D$1004,M$4))</f>
        <v/>
      </c>
      <c r="N298" s="26">
        <f>IF(H298="","",SUMIFS(VENDAS!$F$5:$F$1004,VENDAS!$A$5:$A$1004,H298,VENDAS!$D$5:$D$1004,N$4))</f>
        <v/>
      </c>
      <c r="O298" s="26">
        <f>IF(H298="","",SUMIFS(VENDAS!$F$5:$F$1004,VENDAS!$A$5:$A$1004,H298,VENDAS!$D$5:$D$1004,O$4))</f>
        <v/>
      </c>
      <c r="P298" s="26">
        <f>IF(H298="","",SUMIFS(VENDAS!$F$5:$F$1004,VENDAS!$A$5:$A$1004,H298,VENDAS!$D$5:$D$1004,P$4))</f>
        <v/>
      </c>
      <c r="Q298" s="24">
        <f>IF(H298="","",SUMIFS(VENDAS!$H$5:$H$1004,VENDAS!$A$5:$A$1004,H298))</f>
        <v/>
      </c>
      <c r="R298" s="24">
        <f>IF(H298="","",SUMIFS(VENDAS!$K$5:$K$1004,VENDAS!$A$5:$A$1004,H298))</f>
        <v/>
      </c>
      <c r="S298" s="20" t="n"/>
      <c r="T298" s="31" t="n"/>
    </row>
    <row r="299">
      <c r="H299" s="20" t="n"/>
      <c r="I299" s="30">
        <f>IF(H299="","",IFERROR(INDEX(VENDAS!$B$5:$B$1004,MATCH(H299,VENDAS!$A$5:$A$1004,0)),"não lançado"))</f>
        <v/>
      </c>
      <c r="J299" s="22">
        <f>IF(H299="","",IFERROR(INDEX(VENDAS!$M$5:$M$1004,MATCH(H299,VENDAS!$A$5:$A$1004,0))&amp;"",""))</f>
        <v/>
      </c>
      <c r="K299" s="22">
        <f>IF(H299="","",IFERROR(INDEX(VENDAS!$J$5:$J$1004,MATCH(H299,VENDAS!$A$5:$A$1004,0))&amp;"",""))</f>
        <v/>
      </c>
      <c r="L299" s="26">
        <f>IF(H299="","",SUMIFS(VENDAS!$F$5:$F$1004,VENDAS!$A$5:$A$1004,H299))</f>
        <v/>
      </c>
      <c r="M299" s="26">
        <f>IF(H299="","",SUMIFS(VENDAS!$F$5:$F$1004,VENDAS!$A$5:$A$1004,H299,VENDAS!$D$5:$D$1004,M$4))</f>
        <v/>
      </c>
      <c r="N299" s="26">
        <f>IF(H299="","",SUMIFS(VENDAS!$F$5:$F$1004,VENDAS!$A$5:$A$1004,H299,VENDAS!$D$5:$D$1004,N$4))</f>
        <v/>
      </c>
      <c r="O299" s="26">
        <f>IF(H299="","",SUMIFS(VENDAS!$F$5:$F$1004,VENDAS!$A$5:$A$1004,H299,VENDAS!$D$5:$D$1004,O$4))</f>
        <v/>
      </c>
      <c r="P299" s="26">
        <f>IF(H299="","",SUMIFS(VENDAS!$F$5:$F$1004,VENDAS!$A$5:$A$1004,H299,VENDAS!$D$5:$D$1004,P$4))</f>
        <v/>
      </c>
      <c r="Q299" s="24">
        <f>IF(H299="","",SUMIFS(VENDAS!$H$5:$H$1004,VENDAS!$A$5:$A$1004,H299))</f>
        <v/>
      </c>
      <c r="R299" s="24">
        <f>IF(H299="","",SUMIFS(VENDAS!$K$5:$K$1004,VENDAS!$A$5:$A$1004,H299))</f>
        <v/>
      </c>
      <c r="S299" s="20" t="n"/>
      <c r="T299" s="31" t="n"/>
    </row>
    <row r="300">
      <c r="H300" s="20" t="n"/>
      <c r="I300" s="30">
        <f>IF(H300="","",IFERROR(INDEX(VENDAS!$B$5:$B$1004,MATCH(H300,VENDAS!$A$5:$A$1004,0)),"não lançado"))</f>
        <v/>
      </c>
      <c r="J300" s="22">
        <f>IF(H300="","",IFERROR(INDEX(VENDAS!$M$5:$M$1004,MATCH(H300,VENDAS!$A$5:$A$1004,0))&amp;"",""))</f>
        <v/>
      </c>
      <c r="K300" s="22">
        <f>IF(H300="","",IFERROR(INDEX(VENDAS!$J$5:$J$1004,MATCH(H300,VENDAS!$A$5:$A$1004,0))&amp;"",""))</f>
        <v/>
      </c>
      <c r="L300" s="26">
        <f>IF(H300="","",SUMIFS(VENDAS!$F$5:$F$1004,VENDAS!$A$5:$A$1004,H300))</f>
        <v/>
      </c>
      <c r="M300" s="26">
        <f>IF(H300="","",SUMIFS(VENDAS!$F$5:$F$1004,VENDAS!$A$5:$A$1004,H300,VENDAS!$D$5:$D$1004,M$4))</f>
        <v/>
      </c>
      <c r="N300" s="26">
        <f>IF(H300="","",SUMIFS(VENDAS!$F$5:$F$1004,VENDAS!$A$5:$A$1004,H300,VENDAS!$D$5:$D$1004,N$4))</f>
        <v/>
      </c>
      <c r="O300" s="26">
        <f>IF(H300="","",SUMIFS(VENDAS!$F$5:$F$1004,VENDAS!$A$5:$A$1004,H300,VENDAS!$D$5:$D$1004,O$4))</f>
        <v/>
      </c>
      <c r="P300" s="26">
        <f>IF(H300="","",SUMIFS(VENDAS!$F$5:$F$1004,VENDAS!$A$5:$A$1004,H300,VENDAS!$D$5:$D$1004,P$4))</f>
        <v/>
      </c>
      <c r="Q300" s="24">
        <f>IF(H300="","",SUMIFS(VENDAS!$H$5:$H$1004,VENDAS!$A$5:$A$1004,H300))</f>
        <v/>
      </c>
      <c r="R300" s="24">
        <f>IF(H300="","",SUMIFS(VENDAS!$K$5:$K$1004,VENDAS!$A$5:$A$1004,H300))</f>
        <v/>
      </c>
      <c r="S300" s="20" t="n"/>
      <c r="T300" s="31" t="n"/>
    </row>
    <row r="301">
      <c r="H301" s="20" t="n"/>
      <c r="I301" s="30">
        <f>IF(H301="","",IFERROR(INDEX(VENDAS!$B$5:$B$1004,MATCH(H301,VENDAS!$A$5:$A$1004,0)),"não lançado"))</f>
        <v/>
      </c>
      <c r="J301" s="22">
        <f>IF(H301="","",IFERROR(INDEX(VENDAS!$M$5:$M$1004,MATCH(H301,VENDAS!$A$5:$A$1004,0))&amp;"",""))</f>
        <v/>
      </c>
      <c r="K301" s="22">
        <f>IF(H301="","",IFERROR(INDEX(VENDAS!$J$5:$J$1004,MATCH(H301,VENDAS!$A$5:$A$1004,0))&amp;"",""))</f>
        <v/>
      </c>
      <c r="L301" s="26">
        <f>IF(H301="","",SUMIFS(VENDAS!$F$5:$F$1004,VENDAS!$A$5:$A$1004,H301))</f>
        <v/>
      </c>
      <c r="M301" s="26">
        <f>IF(H301="","",SUMIFS(VENDAS!$F$5:$F$1004,VENDAS!$A$5:$A$1004,H301,VENDAS!$D$5:$D$1004,M$4))</f>
        <v/>
      </c>
      <c r="N301" s="26">
        <f>IF(H301="","",SUMIFS(VENDAS!$F$5:$F$1004,VENDAS!$A$5:$A$1004,H301,VENDAS!$D$5:$D$1004,N$4))</f>
        <v/>
      </c>
      <c r="O301" s="26">
        <f>IF(H301="","",SUMIFS(VENDAS!$F$5:$F$1004,VENDAS!$A$5:$A$1004,H301,VENDAS!$D$5:$D$1004,O$4))</f>
        <v/>
      </c>
      <c r="P301" s="26">
        <f>IF(H301="","",SUMIFS(VENDAS!$F$5:$F$1004,VENDAS!$A$5:$A$1004,H301,VENDAS!$D$5:$D$1004,P$4))</f>
        <v/>
      </c>
      <c r="Q301" s="24">
        <f>IF(H301="","",SUMIFS(VENDAS!$H$5:$H$1004,VENDAS!$A$5:$A$1004,H301))</f>
        <v/>
      </c>
      <c r="R301" s="24">
        <f>IF(H301="","",SUMIFS(VENDAS!$K$5:$K$1004,VENDAS!$A$5:$A$1004,H301))</f>
        <v/>
      </c>
      <c r="S301" s="20" t="n"/>
      <c r="T301" s="31" t="n"/>
    </row>
    <row r="302">
      <c r="H302" s="20" t="n"/>
      <c r="I302" s="30">
        <f>IF(H302="","",IFERROR(INDEX(VENDAS!$B$5:$B$1004,MATCH(H302,VENDAS!$A$5:$A$1004,0)),"não lançado"))</f>
        <v/>
      </c>
      <c r="J302" s="22">
        <f>IF(H302="","",IFERROR(INDEX(VENDAS!$M$5:$M$1004,MATCH(H302,VENDAS!$A$5:$A$1004,0))&amp;"",""))</f>
        <v/>
      </c>
      <c r="K302" s="22">
        <f>IF(H302="","",IFERROR(INDEX(VENDAS!$J$5:$J$1004,MATCH(H302,VENDAS!$A$5:$A$1004,0))&amp;"",""))</f>
        <v/>
      </c>
      <c r="L302" s="26">
        <f>IF(H302="","",SUMIFS(VENDAS!$F$5:$F$1004,VENDAS!$A$5:$A$1004,H302))</f>
        <v/>
      </c>
      <c r="M302" s="26">
        <f>IF(H302="","",SUMIFS(VENDAS!$F$5:$F$1004,VENDAS!$A$5:$A$1004,H302,VENDAS!$D$5:$D$1004,M$4))</f>
        <v/>
      </c>
      <c r="N302" s="26">
        <f>IF(H302="","",SUMIFS(VENDAS!$F$5:$F$1004,VENDAS!$A$5:$A$1004,H302,VENDAS!$D$5:$D$1004,N$4))</f>
        <v/>
      </c>
      <c r="O302" s="26">
        <f>IF(H302="","",SUMIFS(VENDAS!$F$5:$F$1004,VENDAS!$A$5:$A$1004,H302,VENDAS!$D$5:$D$1004,O$4))</f>
        <v/>
      </c>
      <c r="P302" s="26">
        <f>IF(H302="","",SUMIFS(VENDAS!$F$5:$F$1004,VENDAS!$A$5:$A$1004,H302,VENDAS!$D$5:$D$1004,P$4))</f>
        <v/>
      </c>
      <c r="Q302" s="24">
        <f>IF(H302="","",SUMIFS(VENDAS!$H$5:$H$1004,VENDAS!$A$5:$A$1004,H302))</f>
        <v/>
      </c>
      <c r="R302" s="24">
        <f>IF(H302="","",SUMIFS(VENDAS!$K$5:$K$1004,VENDAS!$A$5:$A$1004,H302))</f>
        <v/>
      </c>
      <c r="S302" s="20" t="n"/>
      <c r="T302" s="31" t="n"/>
    </row>
    <row r="303">
      <c r="H303" s="20" t="n"/>
      <c r="I303" s="30">
        <f>IF(H303="","",IFERROR(INDEX(VENDAS!$B$5:$B$1004,MATCH(H303,VENDAS!$A$5:$A$1004,0)),"não lançado"))</f>
        <v/>
      </c>
      <c r="J303" s="22">
        <f>IF(H303="","",IFERROR(INDEX(VENDAS!$M$5:$M$1004,MATCH(H303,VENDAS!$A$5:$A$1004,0))&amp;"",""))</f>
        <v/>
      </c>
      <c r="K303" s="22">
        <f>IF(H303="","",IFERROR(INDEX(VENDAS!$J$5:$J$1004,MATCH(H303,VENDAS!$A$5:$A$1004,0))&amp;"",""))</f>
        <v/>
      </c>
      <c r="L303" s="26">
        <f>IF(H303="","",SUMIFS(VENDAS!$F$5:$F$1004,VENDAS!$A$5:$A$1004,H303))</f>
        <v/>
      </c>
      <c r="M303" s="26">
        <f>IF(H303="","",SUMIFS(VENDAS!$F$5:$F$1004,VENDAS!$A$5:$A$1004,H303,VENDAS!$D$5:$D$1004,M$4))</f>
        <v/>
      </c>
      <c r="N303" s="26">
        <f>IF(H303="","",SUMIFS(VENDAS!$F$5:$F$1004,VENDAS!$A$5:$A$1004,H303,VENDAS!$D$5:$D$1004,N$4))</f>
        <v/>
      </c>
      <c r="O303" s="26">
        <f>IF(H303="","",SUMIFS(VENDAS!$F$5:$F$1004,VENDAS!$A$5:$A$1004,H303,VENDAS!$D$5:$D$1004,O$4))</f>
        <v/>
      </c>
      <c r="P303" s="26">
        <f>IF(H303="","",SUMIFS(VENDAS!$F$5:$F$1004,VENDAS!$A$5:$A$1004,H303,VENDAS!$D$5:$D$1004,P$4))</f>
        <v/>
      </c>
      <c r="Q303" s="24">
        <f>IF(H303="","",SUMIFS(VENDAS!$H$5:$H$1004,VENDAS!$A$5:$A$1004,H303))</f>
        <v/>
      </c>
      <c r="R303" s="24">
        <f>IF(H303="","",SUMIFS(VENDAS!$K$5:$K$1004,VENDAS!$A$5:$A$1004,H303))</f>
        <v/>
      </c>
      <c r="S303" s="20" t="n"/>
      <c r="T303" s="31" t="n"/>
    </row>
    <row r="304">
      <c r="H304" s="20" t="n"/>
      <c r="I304" s="30">
        <f>IF(H304="","",IFERROR(INDEX(VENDAS!$B$5:$B$1004,MATCH(H304,VENDAS!$A$5:$A$1004,0)),"não lançado"))</f>
        <v/>
      </c>
      <c r="J304" s="22">
        <f>IF(H304="","",IFERROR(INDEX(VENDAS!$M$5:$M$1004,MATCH(H304,VENDAS!$A$5:$A$1004,0))&amp;"",""))</f>
        <v/>
      </c>
      <c r="K304" s="22">
        <f>IF(H304="","",IFERROR(INDEX(VENDAS!$J$5:$J$1004,MATCH(H304,VENDAS!$A$5:$A$1004,0))&amp;"",""))</f>
        <v/>
      </c>
      <c r="L304" s="26">
        <f>IF(H304="","",SUMIFS(VENDAS!$F$5:$F$1004,VENDAS!$A$5:$A$1004,H304))</f>
        <v/>
      </c>
      <c r="M304" s="26">
        <f>IF(H304="","",SUMIFS(VENDAS!$F$5:$F$1004,VENDAS!$A$5:$A$1004,H304,VENDAS!$D$5:$D$1004,M$4))</f>
        <v/>
      </c>
      <c r="N304" s="26">
        <f>IF(H304="","",SUMIFS(VENDAS!$F$5:$F$1004,VENDAS!$A$5:$A$1004,H304,VENDAS!$D$5:$D$1004,N$4))</f>
        <v/>
      </c>
      <c r="O304" s="26">
        <f>IF(H304="","",SUMIFS(VENDAS!$F$5:$F$1004,VENDAS!$A$5:$A$1004,H304,VENDAS!$D$5:$D$1004,O$4))</f>
        <v/>
      </c>
      <c r="P304" s="26">
        <f>IF(H304="","",SUMIFS(VENDAS!$F$5:$F$1004,VENDAS!$A$5:$A$1004,H304,VENDAS!$D$5:$D$1004,P$4))</f>
        <v/>
      </c>
      <c r="Q304" s="24">
        <f>IF(H304="","",SUMIFS(VENDAS!$H$5:$H$1004,VENDAS!$A$5:$A$1004,H304))</f>
        <v/>
      </c>
      <c r="R304" s="24">
        <f>IF(H304="","",SUMIFS(VENDAS!$K$5:$K$1004,VENDAS!$A$5:$A$1004,H304))</f>
        <v/>
      </c>
      <c r="S304" s="20" t="n"/>
      <c r="T304" s="31" t="n"/>
    </row>
    <row r="305">
      <c r="H305" s="20" t="n"/>
      <c r="I305" s="30">
        <f>IF(H305="","",IFERROR(INDEX(VENDAS!$B$5:$B$1004,MATCH(H305,VENDAS!$A$5:$A$1004,0)),"não lançado"))</f>
        <v/>
      </c>
      <c r="J305" s="22">
        <f>IF(H305="","",IFERROR(INDEX(VENDAS!$M$5:$M$1004,MATCH(H305,VENDAS!$A$5:$A$1004,0))&amp;"",""))</f>
        <v/>
      </c>
      <c r="K305" s="22">
        <f>IF(H305="","",IFERROR(INDEX(VENDAS!$J$5:$J$1004,MATCH(H305,VENDAS!$A$5:$A$1004,0))&amp;"",""))</f>
        <v/>
      </c>
      <c r="L305" s="26">
        <f>IF(H305="","",SUMIFS(VENDAS!$F$5:$F$1004,VENDAS!$A$5:$A$1004,H305))</f>
        <v/>
      </c>
      <c r="M305" s="26">
        <f>IF(H305="","",SUMIFS(VENDAS!$F$5:$F$1004,VENDAS!$A$5:$A$1004,H305,VENDAS!$D$5:$D$1004,M$4))</f>
        <v/>
      </c>
      <c r="N305" s="26">
        <f>IF(H305="","",SUMIFS(VENDAS!$F$5:$F$1004,VENDAS!$A$5:$A$1004,H305,VENDAS!$D$5:$D$1004,N$4))</f>
        <v/>
      </c>
      <c r="O305" s="26">
        <f>IF(H305="","",SUMIFS(VENDAS!$F$5:$F$1004,VENDAS!$A$5:$A$1004,H305,VENDAS!$D$5:$D$1004,O$4))</f>
        <v/>
      </c>
      <c r="P305" s="26">
        <f>IF(H305="","",SUMIFS(VENDAS!$F$5:$F$1004,VENDAS!$A$5:$A$1004,H305,VENDAS!$D$5:$D$1004,P$4))</f>
        <v/>
      </c>
      <c r="Q305" s="24">
        <f>IF(H305="","",SUMIFS(VENDAS!$H$5:$H$1004,VENDAS!$A$5:$A$1004,H305))</f>
        <v/>
      </c>
      <c r="R305" s="24">
        <f>IF(H305="","",SUMIFS(VENDAS!$K$5:$K$1004,VENDAS!$A$5:$A$1004,H305))</f>
        <v/>
      </c>
      <c r="S305" s="20" t="n"/>
      <c r="T305" s="31" t="n"/>
    </row>
    <row r="306">
      <c r="H306" s="20" t="n"/>
      <c r="I306" s="30">
        <f>IF(H306="","",IFERROR(INDEX(VENDAS!$B$5:$B$1004,MATCH(H306,VENDAS!$A$5:$A$1004,0)),"não lançado"))</f>
        <v/>
      </c>
      <c r="J306" s="22">
        <f>IF(H306="","",IFERROR(INDEX(VENDAS!$M$5:$M$1004,MATCH(H306,VENDAS!$A$5:$A$1004,0))&amp;"",""))</f>
        <v/>
      </c>
      <c r="K306" s="22">
        <f>IF(H306="","",IFERROR(INDEX(VENDAS!$J$5:$J$1004,MATCH(H306,VENDAS!$A$5:$A$1004,0))&amp;"",""))</f>
        <v/>
      </c>
      <c r="L306" s="26">
        <f>IF(H306="","",SUMIFS(VENDAS!$F$5:$F$1004,VENDAS!$A$5:$A$1004,H306))</f>
        <v/>
      </c>
      <c r="M306" s="26">
        <f>IF(H306="","",SUMIFS(VENDAS!$F$5:$F$1004,VENDAS!$A$5:$A$1004,H306,VENDAS!$D$5:$D$1004,M$4))</f>
        <v/>
      </c>
      <c r="N306" s="26">
        <f>IF(H306="","",SUMIFS(VENDAS!$F$5:$F$1004,VENDAS!$A$5:$A$1004,H306,VENDAS!$D$5:$D$1004,N$4))</f>
        <v/>
      </c>
      <c r="O306" s="26">
        <f>IF(H306="","",SUMIFS(VENDAS!$F$5:$F$1004,VENDAS!$A$5:$A$1004,H306,VENDAS!$D$5:$D$1004,O$4))</f>
        <v/>
      </c>
      <c r="P306" s="26">
        <f>IF(H306="","",SUMIFS(VENDAS!$F$5:$F$1004,VENDAS!$A$5:$A$1004,H306,VENDAS!$D$5:$D$1004,P$4))</f>
        <v/>
      </c>
      <c r="Q306" s="24">
        <f>IF(H306="","",SUMIFS(VENDAS!$H$5:$H$1004,VENDAS!$A$5:$A$1004,H306))</f>
        <v/>
      </c>
      <c r="R306" s="24">
        <f>IF(H306="","",SUMIFS(VENDAS!$K$5:$K$1004,VENDAS!$A$5:$A$1004,H306))</f>
        <v/>
      </c>
      <c r="S306" s="20" t="n"/>
      <c r="T306" s="31" t="n"/>
    </row>
    <row r="307">
      <c r="H307" s="20" t="n"/>
      <c r="I307" s="30">
        <f>IF(H307="","",IFERROR(INDEX(VENDAS!$B$5:$B$1004,MATCH(H307,VENDAS!$A$5:$A$1004,0)),"não lançado"))</f>
        <v/>
      </c>
      <c r="J307" s="22">
        <f>IF(H307="","",IFERROR(INDEX(VENDAS!$M$5:$M$1004,MATCH(H307,VENDAS!$A$5:$A$1004,0))&amp;"",""))</f>
        <v/>
      </c>
      <c r="K307" s="22">
        <f>IF(H307="","",IFERROR(INDEX(VENDAS!$J$5:$J$1004,MATCH(H307,VENDAS!$A$5:$A$1004,0))&amp;"",""))</f>
        <v/>
      </c>
      <c r="L307" s="26">
        <f>IF(H307="","",SUMIFS(VENDAS!$F$5:$F$1004,VENDAS!$A$5:$A$1004,H307))</f>
        <v/>
      </c>
      <c r="M307" s="26">
        <f>IF(H307="","",SUMIFS(VENDAS!$F$5:$F$1004,VENDAS!$A$5:$A$1004,H307,VENDAS!$D$5:$D$1004,M$4))</f>
        <v/>
      </c>
      <c r="N307" s="26">
        <f>IF(H307="","",SUMIFS(VENDAS!$F$5:$F$1004,VENDAS!$A$5:$A$1004,H307,VENDAS!$D$5:$D$1004,N$4))</f>
        <v/>
      </c>
      <c r="O307" s="26">
        <f>IF(H307="","",SUMIFS(VENDAS!$F$5:$F$1004,VENDAS!$A$5:$A$1004,H307,VENDAS!$D$5:$D$1004,O$4))</f>
        <v/>
      </c>
      <c r="P307" s="26">
        <f>IF(H307="","",SUMIFS(VENDAS!$F$5:$F$1004,VENDAS!$A$5:$A$1004,H307,VENDAS!$D$5:$D$1004,P$4))</f>
        <v/>
      </c>
      <c r="Q307" s="24">
        <f>IF(H307="","",SUMIFS(VENDAS!$H$5:$H$1004,VENDAS!$A$5:$A$1004,H307))</f>
        <v/>
      </c>
      <c r="R307" s="24">
        <f>IF(H307="","",SUMIFS(VENDAS!$K$5:$K$1004,VENDAS!$A$5:$A$1004,H307))</f>
        <v/>
      </c>
      <c r="S307" s="20" t="n"/>
      <c r="T307" s="31" t="n"/>
    </row>
    <row r="308">
      <c r="H308" s="20" t="n"/>
      <c r="I308" s="30">
        <f>IF(H308="","",IFERROR(INDEX(VENDAS!$B$5:$B$1004,MATCH(H308,VENDAS!$A$5:$A$1004,0)),"não lançado"))</f>
        <v/>
      </c>
      <c r="J308" s="22">
        <f>IF(H308="","",IFERROR(INDEX(VENDAS!$M$5:$M$1004,MATCH(H308,VENDAS!$A$5:$A$1004,0))&amp;"",""))</f>
        <v/>
      </c>
      <c r="K308" s="22">
        <f>IF(H308="","",IFERROR(INDEX(VENDAS!$J$5:$J$1004,MATCH(H308,VENDAS!$A$5:$A$1004,0))&amp;"",""))</f>
        <v/>
      </c>
      <c r="L308" s="26">
        <f>IF(H308="","",SUMIFS(VENDAS!$F$5:$F$1004,VENDAS!$A$5:$A$1004,H308))</f>
        <v/>
      </c>
      <c r="M308" s="26">
        <f>IF(H308="","",SUMIFS(VENDAS!$F$5:$F$1004,VENDAS!$A$5:$A$1004,H308,VENDAS!$D$5:$D$1004,M$4))</f>
        <v/>
      </c>
      <c r="N308" s="26">
        <f>IF(H308="","",SUMIFS(VENDAS!$F$5:$F$1004,VENDAS!$A$5:$A$1004,H308,VENDAS!$D$5:$D$1004,N$4))</f>
        <v/>
      </c>
      <c r="O308" s="26">
        <f>IF(H308="","",SUMIFS(VENDAS!$F$5:$F$1004,VENDAS!$A$5:$A$1004,H308,VENDAS!$D$5:$D$1004,O$4))</f>
        <v/>
      </c>
      <c r="P308" s="26">
        <f>IF(H308="","",SUMIFS(VENDAS!$F$5:$F$1004,VENDAS!$A$5:$A$1004,H308,VENDAS!$D$5:$D$1004,P$4))</f>
        <v/>
      </c>
      <c r="Q308" s="24">
        <f>IF(H308="","",SUMIFS(VENDAS!$H$5:$H$1004,VENDAS!$A$5:$A$1004,H308))</f>
        <v/>
      </c>
      <c r="R308" s="24">
        <f>IF(H308="","",SUMIFS(VENDAS!$K$5:$K$1004,VENDAS!$A$5:$A$1004,H308))</f>
        <v/>
      </c>
      <c r="S308" s="20" t="n"/>
      <c r="T308" s="31" t="n"/>
    </row>
    <row r="309">
      <c r="H309" s="20" t="n"/>
      <c r="I309" s="30">
        <f>IF(H309="","",IFERROR(INDEX(VENDAS!$B$5:$B$1004,MATCH(H309,VENDAS!$A$5:$A$1004,0)),"não lançado"))</f>
        <v/>
      </c>
      <c r="J309" s="22">
        <f>IF(H309="","",IFERROR(INDEX(VENDAS!$M$5:$M$1004,MATCH(H309,VENDAS!$A$5:$A$1004,0))&amp;"",""))</f>
        <v/>
      </c>
      <c r="K309" s="22">
        <f>IF(H309="","",IFERROR(INDEX(VENDAS!$J$5:$J$1004,MATCH(H309,VENDAS!$A$5:$A$1004,0))&amp;"",""))</f>
        <v/>
      </c>
      <c r="L309" s="26">
        <f>IF(H309="","",SUMIFS(VENDAS!$F$5:$F$1004,VENDAS!$A$5:$A$1004,H309))</f>
        <v/>
      </c>
      <c r="M309" s="26">
        <f>IF(H309="","",SUMIFS(VENDAS!$F$5:$F$1004,VENDAS!$A$5:$A$1004,H309,VENDAS!$D$5:$D$1004,M$4))</f>
        <v/>
      </c>
      <c r="N309" s="26">
        <f>IF(H309="","",SUMIFS(VENDAS!$F$5:$F$1004,VENDAS!$A$5:$A$1004,H309,VENDAS!$D$5:$D$1004,N$4))</f>
        <v/>
      </c>
      <c r="O309" s="26">
        <f>IF(H309="","",SUMIFS(VENDAS!$F$5:$F$1004,VENDAS!$A$5:$A$1004,H309,VENDAS!$D$5:$D$1004,O$4))</f>
        <v/>
      </c>
      <c r="P309" s="26">
        <f>IF(H309="","",SUMIFS(VENDAS!$F$5:$F$1004,VENDAS!$A$5:$A$1004,H309,VENDAS!$D$5:$D$1004,P$4))</f>
        <v/>
      </c>
      <c r="Q309" s="24">
        <f>IF(H309="","",SUMIFS(VENDAS!$H$5:$H$1004,VENDAS!$A$5:$A$1004,H309))</f>
        <v/>
      </c>
      <c r="R309" s="24">
        <f>IF(H309="","",SUMIFS(VENDAS!$K$5:$K$1004,VENDAS!$A$5:$A$1004,H309))</f>
        <v/>
      </c>
      <c r="S309" s="20" t="n"/>
      <c r="T309" s="31" t="n"/>
    </row>
    <row r="310">
      <c r="H310" s="20" t="n"/>
      <c r="I310" s="30">
        <f>IF(H310="","",IFERROR(INDEX(VENDAS!$B$5:$B$1004,MATCH(H310,VENDAS!$A$5:$A$1004,0)),"não lançado"))</f>
        <v/>
      </c>
      <c r="J310" s="22">
        <f>IF(H310="","",IFERROR(INDEX(VENDAS!$M$5:$M$1004,MATCH(H310,VENDAS!$A$5:$A$1004,0))&amp;"",""))</f>
        <v/>
      </c>
      <c r="K310" s="22">
        <f>IF(H310="","",IFERROR(INDEX(VENDAS!$J$5:$J$1004,MATCH(H310,VENDAS!$A$5:$A$1004,0))&amp;"",""))</f>
        <v/>
      </c>
      <c r="L310" s="26">
        <f>IF(H310="","",SUMIFS(VENDAS!$F$5:$F$1004,VENDAS!$A$5:$A$1004,H310))</f>
        <v/>
      </c>
      <c r="M310" s="26">
        <f>IF(H310="","",SUMIFS(VENDAS!$F$5:$F$1004,VENDAS!$A$5:$A$1004,H310,VENDAS!$D$5:$D$1004,M$4))</f>
        <v/>
      </c>
      <c r="N310" s="26">
        <f>IF(H310="","",SUMIFS(VENDAS!$F$5:$F$1004,VENDAS!$A$5:$A$1004,H310,VENDAS!$D$5:$D$1004,N$4))</f>
        <v/>
      </c>
      <c r="O310" s="26">
        <f>IF(H310="","",SUMIFS(VENDAS!$F$5:$F$1004,VENDAS!$A$5:$A$1004,H310,VENDAS!$D$5:$D$1004,O$4))</f>
        <v/>
      </c>
      <c r="P310" s="26">
        <f>IF(H310="","",SUMIFS(VENDAS!$F$5:$F$1004,VENDAS!$A$5:$A$1004,H310,VENDAS!$D$5:$D$1004,P$4))</f>
        <v/>
      </c>
      <c r="Q310" s="24">
        <f>IF(H310="","",SUMIFS(VENDAS!$H$5:$H$1004,VENDAS!$A$5:$A$1004,H310))</f>
        <v/>
      </c>
      <c r="R310" s="24">
        <f>IF(H310="","",SUMIFS(VENDAS!$K$5:$K$1004,VENDAS!$A$5:$A$1004,H310))</f>
        <v/>
      </c>
      <c r="S310" s="20" t="n"/>
      <c r="T310" s="31" t="n"/>
    </row>
    <row r="311">
      <c r="H311" s="20" t="n"/>
      <c r="I311" s="30">
        <f>IF(H311="","",IFERROR(INDEX(VENDAS!$B$5:$B$1004,MATCH(H311,VENDAS!$A$5:$A$1004,0)),"não lançado"))</f>
        <v/>
      </c>
      <c r="J311" s="22">
        <f>IF(H311="","",IFERROR(INDEX(VENDAS!$M$5:$M$1004,MATCH(H311,VENDAS!$A$5:$A$1004,0))&amp;"",""))</f>
        <v/>
      </c>
      <c r="K311" s="22">
        <f>IF(H311="","",IFERROR(INDEX(VENDAS!$J$5:$J$1004,MATCH(H311,VENDAS!$A$5:$A$1004,0))&amp;"",""))</f>
        <v/>
      </c>
      <c r="L311" s="26">
        <f>IF(H311="","",SUMIFS(VENDAS!$F$5:$F$1004,VENDAS!$A$5:$A$1004,H311))</f>
        <v/>
      </c>
      <c r="M311" s="26">
        <f>IF(H311="","",SUMIFS(VENDAS!$F$5:$F$1004,VENDAS!$A$5:$A$1004,H311,VENDAS!$D$5:$D$1004,M$4))</f>
        <v/>
      </c>
      <c r="N311" s="26">
        <f>IF(H311="","",SUMIFS(VENDAS!$F$5:$F$1004,VENDAS!$A$5:$A$1004,H311,VENDAS!$D$5:$D$1004,N$4))</f>
        <v/>
      </c>
      <c r="O311" s="26">
        <f>IF(H311="","",SUMIFS(VENDAS!$F$5:$F$1004,VENDAS!$A$5:$A$1004,H311,VENDAS!$D$5:$D$1004,O$4))</f>
        <v/>
      </c>
      <c r="P311" s="26">
        <f>IF(H311="","",SUMIFS(VENDAS!$F$5:$F$1004,VENDAS!$A$5:$A$1004,H311,VENDAS!$D$5:$D$1004,P$4))</f>
        <v/>
      </c>
      <c r="Q311" s="24">
        <f>IF(H311="","",SUMIFS(VENDAS!$H$5:$H$1004,VENDAS!$A$5:$A$1004,H311))</f>
        <v/>
      </c>
      <c r="R311" s="24">
        <f>IF(H311="","",SUMIFS(VENDAS!$K$5:$K$1004,VENDAS!$A$5:$A$1004,H311))</f>
        <v/>
      </c>
      <c r="S311" s="20" t="n"/>
      <c r="T311" s="31" t="n"/>
    </row>
    <row r="312">
      <c r="H312" s="20" t="n"/>
      <c r="I312" s="30">
        <f>IF(H312="","",IFERROR(INDEX(VENDAS!$B$5:$B$1004,MATCH(H312,VENDAS!$A$5:$A$1004,0)),"não lançado"))</f>
        <v/>
      </c>
      <c r="J312" s="22">
        <f>IF(H312="","",IFERROR(INDEX(VENDAS!$M$5:$M$1004,MATCH(H312,VENDAS!$A$5:$A$1004,0))&amp;"",""))</f>
        <v/>
      </c>
      <c r="K312" s="22">
        <f>IF(H312="","",IFERROR(INDEX(VENDAS!$J$5:$J$1004,MATCH(H312,VENDAS!$A$5:$A$1004,0))&amp;"",""))</f>
        <v/>
      </c>
      <c r="L312" s="26">
        <f>IF(H312="","",SUMIFS(VENDAS!$F$5:$F$1004,VENDAS!$A$5:$A$1004,H312))</f>
        <v/>
      </c>
      <c r="M312" s="26">
        <f>IF(H312="","",SUMIFS(VENDAS!$F$5:$F$1004,VENDAS!$A$5:$A$1004,H312,VENDAS!$D$5:$D$1004,M$4))</f>
        <v/>
      </c>
      <c r="N312" s="26">
        <f>IF(H312="","",SUMIFS(VENDAS!$F$5:$F$1004,VENDAS!$A$5:$A$1004,H312,VENDAS!$D$5:$D$1004,N$4))</f>
        <v/>
      </c>
      <c r="O312" s="26">
        <f>IF(H312="","",SUMIFS(VENDAS!$F$5:$F$1004,VENDAS!$A$5:$A$1004,H312,VENDAS!$D$5:$D$1004,O$4))</f>
        <v/>
      </c>
      <c r="P312" s="26">
        <f>IF(H312="","",SUMIFS(VENDAS!$F$5:$F$1004,VENDAS!$A$5:$A$1004,H312,VENDAS!$D$5:$D$1004,P$4))</f>
        <v/>
      </c>
      <c r="Q312" s="24">
        <f>IF(H312="","",SUMIFS(VENDAS!$H$5:$H$1004,VENDAS!$A$5:$A$1004,H312))</f>
        <v/>
      </c>
      <c r="R312" s="24">
        <f>IF(H312="","",SUMIFS(VENDAS!$K$5:$K$1004,VENDAS!$A$5:$A$1004,H312))</f>
        <v/>
      </c>
      <c r="S312" s="20" t="n"/>
      <c r="T312" s="31" t="n"/>
    </row>
    <row r="313">
      <c r="H313" s="20" t="n"/>
      <c r="I313" s="30">
        <f>IF(H313="","",IFERROR(INDEX(VENDAS!$B$5:$B$1004,MATCH(H313,VENDAS!$A$5:$A$1004,0)),"não lançado"))</f>
        <v/>
      </c>
      <c r="J313" s="22">
        <f>IF(H313="","",IFERROR(INDEX(VENDAS!$M$5:$M$1004,MATCH(H313,VENDAS!$A$5:$A$1004,0))&amp;"",""))</f>
        <v/>
      </c>
      <c r="K313" s="22">
        <f>IF(H313="","",IFERROR(INDEX(VENDAS!$J$5:$J$1004,MATCH(H313,VENDAS!$A$5:$A$1004,0))&amp;"",""))</f>
        <v/>
      </c>
      <c r="L313" s="26">
        <f>IF(H313="","",SUMIFS(VENDAS!$F$5:$F$1004,VENDAS!$A$5:$A$1004,H313))</f>
        <v/>
      </c>
      <c r="M313" s="26">
        <f>IF(H313="","",SUMIFS(VENDAS!$F$5:$F$1004,VENDAS!$A$5:$A$1004,H313,VENDAS!$D$5:$D$1004,M$4))</f>
        <v/>
      </c>
      <c r="N313" s="26">
        <f>IF(H313="","",SUMIFS(VENDAS!$F$5:$F$1004,VENDAS!$A$5:$A$1004,H313,VENDAS!$D$5:$D$1004,N$4))</f>
        <v/>
      </c>
      <c r="O313" s="26">
        <f>IF(H313="","",SUMIFS(VENDAS!$F$5:$F$1004,VENDAS!$A$5:$A$1004,H313,VENDAS!$D$5:$D$1004,O$4))</f>
        <v/>
      </c>
      <c r="P313" s="26">
        <f>IF(H313="","",SUMIFS(VENDAS!$F$5:$F$1004,VENDAS!$A$5:$A$1004,H313,VENDAS!$D$5:$D$1004,P$4))</f>
        <v/>
      </c>
      <c r="Q313" s="24">
        <f>IF(H313="","",SUMIFS(VENDAS!$H$5:$H$1004,VENDAS!$A$5:$A$1004,H313))</f>
        <v/>
      </c>
      <c r="R313" s="24">
        <f>IF(H313="","",SUMIFS(VENDAS!$K$5:$K$1004,VENDAS!$A$5:$A$1004,H313))</f>
        <v/>
      </c>
      <c r="S313" s="20" t="n"/>
      <c r="T313" s="31" t="n"/>
    </row>
    <row r="314">
      <c r="H314" s="20" t="n"/>
      <c r="I314" s="30">
        <f>IF(H314="","",IFERROR(INDEX(VENDAS!$B$5:$B$1004,MATCH(H314,VENDAS!$A$5:$A$1004,0)),"não lançado"))</f>
        <v/>
      </c>
      <c r="J314" s="22">
        <f>IF(H314="","",IFERROR(INDEX(VENDAS!$M$5:$M$1004,MATCH(H314,VENDAS!$A$5:$A$1004,0))&amp;"",""))</f>
        <v/>
      </c>
      <c r="K314" s="22">
        <f>IF(H314="","",IFERROR(INDEX(VENDAS!$J$5:$J$1004,MATCH(H314,VENDAS!$A$5:$A$1004,0))&amp;"",""))</f>
        <v/>
      </c>
      <c r="L314" s="26">
        <f>IF(H314="","",SUMIFS(VENDAS!$F$5:$F$1004,VENDAS!$A$5:$A$1004,H314))</f>
        <v/>
      </c>
      <c r="M314" s="26">
        <f>IF(H314="","",SUMIFS(VENDAS!$F$5:$F$1004,VENDAS!$A$5:$A$1004,H314,VENDAS!$D$5:$D$1004,M$4))</f>
        <v/>
      </c>
      <c r="N314" s="26">
        <f>IF(H314="","",SUMIFS(VENDAS!$F$5:$F$1004,VENDAS!$A$5:$A$1004,H314,VENDAS!$D$5:$D$1004,N$4))</f>
        <v/>
      </c>
      <c r="O314" s="26">
        <f>IF(H314="","",SUMIFS(VENDAS!$F$5:$F$1004,VENDAS!$A$5:$A$1004,H314,VENDAS!$D$5:$D$1004,O$4))</f>
        <v/>
      </c>
      <c r="P314" s="26">
        <f>IF(H314="","",SUMIFS(VENDAS!$F$5:$F$1004,VENDAS!$A$5:$A$1004,H314,VENDAS!$D$5:$D$1004,P$4))</f>
        <v/>
      </c>
      <c r="Q314" s="24">
        <f>IF(H314="","",SUMIFS(VENDAS!$H$5:$H$1004,VENDAS!$A$5:$A$1004,H314))</f>
        <v/>
      </c>
      <c r="R314" s="24">
        <f>IF(H314="","",SUMIFS(VENDAS!$K$5:$K$1004,VENDAS!$A$5:$A$1004,H314))</f>
        <v/>
      </c>
      <c r="S314" s="20" t="n"/>
      <c r="T314" s="31" t="n"/>
    </row>
    <row r="315">
      <c r="H315" s="20" t="n"/>
      <c r="I315" s="30">
        <f>IF(H315="","",IFERROR(INDEX(VENDAS!$B$5:$B$1004,MATCH(H315,VENDAS!$A$5:$A$1004,0)),"não lançado"))</f>
        <v/>
      </c>
      <c r="J315" s="22">
        <f>IF(H315="","",IFERROR(INDEX(VENDAS!$M$5:$M$1004,MATCH(H315,VENDAS!$A$5:$A$1004,0))&amp;"",""))</f>
        <v/>
      </c>
      <c r="K315" s="22">
        <f>IF(H315="","",IFERROR(INDEX(VENDAS!$J$5:$J$1004,MATCH(H315,VENDAS!$A$5:$A$1004,0))&amp;"",""))</f>
        <v/>
      </c>
      <c r="L315" s="26">
        <f>IF(H315="","",SUMIFS(VENDAS!$F$5:$F$1004,VENDAS!$A$5:$A$1004,H315))</f>
        <v/>
      </c>
      <c r="M315" s="26">
        <f>IF(H315="","",SUMIFS(VENDAS!$F$5:$F$1004,VENDAS!$A$5:$A$1004,H315,VENDAS!$D$5:$D$1004,M$4))</f>
        <v/>
      </c>
      <c r="N315" s="26">
        <f>IF(H315="","",SUMIFS(VENDAS!$F$5:$F$1004,VENDAS!$A$5:$A$1004,H315,VENDAS!$D$5:$D$1004,N$4))</f>
        <v/>
      </c>
      <c r="O315" s="26">
        <f>IF(H315="","",SUMIFS(VENDAS!$F$5:$F$1004,VENDAS!$A$5:$A$1004,H315,VENDAS!$D$5:$D$1004,O$4))</f>
        <v/>
      </c>
      <c r="P315" s="26">
        <f>IF(H315="","",SUMIFS(VENDAS!$F$5:$F$1004,VENDAS!$A$5:$A$1004,H315,VENDAS!$D$5:$D$1004,P$4))</f>
        <v/>
      </c>
      <c r="Q315" s="24">
        <f>IF(H315="","",SUMIFS(VENDAS!$H$5:$H$1004,VENDAS!$A$5:$A$1004,H315))</f>
        <v/>
      </c>
      <c r="R315" s="24">
        <f>IF(H315="","",SUMIFS(VENDAS!$K$5:$K$1004,VENDAS!$A$5:$A$1004,H315))</f>
        <v/>
      </c>
      <c r="S315" s="20" t="n"/>
      <c r="T315" s="31" t="n"/>
    </row>
    <row r="316">
      <c r="H316" s="20" t="n"/>
      <c r="I316" s="30">
        <f>IF(H316="","",IFERROR(INDEX(VENDAS!$B$5:$B$1004,MATCH(H316,VENDAS!$A$5:$A$1004,0)),"não lançado"))</f>
        <v/>
      </c>
      <c r="J316" s="22">
        <f>IF(H316="","",IFERROR(INDEX(VENDAS!$M$5:$M$1004,MATCH(H316,VENDAS!$A$5:$A$1004,0))&amp;"",""))</f>
        <v/>
      </c>
      <c r="K316" s="22">
        <f>IF(H316="","",IFERROR(INDEX(VENDAS!$J$5:$J$1004,MATCH(H316,VENDAS!$A$5:$A$1004,0))&amp;"",""))</f>
        <v/>
      </c>
      <c r="L316" s="26">
        <f>IF(H316="","",SUMIFS(VENDAS!$F$5:$F$1004,VENDAS!$A$5:$A$1004,H316))</f>
        <v/>
      </c>
      <c r="M316" s="26">
        <f>IF(H316="","",SUMIFS(VENDAS!$F$5:$F$1004,VENDAS!$A$5:$A$1004,H316,VENDAS!$D$5:$D$1004,M$4))</f>
        <v/>
      </c>
      <c r="N316" s="26">
        <f>IF(H316="","",SUMIFS(VENDAS!$F$5:$F$1004,VENDAS!$A$5:$A$1004,H316,VENDAS!$D$5:$D$1004,N$4))</f>
        <v/>
      </c>
      <c r="O316" s="26">
        <f>IF(H316="","",SUMIFS(VENDAS!$F$5:$F$1004,VENDAS!$A$5:$A$1004,H316,VENDAS!$D$5:$D$1004,O$4))</f>
        <v/>
      </c>
      <c r="P316" s="26">
        <f>IF(H316="","",SUMIFS(VENDAS!$F$5:$F$1004,VENDAS!$A$5:$A$1004,H316,VENDAS!$D$5:$D$1004,P$4))</f>
        <v/>
      </c>
      <c r="Q316" s="24">
        <f>IF(H316="","",SUMIFS(VENDAS!$H$5:$H$1004,VENDAS!$A$5:$A$1004,H316))</f>
        <v/>
      </c>
      <c r="R316" s="24">
        <f>IF(H316="","",SUMIFS(VENDAS!$K$5:$K$1004,VENDAS!$A$5:$A$1004,H316))</f>
        <v/>
      </c>
      <c r="S316" s="20" t="n"/>
      <c r="T316" s="31" t="n"/>
    </row>
    <row r="317">
      <c r="H317" s="20" t="n"/>
      <c r="I317" s="30">
        <f>IF(H317="","",IFERROR(INDEX(VENDAS!$B$5:$B$1004,MATCH(H317,VENDAS!$A$5:$A$1004,0)),"não lançado"))</f>
        <v/>
      </c>
      <c r="J317" s="22">
        <f>IF(H317="","",IFERROR(INDEX(VENDAS!$M$5:$M$1004,MATCH(H317,VENDAS!$A$5:$A$1004,0))&amp;"",""))</f>
        <v/>
      </c>
      <c r="K317" s="22">
        <f>IF(H317="","",IFERROR(INDEX(VENDAS!$J$5:$J$1004,MATCH(H317,VENDAS!$A$5:$A$1004,0))&amp;"",""))</f>
        <v/>
      </c>
      <c r="L317" s="26">
        <f>IF(H317="","",SUMIFS(VENDAS!$F$5:$F$1004,VENDAS!$A$5:$A$1004,H317))</f>
        <v/>
      </c>
      <c r="M317" s="26">
        <f>IF(H317="","",SUMIFS(VENDAS!$F$5:$F$1004,VENDAS!$A$5:$A$1004,H317,VENDAS!$D$5:$D$1004,M$4))</f>
        <v/>
      </c>
      <c r="N317" s="26">
        <f>IF(H317="","",SUMIFS(VENDAS!$F$5:$F$1004,VENDAS!$A$5:$A$1004,H317,VENDAS!$D$5:$D$1004,N$4))</f>
        <v/>
      </c>
      <c r="O317" s="26">
        <f>IF(H317="","",SUMIFS(VENDAS!$F$5:$F$1004,VENDAS!$A$5:$A$1004,H317,VENDAS!$D$5:$D$1004,O$4))</f>
        <v/>
      </c>
      <c r="P317" s="26">
        <f>IF(H317="","",SUMIFS(VENDAS!$F$5:$F$1004,VENDAS!$A$5:$A$1004,H317,VENDAS!$D$5:$D$1004,P$4))</f>
        <v/>
      </c>
      <c r="Q317" s="24">
        <f>IF(H317="","",SUMIFS(VENDAS!$H$5:$H$1004,VENDAS!$A$5:$A$1004,H317))</f>
        <v/>
      </c>
      <c r="R317" s="24">
        <f>IF(H317="","",SUMIFS(VENDAS!$K$5:$K$1004,VENDAS!$A$5:$A$1004,H317))</f>
        <v/>
      </c>
      <c r="S317" s="20" t="n"/>
      <c r="T317" s="31" t="n"/>
    </row>
    <row r="318">
      <c r="H318" s="20" t="n"/>
      <c r="I318" s="30">
        <f>IF(H318="","",IFERROR(INDEX(VENDAS!$B$5:$B$1004,MATCH(H318,VENDAS!$A$5:$A$1004,0)),"não lançado"))</f>
        <v/>
      </c>
      <c r="J318" s="22">
        <f>IF(H318="","",IFERROR(INDEX(VENDAS!$M$5:$M$1004,MATCH(H318,VENDAS!$A$5:$A$1004,0))&amp;"",""))</f>
        <v/>
      </c>
      <c r="K318" s="22">
        <f>IF(H318="","",IFERROR(INDEX(VENDAS!$J$5:$J$1004,MATCH(H318,VENDAS!$A$5:$A$1004,0))&amp;"",""))</f>
        <v/>
      </c>
      <c r="L318" s="26">
        <f>IF(H318="","",SUMIFS(VENDAS!$F$5:$F$1004,VENDAS!$A$5:$A$1004,H318))</f>
        <v/>
      </c>
      <c r="M318" s="26">
        <f>IF(H318="","",SUMIFS(VENDAS!$F$5:$F$1004,VENDAS!$A$5:$A$1004,H318,VENDAS!$D$5:$D$1004,M$4))</f>
        <v/>
      </c>
      <c r="N318" s="26">
        <f>IF(H318="","",SUMIFS(VENDAS!$F$5:$F$1004,VENDAS!$A$5:$A$1004,H318,VENDAS!$D$5:$D$1004,N$4))</f>
        <v/>
      </c>
      <c r="O318" s="26">
        <f>IF(H318="","",SUMIFS(VENDAS!$F$5:$F$1004,VENDAS!$A$5:$A$1004,H318,VENDAS!$D$5:$D$1004,O$4))</f>
        <v/>
      </c>
      <c r="P318" s="26">
        <f>IF(H318="","",SUMIFS(VENDAS!$F$5:$F$1004,VENDAS!$A$5:$A$1004,H318,VENDAS!$D$5:$D$1004,P$4))</f>
        <v/>
      </c>
      <c r="Q318" s="24">
        <f>IF(H318="","",SUMIFS(VENDAS!$H$5:$H$1004,VENDAS!$A$5:$A$1004,H318))</f>
        <v/>
      </c>
      <c r="R318" s="24">
        <f>IF(H318="","",SUMIFS(VENDAS!$K$5:$K$1004,VENDAS!$A$5:$A$1004,H318))</f>
        <v/>
      </c>
      <c r="S318" s="20" t="n"/>
      <c r="T318" s="31" t="n"/>
    </row>
    <row r="319">
      <c r="H319" s="20" t="n"/>
      <c r="I319" s="30">
        <f>IF(H319="","",IFERROR(INDEX(VENDAS!$B$5:$B$1004,MATCH(H319,VENDAS!$A$5:$A$1004,0)),"não lançado"))</f>
        <v/>
      </c>
      <c r="J319" s="22">
        <f>IF(H319="","",IFERROR(INDEX(VENDAS!$M$5:$M$1004,MATCH(H319,VENDAS!$A$5:$A$1004,0))&amp;"",""))</f>
        <v/>
      </c>
      <c r="K319" s="22">
        <f>IF(H319="","",IFERROR(INDEX(VENDAS!$J$5:$J$1004,MATCH(H319,VENDAS!$A$5:$A$1004,0))&amp;"",""))</f>
        <v/>
      </c>
      <c r="L319" s="26">
        <f>IF(H319="","",SUMIFS(VENDAS!$F$5:$F$1004,VENDAS!$A$5:$A$1004,H319))</f>
        <v/>
      </c>
      <c r="M319" s="26">
        <f>IF(H319="","",SUMIFS(VENDAS!$F$5:$F$1004,VENDAS!$A$5:$A$1004,H319,VENDAS!$D$5:$D$1004,M$4))</f>
        <v/>
      </c>
      <c r="N319" s="26">
        <f>IF(H319="","",SUMIFS(VENDAS!$F$5:$F$1004,VENDAS!$A$5:$A$1004,H319,VENDAS!$D$5:$D$1004,N$4))</f>
        <v/>
      </c>
      <c r="O319" s="26">
        <f>IF(H319="","",SUMIFS(VENDAS!$F$5:$F$1004,VENDAS!$A$5:$A$1004,H319,VENDAS!$D$5:$D$1004,O$4))</f>
        <v/>
      </c>
      <c r="P319" s="26">
        <f>IF(H319="","",SUMIFS(VENDAS!$F$5:$F$1004,VENDAS!$A$5:$A$1004,H319,VENDAS!$D$5:$D$1004,P$4))</f>
        <v/>
      </c>
      <c r="Q319" s="24">
        <f>IF(H319="","",SUMIFS(VENDAS!$H$5:$H$1004,VENDAS!$A$5:$A$1004,H319))</f>
        <v/>
      </c>
      <c r="R319" s="24">
        <f>IF(H319="","",SUMIFS(VENDAS!$K$5:$K$1004,VENDAS!$A$5:$A$1004,H319))</f>
        <v/>
      </c>
      <c r="S319" s="20" t="n"/>
      <c r="T319" s="31" t="n"/>
    </row>
    <row r="320">
      <c r="H320" s="20" t="n"/>
      <c r="I320" s="30">
        <f>IF(H320="","",IFERROR(INDEX(VENDAS!$B$5:$B$1004,MATCH(H320,VENDAS!$A$5:$A$1004,0)),"não lançado"))</f>
        <v/>
      </c>
      <c r="J320" s="22">
        <f>IF(H320="","",IFERROR(INDEX(VENDAS!$M$5:$M$1004,MATCH(H320,VENDAS!$A$5:$A$1004,0))&amp;"",""))</f>
        <v/>
      </c>
      <c r="K320" s="22">
        <f>IF(H320="","",IFERROR(INDEX(VENDAS!$J$5:$J$1004,MATCH(H320,VENDAS!$A$5:$A$1004,0))&amp;"",""))</f>
        <v/>
      </c>
      <c r="L320" s="26">
        <f>IF(H320="","",SUMIFS(VENDAS!$F$5:$F$1004,VENDAS!$A$5:$A$1004,H320))</f>
        <v/>
      </c>
      <c r="M320" s="26">
        <f>IF(H320="","",SUMIFS(VENDAS!$F$5:$F$1004,VENDAS!$A$5:$A$1004,H320,VENDAS!$D$5:$D$1004,M$4))</f>
        <v/>
      </c>
      <c r="N320" s="26">
        <f>IF(H320="","",SUMIFS(VENDAS!$F$5:$F$1004,VENDAS!$A$5:$A$1004,H320,VENDAS!$D$5:$D$1004,N$4))</f>
        <v/>
      </c>
      <c r="O320" s="26">
        <f>IF(H320="","",SUMIFS(VENDAS!$F$5:$F$1004,VENDAS!$A$5:$A$1004,H320,VENDAS!$D$5:$D$1004,O$4))</f>
        <v/>
      </c>
      <c r="P320" s="26">
        <f>IF(H320="","",SUMIFS(VENDAS!$F$5:$F$1004,VENDAS!$A$5:$A$1004,H320,VENDAS!$D$5:$D$1004,P$4))</f>
        <v/>
      </c>
      <c r="Q320" s="24">
        <f>IF(H320="","",SUMIFS(VENDAS!$H$5:$H$1004,VENDAS!$A$5:$A$1004,H320))</f>
        <v/>
      </c>
      <c r="R320" s="24">
        <f>IF(H320="","",SUMIFS(VENDAS!$K$5:$K$1004,VENDAS!$A$5:$A$1004,H320))</f>
        <v/>
      </c>
      <c r="S320" s="20" t="n"/>
      <c r="T320" s="31" t="n"/>
    </row>
    <row r="321">
      <c r="H321" s="20" t="n"/>
      <c r="I321" s="30">
        <f>IF(H321="","",IFERROR(INDEX(VENDAS!$B$5:$B$1004,MATCH(H321,VENDAS!$A$5:$A$1004,0)),"não lançado"))</f>
        <v/>
      </c>
      <c r="J321" s="22">
        <f>IF(H321="","",IFERROR(INDEX(VENDAS!$M$5:$M$1004,MATCH(H321,VENDAS!$A$5:$A$1004,0))&amp;"",""))</f>
        <v/>
      </c>
      <c r="K321" s="22">
        <f>IF(H321="","",IFERROR(INDEX(VENDAS!$J$5:$J$1004,MATCH(H321,VENDAS!$A$5:$A$1004,0))&amp;"",""))</f>
        <v/>
      </c>
      <c r="L321" s="26">
        <f>IF(H321="","",SUMIFS(VENDAS!$F$5:$F$1004,VENDAS!$A$5:$A$1004,H321))</f>
        <v/>
      </c>
      <c r="M321" s="26">
        <f>IF(H321="","",SUMIFS(VENDAS!$F$5:$F$1004,VENDAS!$A$5:$A$1004,H321,VENDAS!$D$5:$D$1004,M$4))</f>
        <v/>
      </c>
      <c r="N321" s="26">
        <f>IF(H321="","",SUMIFS(VENDAS!$F$5:$F$1004,VENDAS!$A$5:$A$1004,H321,VENDAS!$D$5:$D$1004,N$4))</f>
        <v/>
      </c>
      <c r="O321" s="26">
        <f>IF(H321="","",SUMIFS(VENDAS!$F$5:$F$1004,VENDAS!$A$5:$A$1004,H321,VENDAS!$D$5:$D$1004,O$4))</f>
        <v/>
      </c>
      <c r="P321" s="26">
        <f>IF(H321="","",SUMIFS(VENDAS!$F$5:$F$1004,VENDAS!$A$5:$A$1004,H321,VENDAS!$D$5:$D$1004,P$4))</f>
        <v/>
      </c>
      <c r="Q321" s="24">
        <f>IF(H321="","",SUMIFS(VENDAS!$H$5:$H$1004,VENDAS!$A$5:$A$1004,H321))</f>
        <v/>
      </c>
      <c r="R321" s="24">
        <f>IF(H321="","",SUMIFS(VENDAS!$K$5:$K$1004,VENDAS!$A$5:$A$1004,H321))</f>
        <v/>
      </c>
      <c r="S321" s="20" t="n"/>
      <c r="T321" s="31" t="n"/>
    </row>
    <row r="322">
      <c r="H322" s="20" t="n"/>
      <c r="I322" s="30">
        <f>IF(H322="","",IFERROR(INDEX(VENDAS!$B$5:$B$1004,MATCH(H322,VENDAS!$A$5:$A$1004,0)),"não lançado"))</f>
        <v/>
      </c>
      <c r="J322" s="22">
        <f>IF(H322="","",IFERROR(INDEX(VENDAS!$M$5:$M$1004,MATCH(H322,VENDAS!$A$5:$A$1004,0))&amp;"",""))</f>
        <v/>
      </c>
      <c r="K322" s="22">
        <f>IF(H322="","",IFERROR(INDEX(VENDAS!$J$5:$J$1004,MATCH(H322,VENDAS!$A$5:$A$1004,0))&amp;"",""))</f>
        <v/>
      </c>
      <c r="L322" s="26">
        <f>IF(H322="","",SUMIFS(VENDAS!$F$5:$F$1004,VENDAS!$A$5:$A$1004,H322))</f>
        <v/>
      </c>
      <c r="M322" s="26">
        <f>IF(H322="","",SUMIFS(VENDAS!$F$5:$F$1004,VENDAS!$A$5:$A$1004,H322,VENDAS!$D$5:$D$1004,M$4))</f>
        <v/>
      </c>
      <c r="N322" s="26">
        <f>IF(H322="","",SUMIFS(VENDAS!$F$5:$F$1004,VENDAS!$A$5:$A$1004,H322,VENDAS!$D$5:$D$1004,N$4))</f>
        <v/>
      </c>
      <c r="O322" s="26">
        <f>IF(H322="","",SUMIFS(VENDAS!$F$5:$F$1004,VENDAS!$A$5:$A$1004,H322,VENDAS!$D$5:$D$1004,O$4))</f>
        <v/>
      </c>
      <c r="P322" s="26">
        <f>IF(H322="","",SUMIFS(VENDAS!$F$5:$F$1004,VENDAS!$A$5:$A$1004,H322,VENDAS!$D$5:$D$1004,P$4))</f>
        <v/>
      </c>
      <c r="Q322" s="24">
        <f>IF(H322="","",SUMIFS(VENDAS!$H$5:$H$1004,VENDAS!$A$5:$A$1004,H322))</f>
        <v/>
      </c>
      <c r="R322" s="24">
        <f>IF(H322="","",SUMIFS(VENDAS!$K$5:$K$1004,VENDAS!$A$5:$A$1004,H322))</f>
        <v/>
      </c>
      <c r="S322" s="20" t="n"/>
      <c r="T322" s="31" t="n"/>
    </row>
    <row r="323">
      <c r="H323" s="20" t="n"/>
      <c r="I323" s="30">
        <f>IF(H323="","",IFERROR(INDEX(VENDAS!$B$5:$B$1004,MATCH(H323,VENDAS!$A$5:$A$1004,0)),"não lançado"))</f>
        <v/>
      </c>
      <c r="J323" s="22">
        <f>IF(H323="","",IFERROR(INDEX(VENDAS!$M$5:$M$1004,MATCH(H323,VENDAS!$A$5:$A$1004,0))&amp;"",""))</f>
        <v/>
      </c>
      <c r="K323" s="22">
        <f>IF(H323="","",IFERROR(INDEX(VENDAS!$J$5:$J$1004,MATCH(H323,VENDAS!$A$5:$A$1004,0))&amp;"",""))</f>
        <v/>
      </c>
      <c r="L323" s="26">
        <f>IF(H323="","",SUMIFS(VENDAS!$F$5:$F$1004,VENDAS!$A$5:$A$1004,H323))</f>
        <v/>
      </c>
      <c r="M323" s="26">
        <f>IF(H323="","",SUMIFS(VENDAS!$F$5:$F$1004,VENDAS!$A$5:$A$1004,H323,VENDAS!$D$5:$D$1004,M$4))</f>
        <v/>
      </c>
      <c r="N323" s="26">
        <f>IF(H323="","",SUMIFS(VENDAS!$F$5:$F$1004,VENDAS!$A$5:$A$1004,H323,VENDAS!$D$5:$D$1004,N$4))</f>
        <v/>
      </c>
      <c r="O323" s="26">
        <f>IF(H323="","",SUMIFS(VENDAS!$F$5:$F$1004,VENDAS!$A$5:$A$1004,H323,VENDAS!$D$5:$D$1004,O$4))</f>
        <v/>
      </c>
      <c r="P323" s="26">
        <f>IF(H323="","",SUMIFS(VENDAS!$F$5:$F$1004,VENDAS!$A$5:$A$1004,H323,VENDAS!$D$5:$D$1004,P$4))</f>
        <v/>
      </c>
      <c r="Q323" s="24">
        <f>IF(H323="","",SUMIFS(VENDAS!$H$5:$H$1004,VENDAS!$A$5:$A$1004,H323))</f>
        <v/>
      </c>
      <c r="R323" s="24">
        <f>IF(H323="","",SUMIFS(VENDAS!$K$5:$K$1004,VENDAS!$A$5:$A$1004,H323))</f>
        <v/>
      </c>
      <c r="S323" s="20" t="n"/>
      <c r="T323" s="31" t="n"/>
    </row>
    <row r="324">
      <c r="H324" s="20" t="n"/>
      <c r="I324" s="30">
        <f>IF(H324="","",IFERROR(INDEX(VENDAS!$B$5:$B$1004,MATCH(H324,VENDAS!$A$5:$A$1004,0)),"não lançado"))</f>
        <v/>
      </c>
      <c r="J324" s="22">
        <f>IF(H324="","",IFERROR(INDEX(VENDAS!$M$5:$M$1004,MATCH(H324,VENDAS!$A$5:$A$1004,0))&amp;"",""))</f>
        <v/>
      </c>
      <c r="K324" s="22">
        <f>IF(H324="","",IFERROR(INDEX(VENDAS!$J$5:$J$1004,MATCH(H324,VENDAS!$A$5:$A$1004,0))&amp;"",""))</f>
        <v/>
      </c>
      <c r="L324" s="26">
        <f>IF(H324="","",SUMIFS(VENDAS!$F$5:$F$1004,VENDAS!$A$5:$A$1004,H324))</f>
        <v/>
      </c>
      <c r="M324" s="26">
        <f>IF(H324="","",SUMIFS(VENDAS!$F$5:$F$1004,VENDAS!$A$5:$A$1004,H324,VENDAS!$D$5:$D$1004,M$4))</f>
        <v/>
      </c>
      <c r="N324" s="26">
        <f>IF(H324="","",SUMIFS(VENDAS!$F$5:$F$1004,VENDAS!$A$5:$A$1004,H324,VENDAS!$D$5:$D$1004,N$4))</f>
        <v/>
      </c>
      <c r="O324" s="26">
        <f>IF(H324="","",SUMIFS(VENDAS!$F$5:$F$1004,VENDAS!$A$5:$A$1004,H324,VENDAS!$D$5:$D$1004,O$4))</f>
        <v/>
      </c>
      <c r="P324" s="26">
        <f>IF(H324="","",SUMIFS(VENDAS!$F$5:$F$1004,VENDAS!$A$5:$A$1004,H324,VENDAS!$D$5:$D$1004,P$4))</f>
        <v/>
      </c>
      <c r="Q324" s="24">
        <f>IF(H324="","",SUMIFS(VENDAS!$H$5:$H$1004,VENDAS!$A$5:$A$1004,H324))</f>
        <v/>
      </c>
      <c r="R324" s="24">
        <f>IF(H324="","",SUMIFS(VENDAS!$K$5:$K$1004,VENDAS!$A$5:$A$1004,H324))</f>
        <v/>
      </c>
      <c r="S324" s="20" t="n"/>
      <c r="T324" s="31" t="n"/>
    </row>
    <row r="325">
      <c r="H325" s="20" t="n"/>
      <c r="I325" s="30">
        <f>IF(H325="","",IFERROR(INDEX(VENDAS!$B$5:$B$1004,MATCH(H325,VENDAS!$A$5:$A$1004,0)),"não lançado"))</f>
        <v/>
      </c>
      <c r="J325" s="22">
        <f>IF(H325="","",IFERROR(INDEX(VENDAS!$M$5:$M$1004,MATCH(H325,VENDAS!$A$5:$A$1004,0))&amp;"",""))</f>
        <v/>
      </c>
      <c r="K325" s="22">
        <f>IF(H325="","",IFERROR(INDEX(VENDAS!$J$5:$J$1004,MATCH(H325,VENDAS!$A$5:$A$1004,0))&amp;"",""))</f>
        <v/>
      </c>
      <c r="L325" s="26">
        <f>IF(H325="","",SUMIFS(VENDAS!$F$5:$F$1004,VENDAS!$A$5:$A$1004,H325))</f>
        <v/>
      </c>
      <c r="M325" s="26">
        <f>IF(H325="","",SUMIFS(VENDAS!$F$5:$F$1004,VENDAS!$A$5:$A$1004,H325,VENDAS!$D$5:$D$1004,M$4))</f>
        <v/>
      </c>
      <c r="N325" s="26">
        <f>IF(H325="","",SUMIFS(VENDAS!$F$5:$F$1004,VENDAS!$A$5:$A$1004,H325,VENDAS!$D$5:$D$1004,N$4))</f>
        <v/>
      </c>
      <c r="O325" s="26">
        <f>IF(H325="","",SUMIFS(VENDAS!$F$5:$F$1004,VENDAS!$A$5:$A$1004,H325,VENDAS!$D$5:$D$1004,O$4))</f>
        <v/>
      </c>
      <c r="P325" s="26">
        <f>IF(H325="","",SUMIFS(VENDAS!$F$5:$F$1004,VENDAS!$A$5:$A$1004,H325,VENDAS!$D$5:$D$1004,P$4))</f>
        <v/>
      </c>
      <c r="Q325" s="24">
        <f>IF(H325="","",SUMIFS(VENDAS!$H$5:$H$1004,VENDAS!$A$5:$A$1004,H325))</f>
        <v/>
      </c>
      <c r="R325" s="24">
        <f>IF(H325="","",SUMIFS(VENDAS!$K$5:$K$1004,VENDAS!$A$5:$A$1004,H325))</f>
        <v/>
      </c>
      <c r="S325" s="20" t="n"/>
      <c r="T325" s="31" t="n"/>
    </row>
    <row r="326">
      <c r="H326" s="20" t="n"/>
      <c r="I326" s="30">
        <f>IF(H326="","",IFERROR(INDEX(VENDAS!$B$5:$B$1004,MATCH(H326,VENDAS!$A$5:$A$1004,0)),"não lançado"))</f>
        <v/>
      </c>
      <c r="J326" s="22">
        <f>IF(H326="","",IFERROR(INDEX(VENDAS!$M$5:$M$1004,MATCH(H326,VENDAS!$A$5:$A$1004,0))&amp;"",""))</f>
        <v/>
      </c>
      <c r="K326" s="22">
        <f>IF(H326="","",IFERROR(INDEX(VENDAS!$J$5:$J$1004,MATCH(H326,VENDAS!$A$5:$A$1004,0))&amp;"",""))</f>
        <v/>
      </c>
      <c r="L326" s="26">
        <f>IF(H326="","",SUMIFS(VENDAS!$F$5:$F$1004,VENDAS!$A$5:$A$1004,H326))</f>
        <v/>
      </c>
      <c r="M326" s="26">
        <f>IF(H326="","",SUMIFS(VENDAS!$F$5:$F$1004,VENDAS!$A$5:$A$1004,H326,VENDAS!$D$5:$D$1004,M$4))</f>
        <v/>
      </c>
      <c r="N326" s="26">
        <f>IF(H326="","",SUMIFS(VENDAS!$F$5:$F$1004,VENDAS!$A$5:$A$1004,H326,VENDAS!$D$5:$D$1004,N$4))</f>
        <v/>
      </c>
      <c r="O326" s="26">
        <f>IF(H326="","",SUMIFS(VENDAS!$F$5:$F$1004,VENDAS!$A$5:$A$1004,H326,VENDAS!$D$5:$D$1004,O$4))</f>
        <v/>
      </c>
      <c r="P326" s="26">
        <f>IF(H326="","",SUMIFS(VENDAS!$F$5:$F$1004,VENDAS!$A$5:$A$1004,H326,VENDAS!$D$5:$D$1004,P$4))</f>
        <v/>
      </c>
      <c r="Q326" s="24">
        <f>IF(H326="","",SUMIFS(VENDAS!$H$5:$H$1004,VENDAS!$A$5:$A$1004,H326))</f>
        <v/>
      </c>
      <c r="R326" s="24">
        <f>IF(H326="","",SUMIFS(VENDAS!$K$5:$K$1004,VENDAS!$A$5:$A$1004,H326))</f>
        <v/>
      </c>
      <c r="S326" s="20" t="n"/>
      <c r="T326" s="31" t="n"/>
    </row>
    <row r="327">
      <c r="H327" s="20" t="n"/>
      <c r="I327" s="30">
        <f>IF(H327="","",IFERROR(INDEX(VENDAS!$B$5:$B$1004,MATCH(H327,VENDAS!$A$5:$A$1004,0)),"não lançado"))</f>
        <v/>
      </c>
      <c r="J327" s="22">
        <f>IF(H327="","",IFERROR(INDEX(VENDAS!$M$5:$M$1004,MATCH(H327,VENDAS!$A$5:$A$1004,0))&amp;"",""))</f>
        <v/>
      </c>
      <c r="K327" s="22">
        <f>IF(H327="","",IFERROR(INDEX(VENDAS!$J$5:$J$1004,MATCH(H327,VENDAS!$A$5:$A$1004,0))&amp;"",""))</f>
        <v/>
      </c>
      <c r="L327" s="26">
        <f>IF(H327="","",SUMIFS(VENDAS!$F$5:$F$1004,VENDAS!$A$5:$A$1004,H327))</f>
        <v/>
      </c>
      <c r="M327" s="26">
        <f>IF(H327="","",SUMIFS(VENDAS!$F$5:$F$1004,VENDAS!$A$5:$A$1004,H327,VENDAS!$D$5:$D$1004,M$4))</f>
        <v/>
      </c>
      <c r="N327" s="26">
        <f>IF(H327="","",SUMIFS(VENDAS!$F$5:$F$1004,VENDAS!$A$5:$A$1004,H327,VENDAS!$D$5:$D$1004,N$4))</f>
        <v/>
      </c>
      <c r="O327" s="26">
        <f>IF(H327="","",SUMIFS(VENDAS!$F$5:$F$1004,VENDAS!$A$5:$A$1004,H327,VENDAS!$D$5:$D$1004,O$4))</f>
        <v/>
      </c>
      <c r="P327" s="26">
        <f>IF(H327="","",SUMIFS(VENDAS!$F$5:$F$1004,VENDAS!$A$5:$A$1004,H327,VENDAS!$D$5:$D$1004,P$4))</f>
        <v/>
      </c>
      <c r="Q327" s="24">
        <f>IF(H327="","",SUMIFS(VENDAS!$H$5:$H$1004,VENDAS!$A$5:$A$1004,H327))</f>
        <v/>
      </c>
      <c r="R327" s="24">
        <f>IF(H327="","",SUMIFS(VENDAS!$K$5:$K$1004,VENDAS!$A$5:$A$1004,H327))</f>
        <v/>
      </c>
      <c r="S327" s="20" t="n"/>
      <c r="T327" s="31" t="n"/>
    </row>
    <row r="328">
      <c r="H328" s="20" t="n"/>
      <c r="I328" s="30">
        <f>IF(H328="","",IFERROR(INDEX(VENDAS!$B$5:$B$1004,MATCH(H328,VENDAS!$A$5:$A$1004,0)),"não lançado"))</f>
        <v/>
      </c>
      <c r="J328" s="22">
        <f>IF(H328="","",IFERROR(INDEX(VENDAS!$M$5:$M$1004,MATCH(H328,VENDAS!$A$5:$A$1004,0))&amp;"",""))</f>
        <v/>
      </c>
      <c r="K328" s="22">
        <f>IF(H328="","",IFERROR(INDEX(VENDAS!$J$5:$J$1004,MATCH(H328,VENDAS!$A$5:$A$1004,0))&amp;"",""))</f>
        <v/>
      </c>
      <c r="L328" s="26">
        <f>IF(H328="","",SUMIFS(VENDAS!$F$5:$F$1004,VENDAS!$A$5:$A$1004,H328))</f>
        <v/>
      </c>
      <c r="M328" s="26">
        <f>IF(H328="","",SUMIFS(VENDAS!$F$5:$F$1004,VENDAS!$A$5:$A$1004,H328,VENDAS!$D$5:$D$1004,M$4))</f>
        <v/>
      </c>
      <c r="N328" s="26">
        <f>IF(H328="","",SUMIFS(VENDAS!$F$5:$F$1004,VENDAS!$A$5:$A$1004,H328,VENDAS!$D$5:$D$1004,N$4))</f>
        <v/>
      </c>
      <c r="O328" s="26">
        <f>IF(H328="","",SUMIFS(VENDAS!$F$5:$F$1004,VENDAS!$A$5:$A$1004,H328,VENDAS!$D$5:$D$1004,O$4))</f>
        <v/>
      </c>
      <c r="P328" s="26">
        <f>IF(H328="","",SUMIFS(VENDAS!$F$5:$F$1004,VENDAS!$A$5:$A$1004,H328,VENDAS!$D$5:$D$1004,P$4))</f>
        <v/>
      </c>
      <c r="Q328" s="24">
        <f>IF(H328="","",SUMIFS(VENDAS!$H$5:$H$1004,VENDAS!$A$5:$A$1004,H328))</f>
        <v/>
      </c>
      <c r="R328" s="24">
        <f>IF(H328="","",SUMIFS(VENDAS!$K$5:$K$1004,VENDAS!$A$5:$A$1004,H328))</f>
        <v/>
      </c>
      <c r="S328" s="20" t="n"/>
      <c r="T328" s="31" t="n"/>
    </row>
    <row r="329">
      <c r="H329" s="20" t="n"/>
      <c r="I329" s="30">
        <f>IF(H329="","",IFERROR(INDEX(VENDAS!$B$5:$B$1004,MATCH(H329,VENDAS!$A$5:$A$1004,0)),"não lançado"))</f>
        <v/>
      </c>
      <c r="J329" s="22">
        <f>IF(H329="","",IFERROR(INDEX(VENDAS!$M$5:$M$1004,MATCH(H329,VENDAS!$A$5:$A$1004,0))&amp;"",""))</f>
        <v/>
      </c>
      <c r="K329" s="22">
        <f>IF(H329="","",IFERROR(INDEX(VENDAS!$J$5:$J$1004,MATCH(H329,VENDAS!$A$5:$A$1004,0))&amp;"",""))</f>
        <v/>
      </c>
      <c r="L329" s="26">
        <f>IF(H329="","",SUMIFS(VENDAS!$F$5:$F$1004,VENDAS!$A$5:$A$1004,H329))</f>
        <v/>
      </c>
      <c r="M329" s="26">
        <f>IF(H329="","",SUMIFS(VENDAS!$F$5:$F$1004,VENDAS!$A$5:$A$1004,H329,VENDAS!$D$5:$D$1004,M$4))</f>
        <v/>
      </c>
      <c r="N329" s="26">
        <f>IF(H329="","",SUMIFS(VENDAS!$F$5:$F$1004,VENDAS!$A$5:$A$1004,H329,VENDAS!$D$5:$D$1004,N$4))</f>
        <v/>
      </c>
      <c r="O329" s="26">
        <f>IF(H329="","",SUMIFS(VENDAS!$F$5:$F$1004,VENDAS!$A$5:$A$1004,H329,VENDAS!$D$5:$D$1004,O$4))</f>
        <v/>
      </c>
      <c r="P329" s="26">
        <f>IF(H329="","",SUMIFS(VENDAS!$F$5:$F$1004,VENDAS!$A$5:$A$1004,H329,VENDAS!$D$5:$D$1004,P$4))</f>
        <v/>
      </c>
      <c r="Q329" s="24">
        <f>IF(H329="","",SUMIFS(VENDAS!$H$5:$H$1004,VENDAS!$A$5:$A$1004,H329))</f>
        <v/>
      </c>
      <c r="R329" s="24">
        <f>IF(H329="","",SUMIFS(VENDAS!$K$5:$K$1004,VENDAS!$A$5:$A$1004,H329))</f>
        <v/>
      </c>
      <c r="S329" s="20" t="n"/>
      <c r="T329" s="31" t="n"/>
    </row>
    <row r="330">
      <c r="H330" s="20" t="n"/>
      <c r="I330" s="30">
        <f>IF(H330="","",IFERROR(INDEX(VENDAS!$B$5:$B$1004,MATCH(H330,VENDAS!$A$5:$A$1004,0)),"não lançado"))</f>
        <v/>
      </c>
      <c r="J330" s="22">
        <f>IF(H330="","",IFERROR(INDEX(VENDAS!$M$5:$M$1004,MATCH(H330,VENDAS!$A$5:$A$1004,0))&amp;"",""))</f>
        <v/>
      </c>
      <c r="K330" s="22">
        <f>IF(H330="","",IFERROR(INDEX(VENDAS!$J$5:$J$1004,MATCH(H330,VENDAS!$A$5:$A$1004,0))&amp;"",""))</f>
        <v/>
      </c>
      <c r="L330" s="26">
        <f>IF(H330="","",SUMIFS(VENDAS!$F$5:$F$1004,VENDAS!$A$5:$A$1004,H330))</f>
        <v/>
      </c>
      <c r="M330" s="26">
        <f>IF(H330="","",SUMIFS(VENDAS!$F$5:$F$1004,VENDAS!$A$5:$A$1004,H330,VENDAS!$D$5:$D$1004,M$4))</f>
        <v/>
      </c>
      <c r="N330" s="26">
        <f>IF(H330="","",SUMIFS(VENDAS!$F$5:$F$1004,VENDAS!$A$5:$A$1004,H330,VENDAS!$D$5:$D$1004,N$4))</f>
        <v/>
      </c>
      <c r="O330" s="26">
        <f>IF(H330="","",SUMIFS(VENDAS!$F$5:$F$1004,VENDAS!$A$5:$A$1004,H330,VENDAS!$D$5:$D$1004,O$4))</f>
        <v/>
      </c>
      <c r="P330" s="26">
        <f>IF(H330="","",SUMIFS(VENDAS!$F$5:$F$1004,VENDAS!$A$5:$A$1004,H330,VENDAS!$D$5:$D$1004,P$4))</f>
        <v/>
      </c>
      <c r="Q330" s="24">
        <f>IF(H330="","",SUMIFS(VENDAS!$H$5:$H$1004,VENDAS!$A$5:$A$1004,H330))</f>
        <v/>
      </c>
      <c r="R330" s="24">
        <f>IF(H330="","",SUMIFS(VENDAS!$K$5:$K$1004,VENDAS!$A$5:$A$1004,H330))</f>
        <v/>
      </c>
      <c r="S330" s="20" t="n"/>
      <c r="T330" s="31" t="n"/>
    </row>
    <row r="331">
      <c r="H331" s="20" t="n"/>
      <c r="I331" s="30">
        <f>IF(H331="","",IFERROR(INDEX(VENDAS!$B$5:$B$1004,MATCH(H331,VENDAS!$A$5:$A$1004,0)),"não lançado"))</f>
        <v/>
      </c>
      <c r="J331" s="22">
        <f>IF(H331="","",IFERROR(INDEX(VENDAS!$M$5:$M$1004,MATCH(H331,VENDAS!$A$5:$A$1004,0))&amp;"",""))</f>
        <v/>
      </c>
      <c r="K331" s="22">
        <f>IF(H331="","",IFERROR(INDEX(VENDAS!$J$5:$J$1004,MATCH(H331,VENDAS!$A$5:$A$1004,0))&amp;"",""))</f>
        <v/>
      </c>
      <c r="L331" s="26">
        <f>IF(H331="","",SUMIFS(VENDAS!$F$5:$F$1004,VENDAS!$A$5:$A$1004,H331))</f>
        <v/>
      </c>
      <c r="M331" s="26">
        <f>IF(H331="","",SUMIFS(VENDAS!$F$5:$F$1004,VENDAS!$A$5:$A$1004,H331,VENDAS!$D$5:$D$1004,M$4))</f>
        <v/>
      </c>
      <c r="N331" s="26">
        <f>IF(H331="","",SUMIFS(VENDAS!$F$5:$F$1004,VENDAS!$A$5:$A$1004,H331,VENDAS!$D$5:$D$1004,N$4))</f>
        <v/>
      </c>
      <c r="O331" s="26">
        <f>IF(H331="","",SUMIFS(VENDAS!$F$5:$F$1004,VENDAS!$A$5:$A$1004,H331,VENDAS!$D$5:$D$1004,O$4))</f>
        <v/>
      </c>
      <c r="P331" s="26">
        <f>IF(H331="","",SUMIFS(VENDAS!$F$5:$F$1004,VENDAS!$A$5:$A$1004,H331,VENDAS!$D$5:$D$1004,P$4))</f>
        <v/>
      </c>
      <c r="Q331" s="24">
        <f>IF(H331="","",SUMIFS(VENDAS!$H$5:$H$1004,VENDAS!$A$5:$A$1004,H331))</f>
        <v/>
      </c>
      <c r="R331" s="24">
        <f>IF(H331="","",SUMIFS(VENDAS!$K$5:$K$1004,VENDAS!$A$5:$A$1004,H331))</f>
        <v/>
      </c>
      <c r="S331" s="20" t="n"/>
      <c r="T331" s="31" t="n"/>
    </row>
    <row r="332">
      <c r="H332" s="20" t="n"/>
      <c r="I332" s="30">
        <f>IF(H332="","",IFERROR(INDEX(VENDAS!$B$5:$B$1004,MATCH(H332,VENDAS!$A$5:$A$1004,0)),"não lançado"))</f>
        <v/>
      </c>
      <c r="J332" s="22">
        <f>IF(H332="","",IFERROR(INDEX(VENDAS!$M$5:$M$1004,MATCH(H332,VENDAS!$A$5:$A$1004,0))&amp;"",""))</f>
        <v/>
      </c>
      <c r="K332" s="22">
        <f>IF(H332="","",IFERROR(INDEX(VENDAS!$J$5:$J$1004,MATCH(H332,VENDAS!$A$5:$A$1004,0))&amp;"",""))</f>
        <v/>
      </c>
      <c r="L332" s="26">
        <f>IF(H332="","",SUMIFS(VENDAS!$F$5:$F$1004,VENDAS!$A$5:$A$1004,H332))</f>
        <v/>
      </c>
      <c r="M332" s="26">
        <f>IF(H332="","",SUMIFS(VENDAS!$F$5:$F$1004,VENDAS!$A$5:$A$1004,H332,VENDAS!$D$5:$D$1004,M$4))</f>
        <v/>
      </c>
      <c r="N332" s="26">
        <f>IF(H332="","",SUMIFS(VENDAS!$F$5:$F$1004,VENDAS!$A$5:$A$1004,H332,VENDAS!$D$5:$D$1004,N$4))</f>
        <v/>
      </c>
      <c r="O332" s="26">
        <f>IF(H332="","",SUMIFS(VENDAS!$F$5:$F$1004,VENDAS!$A$5:$A$1004,H332,VENDAS!$D$5:$D$1004,O$4))</f>
        <v/>
      </c>
      <c r="P332" s="26">
        <f>IF(H332="","",SUMIFS(VENDAS!$F$5:$F$1004,VENDAS!$A$5:$A$1004,H332,VENDAS!$D$5:$D$1004,P$4))</f>
        <v/>
      </c>
      <c r="Q332" s="24">
        <f>IF(H332="","",SUMIFS(VENDAS!$H$5:$H$1004,VENDAS!$A$5:$A$1004,H332))</f>
        <v/>
      </c>
      <c r="R332" s="24">
        <f>IF(H332="","",SUMIFS(VENDAS!$K$5:$K$1004,VENDAS!$A$5:$A$1004,H332))</f>
        <v/>
      </c>
      <c r="S332" s="20" t="n"/>
      <c r="T332" s="31" t="n"/>
    </row>
    <row r="333">
      <c r="H333" s="20" t="n"/>
      <c r="I333" s="30">
        <f>IF(H333="","",IFERROR(INDEX(VENDAS!$B$5:$B$1004,MATCH(H333,VENDAS!$A$5:$A$1004,0)),"não lançado"))</f>
        <v/>
      </c>
      <c r="J333" s="22">
        <f>IF(H333="","",IFERROR(INDEX(VENDAS!$M$5:$M$1004,MATCH(H333,VENDAS!$A$5:$A$1004,0))&amp;"",""))</f>
        <v/>
      </c>
      <c r="K333" s="22">
        <f>IF(H333="","",IFERROR(INDEX(VENDAS!$J$5:$J$1004,MATCH(H333,VENDAS!$A$5:$A$1004,0))&amp;"",""))</f>
        <v/>
      </c>
      <c r="L333" s="26">
        <f>IF(H333="","",SUMIFS(VENDAS!$F$5:$F$1004,VENDAS!$A$5:$A$1004,H333))</f>
        <v/>
      </c>
      <c r="M333" s="26">
        <f>IF(H333="","",SUMIFS(VENDAS!$F$5:$F$1004,VENDAS!$A$5:$A$1004,H333,VENDAS!$D$5:$D$1004,M$4))</f>
        <v/>
      </c>
      <c r="N333" s="26">
        <f>IF(H333="","",SUMIFS(VENDAS!$F$5:$F$1004,VENDAS!$A$5:$A$1004,H333,VENDAS!$D$5:$D$1004,N$4))</f>
        <v/>
      </c>
      <c r="O333" s="26">
        <f>IF(H333="","",SUMIFS(VENDAS!$F$5:$F$1004,VENDAS!$A$5:$A$1004,H333,VENDAS!$D$5:$D$1004,O$4))</f>
        <v/>
      </c>
      <c r="P333" s="26">
        <f>IF(H333="","",SUMIFS(VENDAS!$F$5:$F$1004,VENDAS!$A$5:$A$1004,H333,VENDAS!$D$5:$D$1004,P$4))</f>
        <v/>
      </c>
      <c r="Q333" s="24">
        <f>IF(H333="","",SUMIFS(VENDAS!$H$5:$H$1004,VENDAS!$A$5:$A$1004,H333))</f>
        <v/>
      </c>
      <c r="R333" s="24">
        <f>IF(H333="","",SUMIFS(VENDAS!$K$5:$K$1004,VENDAS!$A$5:$A$1004,H333))</f>
        <v/>
      </c>
      <c r="S333" s="20" t="n"/>
      <c r="T333" s="31" t="n"/>
    </row>
    <row r="334">
      <c r="H334" s="20" t="n"/>
      <c r="I334" s="30">
        <f>IF(H334="","",IFERROR(INDEX(VENDAS!$B$5:$B$1004,MATCH(H334,VENDAS!$A$5:$A$1004,0)),"não lançado"))</f>
        <v/>
      </c>
      <c r="J334" s="22">
        <f>IF(H334="","",IFERROR(INDEX(VENDAS!$M$5:$M$1004,MATCH(H334,VENDAS!$A$5:$A$1004,0))&amp;"",""))</f>
        <v/>
      </c>
      <c r="K334" s="22">
        <f>IF(H334="","",IFERROR(INDEX(VENDAS!$J$5:$J$1004,MATCH(H334,VENDAS!$A$5:$A$1004,0))&amp;"",""))</f>
        <v/>
      </c>
      <c r="L334" s="26">
        <f>IF(H334="","",SUMIFS(VENDAS!$F$5:$F$1004,VENDAS!$A$5:$A$1004,H334))</f>
        <v/>
      </c>
      <c r="M334" s="26">
        <f>IF(H334="","",SUMIFS(VENDAS!$F$5:$F$1004,VENDAS!$A$5:$A$1004,H334,VENDAS!$D$5:$D$1004,M$4))</f>
        <v/>
      </c>
      <c r="N334" s="26">
        <f>IF(H334="","",SUMIFS(VENDAS!$F$5:$F$1004,VENDAS!$A$5:$A$1004,H334,VENDAS!$D$5:$D$1004,N$4))</f>
        <v/>
      </c>
      <c r="O334" s="26">
        <f>IF(H334="","",SUMIFS(VENDAS!$F$5:$F$1004,VENDAS!$A$5:$A$1004,H334,VENDAS!$D$5:$D$1004,O$4))</f>
        <v/>
      </c>
      <c r="P334" s="26">
        <f>IF(H334="","",SUMIFS(VENDAS!$F$5:$F$1004,VENDAS!$A$5:$A$1004,H334,VENDAS!$D$5:$D$1004,P$4))</f>
        <v/>
      </c>
      <c r="Q334" s="24">
        <f>IF(H334="","",SUMIFS(VENDAS!$H$5:$H$1004,VENDAS!$A$5:$A$1004,H334))</f>
        <v/>
      </c>
      <c r="R334" s="24">
        <f>IF(H334="","",SUMIFS(VENDAS!$K$5:$K$1004,VENDAS!$A$5:$A$1004,H334))</f>
        <v/>
      </c>
      <c r="S334" s="20" t="n"/>
      <c r="T334" s="31" t="n"/>
    </row>
    <row r="335">
      <c r="H335" s="20" t="n"/>
      <c r="I335" s="30">
        <f>IF(H335="","",IFERROR(INDEX(VENDAS!$B$5:$B$1004,MATCH(H335,VENDAS!$A$5:$A$1004,0)),"não lançado"))</f>
        <v/>
      </c>
      <c r="J335" s="22">
        <f>IF(H335="","",IFERROR(INDEX(VENDAS!$M$5:$M$1004,MATCH(H335,VENDAS!$A$5:$A$1004,0))&amp;"",""))</f>
        <v/>
      </c>
      <c r="K335" s="22">
        <f>IF(H335="","",IFERROR(INDEX(VENDAS!$J$5:$J$1004,MATCH(H335,VENDAS!$A$5:$A$1004,0))&amp;"",""))</f>
        <v/>
      </c>
      <c r="L335" s="26">
        <f>IF(H335="","",SUMIFS(VENDAS!$F$5:$F$1004,VENDAS!$A$5:$A$1004,H335))</f>
        <v/>
      </c>
      <c r="M335" s="26">
        <f>IF(H335="","",SUMIFS(VENDAS!$F$5:$F$1004,VENDAS!$A$5:$A$1004,H335,VENDAS!$D$5:$D$1004,M$4))</f>
        <v/>
      </c>
      <c r="N335" s="26">
        <f>IF(H335="","",SUMIFS(VENDAS!$F$5:$F$1004,VENDAS!$A$5:$A$1004,H335,VENDAS!$D$5:$D$1004,N$4))</f>
        <v/>
      </c>
      <c r="O335" s="26">
        <f>IF(H335="","",SUMIFS(VENDAS!$F$5:$F$1004,VENDAS!$A$5:$A$1004,H335,VENDAS!$D$5:$D$1004,O$4))</f>
        <v/>
      </c>
      <c r="P335" s="26">
        <f>IF(H335="","",SUMIFS(VENDAS!$F$5:$F$1004,VENDAS!$A$5:$A$1004,H335,VENDAS!$D$5:$D$1004,P$4))</f>
        <v/>
      </c>
      <c r="Q335" s="24">
        <f>IF(H335="","",SUMIFS(VENDAS!$H$5:$H$1004,VENDAS!$A$5:$A$1004,H335))</f>
        <v/>
      </c>
      <c r="R335" s="24">
        <f>IF(H335="","",SUMIFS(VENDAS!$K$5:$K$1004,VENDAS!$A$5:$A$1004,H335))</f>
        <v/>
      </c>
      <c r="S335" s="20" t="n"/>
      <c r="T335" s="31" t="n"/>
    </row>
    <row r="336">
      <c r="H336" s="20" t="n"/>
      <c r="I336" s="30">
        <f>IF(H336="","",IFERROR(INDEX(VENDAS!$B$5:$B$1004,MATCH(H336,VENDAS!$A$5:$A$1004,0)),"não lançado"))</f>
        <v/>
      </c>
      <c r="J336" s="22">
        <f>IF(H336="","",IFERROR(INDEX(VENDAS!$M$5:$M$1004,MATCH(H336,VENDAS!$A$5:$A$1004,0))&amp;"",""))</f>
        <v/>
      </c>
      <c r="K336" s="22">
        <f>IF(H336="","",IFERROR(INDEX(VENDAS!$J$5:$J$1004,MATCH(H336,VENDAS!$A$5:$A$1004,0))&amp;"",""))</f>
        <v/>
      </c>
      <c r="L336" s="26">
        <f>IF(H336="","",SUMIFS(VENDAS!$F$5:$F$1004,VENDAS!$A$5:$A$1004,H336))</f>
        <v/>
      </c>
      <c r="M336" s="26">
        <f>IF(H336="","",SUMIFS(VENDAS!$F$5:$F$1004,VENDAS!$A$5:$A$1004,H336,VENDAS!$D$5:$D$1004,M$4))</f>
        <v/>
      </c>
      <c r="N336" s="26">
        <f>IF(H336="","",SUMIFS(VENDAS!$F$5:$F$1004,VENDAS!$A$5:$A$1004,H336,VENDAS!$D$5:$D$1004,N$4))</f>
        <v/>
      </c>
      <c r="O336" s="26">
        <f>IF(H336="","",SUMIFS(VENDAS!$F$5:$F$1004,VENDAS!$A$5:$A$1004,H336,VENDAS!$D$5:$D$1004,O$4))</f>
        <v/>
      </c>
      <c r="P336" s="26">
        <f>IF(H336="","",SUMIFS(VENDAS!$F$5:$F$1004,VENDAS!$A$5:$A$1004,H336,VENDAS!$D$5:$D$1004,P$4))</f>
        <v/>
      </c>
      <c r="Q336" s="24">
        <f>IF(H336="","",SUMIFS(VENDAS!$H$5:$H$1004,VENDAS!$A$5:$A$1004,H336))</f>
        <v/>
      </c>
      <c r="R336" s="24">
        <f>IF(H336="","",SUMIFS(VENDAS!$K$5:$K$1004,VENDAS!$A$5:$A$1004,H336))</f>
        <v/>
      </c>
      <c r="S336" s="20" t="n"/>
      <c r="T336" s="31" t="n"/>
    </row>
    <row r="337">
      <c r="H337" s="20" t="n"/>
      <c r="I337" s="30">
        <f>IF(H337="","",IFERROR(INDEX(VENDAS!$B$5:$B$1004,MATCH(H337,VENDAS!$A$5:$A$1004,0)),"não lançado"))</f>
        <v/>
      </c>
      <c r="J337" s="22">
        <f>IF(H337="","",IFERROR(INDEX(VENDAS!$M$5:$M$1004,MATCH(H337,VENDAS!$A$5:$A$1004,0))&amp;"",""))</f>
        <v/>
      </c>
      <c r="K337" s="22">
        <f>IF(H337="","",IFERROR(INDEX(VENDAS!$J$5:$J$1004,MATCH(H337,VENDAS!$A$5:$A$1004,0))&amp;"",""))</f>
        <v/>
      </c>
      <c r="L337" s="26">
        <f>IF(H337="","",SUMIFS(VENDAS!$F$5:$F$1004,VENDAS!$A$5:$A$1004,H337))</f>
        <v/>
      </c>
      <c r="M337" s="26">
        <f>IF(H337="","",SUMIFS(VENDAS!$F$5:$F$1004,VENDAS!$A$5:$A$1004,H337,VENDAS!$D$5:$D$1004,M$4))</f>
        <v/>
      </c>
      <c r="N337" s="26">
        <f>IF(H337="","",SUMIFS(VENDAS!$F$5:$F$1004,VENDAS!$A$5:$A$1004,H337,VENDAS!$D$5:$D$1004,N$4))</f>
        <v/>
      </c>
      <c r="O337" s="26">
        <f>IF(H337="","",SUMIFS(VENDAS!$F$5:$F$1004,VENDAS!$A$5:$A$1004,H337,VENDAS!$D$5:$D$1004,O$4))</f>
        <v/>
      </c>
      <c r="P337" s="26">
        <f>IF(H337="","",SUMIFS(VENDAS!$F$5:$F$1004,VENDAS!$A$5:$A$1004,H337,VENDAS!$D$5:$D$1004,P$4))</f>
        <v/>
      </c>
      <c r="Q337" s="24">
        <f>IF(H337="","",SUMIFS(VENDAS!$H$5:$H$1004,VENDAS!$A$5:$A$1004,H337))</f>
        <v/>
      </c>
      <c r="R337" s="24">
        <f>IF(H337="","",SUMIFS(VENDAS!$K$5:$K$1004,VENDAS!$A$5:$A$1004,H337))</f>
        <v/>
      </c>
      <c r="S337" s="20" t="n"/>
      <c r="T337" s="31" t="n"/>
    </row>
    <row r="338">
      <c r="H338" s="20" t="n"/>
      <c r="I338" s="30">
        <f>IF(H338="","",IFERROR(INDEX(VENDAS!$B$5:$B$1004,MATCH(H338,VENDAS!$A$5:$A$1004,0)),"não lançado"))</f>
        <v/>
      </c>
      <c r="J338" s="22">
        <f>IF(H338="","",IFERROR(INDEX(VENDAS!$M$5:$M$1004,MATCH(H338,VENDAS!$A$5:$A$1004,0))&amp;"",""))</f>
        <v/>
      </c>
      <c r="K338" s="22">
        <f>IF(H338="","",IFERROR(INDEX(VENDAS!$J$5:$J$1004,MATCH(H338,VENDAS!$A$5:$A$1004,0))&amp;"",""))</f>
        <v/>
      </c>
      <c r="L338" s="26">
        <f>IF(H338="","",SUMIFS(VENDAS!$F$5:$F$1004,VENDAS!$A$5:$A$1004,H338))</f>
        <v/>
      </c>
      <c r="M338" s="26">
        <f>IF(H338="","",SUMIFS(VENDAS!$F$5:$F$1004,VENDAS!$A$5:$A$1004,H338,VENDAS!$D$5:$D$1004,M$4))</f>
        <v/>
      </c>
      <c r="N338" s="26">
        <f>IF(H338="","",SUMIFS(VENDAS!$F$5:$F$1004,VENDAS!$A$5:$A$1004,H338,VENDAS!$D$5:$D$1004,N$4))</f>
        <v/>
      </c>
      <c r="O338" s="26">
        <f>IF(H338="","",SUMIFS(VENDAS!$F$5:$F$1004,VENDAS!$A$5:$A$1004,H338,VENDAS!$D$5:$D$1004,O$4))</f>
        <v/>
      </c>
      <c r="P338" s="26">
        <f>IF(H338="","",SUMIFS(VENDAS!$F$5:$F$1004,VENDAS!$A$5:$A$1004,H338,VENDAS!$D$5:$D$1004,P$4))</f>
        <v/>
      </c>
      <c r="Q338" s="24">
        <f>IF(H338="","",SUMIFS(VENDAS!$H$5:$H$1004,VENDAS!$A$5:$A$1004,H338))</f>
        <v/>
      </c>
      <c r="R338" s="24">
        <f>IF(H338="","",SUMIFS(VENDAS!$K$5:$K$1004,VENDAS!$A$5:$A$1004,H338))</f>
        <v/>
      </c>
      <c r="S338" s="20" t="n"/>
      <c r="T338" s="31" t="n"/>
    </row>
    <row r="339">
      <c r="H339" s="20" t="n"/>
      <c r="I339" s="30">
        <f>IF(H339="","",IFERROR(INDEX(VENDAS!$B$5:$B$1004,MATCH(H339,VENDAS!$A$5:$A$1004,0)),"não lançado"))</f>
        <v/>
      </c>
      <c r="J339" s="22">
        <f>IF(H339="","",IFERROR(INDEX(VENDAS!$M$5:$M$1004,MATCH(H339,VENDAS!$A$5:$A$1004,0))&amp;"",""))</f>
        <v/>
      </c>
      <c r="K339" s="22">
        <f>IF(H339="","",IFERROR(INDEX(VENDAS!$J$5:$J$1004,MATCH(H339,VENDAS!$A$5:$A$1004,0))&amp;"",""))</f>
        <v/>
      </c>
      <c r="L339" s="26">
        <f>IF(H339="","",SUMIFS(VENDAS!$F$5:$F$1004,VENDAS!$A$5:$A$1004,H339))</f>
        <v/>
      </c>
      <c r="M339" s="26">
        <f>IF(H339="","",SUMIFS(VENDAS!$F$5:$F$1004,VENDAS!$A$5:$A$1004,H339,VENDAS!$D$5:$D$1004,M$4))</f>
        <v/>
      </c>
      <c r="N339" s="26">
        <f>IF(H339="","",SUMIFS(VENDAS!$F$5:$F$1004,VENDAS!$A$5:$A$1004,H339,VENDAS!$D$5:$D$1004,N$4))</f>
        <v/>
      </c>
      <c r="O339" s="26">
        <f>IF(H339="","",SUMIFS(VENDAS!$F$5:$F$1004,VENDAS!$A$5:$A$1004,H339,VENDAS!$D$5:$D$1004,O$4))</f>
        <v/>
      </c>
      <c r="P339" s="26">
        <f>IF(H339="","",SUMIFS(VENDAS!$F$5:$F$1004,VENDAS!$A$5:$A$1004,H339,VENDAS!$D$5:$D$1004,P$4))</f>
        <v/>
      </c>
      <c r="Q339" s="24">
        <f>IF(H339="","",SUMIFS(VENDAS!$H$5:$H$1004,VENDAS!$A$5:$A$1004,H339))</f>
        <v/>
      </c>
      <c r="R339" s="24">
        <f>IF(H339="","",SUMIFS(VENDAS!$K$5:$K$1004,VENDAS!$A$5:$A$1004,H339))</f>
        <v/>
      </c>
      <c r="S339" s="20" t="n"/>
      <c r="T339" s="31" t="n"/>
    </row>
    <row r="340">
      <c r="H340" s="20" t="n"/>
      <c r="I340" s="30">
        <f>IF(H340="","",IFERROR(INDEX(VENDAS!$B$5:$B$1004,MATCH(H340,VENDAS!$A$5:$A$1004,0)),"não lançado"))</f>
        <v/>
      </c>
      <c r="J340" s="22">
        <f>IF(H340="","",IFERROR(INDEX(VENDAS!$M$5:$M$1004,MATCH(H340,VENDAS!$A$5:$A$1004,0))&amp;"",""))</f>
        <v/>
      </c>
      <c r="K340" s="22">
        <f>IF(H340="","",IFERROR(INDEX(VENDAS!$J$5:$J$1004,MATCH(H340,VENDAS!$A$5:$A$1004,0))&amp;"",""))</f>
        <v/>
      </c>
      <c r="L340" s="26">
        <f>IF(H340="","",SUMIFS(VENDAS!$F$5:$F$1004,VENDAS!$A$5:$A$1004,H340))</f>
        <v/>
      </c>
      <c r="M340" s="26">
        <f>IF(H340="","",SUMIFS(VENDAS!$F$5:$F$1004,VENDAS!$A$5:$A$1004,H340,VENDAS!$D$5:$D$1004,M$4))</f>
        <v/>
      </c>
      <c r="N340" s="26">
        <f>IF(H340="","",SUMIFS(VENDAS!$F$5:$F$1004,VENDAS!$A$5:$A$1004,H340,VENDAS!$D$5:$D$1004,N$4))</f>
        <v/>
      </c>
      <c r="O340" s="26">
        <f>IF(H340="","",SUMIFS(VENDAS!$F$5:$F$1004,VENDAS!$A$5:$A$1004,H340,VENDAS!$D$5:$D$1004,O$4))</f>
        <v/>
      </c>
      <c r="P340" s="26">
        <f>IF(H340="","",SUMIFS(VENDAS!$F$5:$F$1004,VENDAS!$A$5:$A$1004,H340,VENDAS!$D$5:$D$1004,P$4))</f>
        <v/>
      </c>
      <c r="Q340" s="24">
        <f>IF(H340="","",SUMIFS(VENDAS!$H$5:$H$1004,VENDAS!$A$5:$A$1004,H340))</f>
        <v/>
      </c>
      <c r="R340" s="24">
        <f>IF(H340="","",SUMIFS(VENDAS!$K$5:$K$1004,VENDAS!$A$5:$A$1004,H340))</f>
        <v/>
      </c>
      <c r="S340" s="20" t="n"/>
      <c r="T340" s="31" t="n"/>
    </row>
    <row r="341">
      <c r="H341" s="20" t="n"/>
      <c r="I341" s="30">
        <f>IF(H341="","",IFERROR(INDEX(VENDAS!$B$5:$B$1004,MATCH(H341,VENDAS!$A$5:$A$1004,0)),"não lançado"))</f>
        <v/>
      </c>
      <c r="J341" s="22">
        <f>IF(H341="","",IFERROR(INDEX(VENDAS!$M$5:$M$1004,MATCH(H341,VENDAS!$A$5:$A$1004,0))&amp;"",""))</f>
        <v/>
      </c>
      <c r="K341" s="22">
        <f>IF(H341="","",IFERROR(INDEX(VENDAS!$J$5:$J$1004,MATCH(H341,VENDAS!$A$5:$A$1004,0))&amp;"",""))</f>
        <v/>
      </c>
      <c r="L341" s="26">
        <f>IF(H341="","",SUMIFS(VENDAS!$F$5:$F$1004,VENDAS!$A$5:$A$1004,H341))</f>
        <v/>
      </c>
      <c r="M341" s="26">
        <f>IF(H341="","",SUMIFS(VENDAS!$F$5:$F$1004,VENDAS!$A$5:$A$1004,H341,VENDAS!$D$5:$D$1004,M$4))</f>
        <v/>
      </c>
      <c r="N341" s="26">
        <f>IF(H341="","",SUMIFS(VENDAS!$F$5:$F$1004,VENDAS!$A$5:$A$1004,H341,VENDAS!$D$5:$D$1004,N$4))</f>
        <v/>
      </c>
      <c r="O341" s="26">
        <f>IF(H341="","",SUMIFS(VENDAS!$F$5:$F$1004,VENDAS!$A$5:$A$1004,H341,VENDAS!$D$5:$D$1004,O$4))</f>
        <v/>
      </c>
      <c r="P341" s="26">
        <f>IF(H341="","",SUMIFS(VENDAS!$F$5:$F$1004,VENDAS!$A$5:$A$1004,H341,VENDAS!$D$5:$D$1004,P$4))</f>
        <v/>
      </c>
      <c r="Q341" s="24">
        <f>IF(H341="","",SUMIFS(VENDAS!$H$5:$H$1004,VENDAS!$A$5:$A$1004,H341))</f>
        <v/>
      </c>
      <c r="R341" s="24">
        <f>IF(H341="","",SUMIFS(VENDAS!$K$5:$K$1004,VENDAS!$A$5:$A$1004,H341))</f>
        <v/>
      </c>
      <c r="S341" s="20" t="n"/>
      <c r="T341" s="31" t="n"/>
    </row>
    <row r="342">
      <c r="H342" s="20" t="n"/>
      <c r="I342" s="30">
        <f>IF(H342="","",IFERROR(INDEX(VENDAS!$B$5:$B$1004,MATCH(H342,VENDAS!$A$5:$A$1004,0)),"não lançado"))</f>
        <v/>
      </c>
      <c r="J342" s="22">
        <f>IF(H342="","",IFERROR(INDEX(VENDAS!$M$5:$M$1004,MATCH(H342,VENDAS!$A$5:$A$1004,0))&amp;"",""))</f>
        <v/>
      </c>
      <c r="K342" s="22">
        <f>IF(H342="","",IFERROR(INDEX(VENDAS!$J$5:$J$1004,MATCH(H342,VENDAS!$A$5:$A$1004,0))&amp;"",""))</f>
        <v/>
      </c>
      <c r="L342" s="26">
        <f>IF(H342="","",SUMIFS(VENDAS!$F$5:$F$1004,VENDAS!$A$5:$A$1004,H342))</f>
        <v/>
      </c>
      <c r="M342" s="26">
        <f>IF(H342="","",SUMIFS(VENDAS!$F$5:$F$1004,VENDAS!$A$5:$A$1004,H342,VENDAS!$D$5:$D$1004,M$4))</f>
        <v/>
      </c>
      <c r="N342" s="26">
        <f>IF(H342="","",SUMIFS(VENDAS!$F$5:$F$1004,VENDAS!$A$5:$A$1004,H342,VENDAS!$D$5:$D$1004,N$4))</f>
        <v/>
      </c>
      <c r="O342" s="26">
        <f>IF(H342="","",SUMIFS(VENDAS!$F$5:$F$1004,VENDAS!$A$5:$A$1004,H342,VENDAS!$D$5:$D$1004,O$4))</f>
        <v/>
      </c>
      <c r="P342" s="26">
        <f>IF(H342="","",SUMIFS(VENDAS!$F$5:$F$1004,VENDAS!$A$5:$A$1004,H342,VENDAS!$D$5:$D$1004,P$4))</f>
        <v/>
      </c>
      <c r="Q342" s="24">
        <f>IF(H342="","",SUMIFS(VENDAS!$H$5:$H$1004,VENDAS!$A$5:$A$1004,H342))</f>
        <v/>
      </c>
      <c r="R342" s="24">
        <f>IF(H342="","",SUMIFS(VENDAS!$K$5:$K$1004,VENDAS!$A$5:$A$1004,H342))</f>
        <v/>
      </c>
      <c r="S342" s="20" t="n"/>
      <c r="T342" s="31" t="n"/>
    </row>
    <row r="343">
      <c r="H343" s="20" t="n"/>
      <c r="I343" s="30">
        <f>IF(H343="","",IFERROR(INDEX(VENDAS!$B$5:$B$1004,MATCH(H343,VENDAS!$A$5:$A$1004,0)),"não lançado"))</f>
        <v/>
      </c>
      <c r="J343" s="22">
        <f>IF(H343="","",IFERROR(INDEX(VENDAS!$M$5:$M$1004,MATCH(H343,VENDAS!$A$5:$A$1004,0))&amp;"",""))</f>
        <v/>
      </c>
      <c r="K343" s="22">
        <f>IF(H343="","",IFERROR(INDEX(VENDAS!$J$5:$J$1004,MATCH(H343,VENDAS!$A$5:$A$1004,0))&amp;"",""))</f>
        <v/>
      </c>
      <c r="L343" s="26">
        <f>IF(H343="","",SUMIFS(VENDAS!$F$5:$F$1004,VENDAS!$A$5:$A$1004,H343))</f>
        <v/>
      </c>
      <c r="M343" s="26">
        <f>IF(H343="","",SUMIFS(VENDAS!$F$5:$F$1004,VENDAS!$A$5:$A$1004,H343,VENDAS!$D$5:$D$1004,M$4))</f>
        <v/>
      </c>
      <c r="N343" s="26">
        <f>IF(H343="","",SUMIFS(VENDAS!$F$5:$F$1004,VENDAS!$A$5:$A$1004,H343,VENDAS!$D$5:$D$1004,N$4))</f>
        <v/>
      </c>
      <c r="O343" s="26">
        <f>IF(H343="","",SUMIFS(VENDAS!$F$5:$F$1004,VENDAS!$A$5:$A$1004,H343,VENDAS!$D$5:$D$1004,O$4))</f>
        <v/>
      </c>
      <c r="P343" s="26">
        <f>IF(H343="","",SUMIFS(VENDAS!$F$5:$F$1004,VENDAS!$A$5:$A$1004,H343,VENDAS!$D$5:$D$1004,P$4))</f>
        <v/>
      </c>
      <c r="Q343" s="24">
        <f>IF(H343="","",SUMIFS(VENDAS!$H$5:$H$1004,VENDAS!$A$5:$A$1004,H343))</f>
        <v/>
      </c>
      <c r="R343" s="24">
        <f>IF(H343="","",SUMIFS(VENDAS!$K$5:$K$1004,VENDAS!$A$5:$A$1004,H343))</f>
        <v/>
      </c>
      <c r="S343" s="20" t="n"/>
      <c r="T343" s="31" t="n"/>
    </row>
    <row r="344">
      <c r="H344" s="20" t="n"/>
      <c r="I344" s="30">
        <f>IF(H344="","",IFERROR(INDEX(VENDAS!$B$5:$B$1004,MATCH(H344,VENDAS!$A$5:$A$1004,0)),"não lançado"))</f>
        <v/>
      </c>
      <c r="J344" s="22">
        <f>IF(H344="","",IFERROR(INDEX(VENDAS!$M$5:$M$1004,MATCH(H344,VENDAS!$A$5:$A$1004,0))&amp;"",""))</f>
        <v/>
      </c>
      <c r="K344" s="22">
        <f>IF(H344="","",IFERROR(INDEX(VENDAS!$J$5:$J$1004,MATCH(H344,VENDAS!$A$5:$A$1004,0))&amp;"",""))</f>
        <v/>
      </c>
      <c r="L344" s="26">
        <f>IF(H344="","",SUMIFS(VENDAS!$F$5:$F$1004,VENDAS!$A$5:$A$1004,H344))</f>
        <v/>
      </c>
      <c r="M344" s="26">
        <f>IF(H344="","",SUMIFS(VENDAS!$F$5:$F$1004,VENDAS!$A$5:$A$1004,H344,VENDAS!$D$5:$D$1004,M$4))</f>
        <v/>
      </c>
      <c r="N344" s="26">
        <f>IF(H344="","",SUMIFS(VENDAS!$F$5:$F$1004,VENDAS!$A$5:$A$1004,H344,VENDAS!$D$5:$D$1004,N$4))</f>
        <v/>
      </c>
      <c r="O344" s="26">
        <f>IF(H344="","",SUMIFS(VENDAS!$F$5:$F$1004,VENDAS!$A$5:$A$1004,H344,VENDAS!$D$5:$D$1004,O$4))</f>
        <v/>
      </c>
      <c r="P344" s="26">
        <f>IF(H344="","",SUMIFS(VENDAS!$F$5:$F$1004,VENDAS!$A$5:$A$1004,H344,VENDAS!$D$5:$D$1004,P$4))</f>
        <v/>
      </c>
      <c r="Q344" s="24">
        <f>IF(H344="","",SUMIFS(VENDAS!$H$5:$H$1004,VENDAS!$A$5:$A$1004,H344))</f>
        <v/>
      </c>
      <c r="R344" s="24">
        <f>IF(H344="","",SUMIFS(VENDAS!$K$5:$K$1004,VENDAS!$A$5:$A$1004,H344))</f>
        <v/>
      </c>
      <c r="S344" s="20" t="n"/>
      <c r="T344" s="31" t="n"/>
    </row>
    <row r="345">
      <c r="H345" s="20" t="n"/>
      <c r="I345" s="30">
        <f>IF(H345="","",IFERROR(INDEX(VENDAS!$B$5:$B$1004,MATCH(H345,VENDAS!$A$5:$A$1004,0)),"não lançado"))</f>
        <v/>
      </c>
      <c r="J345" s="22">
        <f>IF(H345="","",IFERROR(INDEX(VENDAS!$M$5:$M$1004,MATCH(H345,VENDAS!$A$5:$A$1004,0))&amp;"",""))</f>
        <v/>
      </c>
      <c r="K345" s="22">
        <f>IF(H345="","",IFERROR(INDEX(VENDAS!$J$5:$J$1004,MATCH(H345,VENDAS!$A$5:$A$1004,0))&amp;"",""))</f>
        <v/>
      </c>
      <c r="L345" s="26">
        <f>IF(H345="","",SUMIFS(VENDAS!$F$5:$F$1004,VENDAS!$A$5:$A$1004,H345))</f>
        <v/>
      </c>
      <c r="M345" s="26">
        <f>IF(H345="","",SUMIFS(VENDAS!$F$5:$F$1004,VENDAS!$A$5:$A$1004,H345,VENDAS!$D$5:$D$1004,M$4))</f>
        <v/>
      </c>
      <c r="N345" s="26">
        <f>IF(H345="","",SUMIFS(VENDAS!$F$5:$F$1004,VENDAS!$A$5:$A$1004,H345,VENDAS!$D$5:$D$1004,N$4))</f>
        <v/>
      </c>
      <c r="O345" s="26">
        <f>IF(H345="","",SUMIFS(VENDAS!$F$5:$F$1004,VENDAS!$A$5:$A$1004,H345,VENDAS!$D$5:$D$1004,O$4))</f>
        <v/>
      </c>
      <c r="P345" s="26">
        <f>IF(H345="","",SUMIFS(VENDAS!$F$5:$F$1004,VENDAS!$A$5:$A$1004,H345,VENDAS!$D$5:$D$1004,P$4))</f>
        <v/>
      </c>
      <c r="Q345" s="24">
        <f>IF(H345="","",SUMIFS(VENDAS!$H$5:$H$1004,VENDAS!$A$5:$A$1004,H345))</f>
        <v/>
      </c>
      <c r="R345" s="24">
        <f>IF(H345="","",SUMIFS(VENDAS!$K$5:$K$1004,VENDAS!$A$5:$A$1004,H345))</f>
        <v/>
      </c>
      <c r="S345" s="20" t="n"/>
      <c r="T345" s="31" t="n"/>
    </row>
    <row r="346">
      <c r="H346" s="20" t="n"/>
      <c r="I346" s="30">
        <f>IF(H346="","",IFERROR(INDEX(VENDAS!$B$5:$B$1004,MATCH(H346,VENDAS!$A$5:$A$1004,0)),"não lançado"))</f>
        <v/>
      </c>
      <c r="J346" s="22">
        <f>IF(H346="","",IFERROR(INDEX(VENDAS!$M$5:$M$1004,MATCH(H346,VENDAS!$A$5:$A$1004,0))&amp;"",""))</f>
        <v/>
      </c>
      <c r="K346" s="22">
        <f>IF(H346="","",IFERROR(INDEX(VENDAS!$J$5:$J$1004,MATCH(H346,VENDAS!$A$5:$A$1004,0))&amp;"",""))</f>
        <v/>
      </c>
      <c r="L346" s="26">
        <f>IF(H346="","",SUMIFS(VENDAS!$F$5:$F$1004,VENDAS!$A$5:$A$1004,H346))</f>
        <v/>
      </c>
      <c r="M346" s="26">
        <f>IF(H346="","",SUMIFS(VENDAS!$F$5:$F$1004,VENDAS!$A$5:$A$1004,H346,VENDAS!$D$5:$D$1004,M$4))</f>
        <v/>
      </c>
      <c r="N346" s="26">
        <f>IF(H346="","",SUMIFS(VENDAS!$F$5:$F$1004,VENDAS!$A$5:$A$1004,H346,VENDAS!$D$5:$D$1004,N$4))</f>
        <v/>
      </c>
      <c r="O346" s="26">
        <f>IF(H346="","",SUMIFS(VENDAS!$F$5:$F$1004,VENDAS!$A$5:$A$1004,H346,VENDAS!$D$5:$D$1004,O$4))</f>
        <v/>
      </c>
      <c r="P346" s="26">
        <f>IF(H346="","",SUMIFS(VENDAS!$F$5:$F$1004,VENDAS!$A$5:$A$1004,H346,VENDAS!$D$5:$D$1004,P$4))</f>
        <v/>
      </c>
      <c r="Q346" s="24">
        <f>IF(H346="","",SUMIFS(VENDAS!$H$5:$H$1004,VENDAS!$A$5:$A$1004,H346))</f>
        <v/>
      </c>
      <c r="R346" s="24">
        <f>IF(H346="","",SUMIFS(VENDAS!$K$5:$K$1004,VENDAS!$A$5:$A$1004,H346))</f>
        <v/>
      </c>
      <c r="S346" s="20" t="n"/>
      <c r="T346" s="31" t="n"/>
    </row>
    <row r="347">
      <c r="H347" s="20" t="n"/>
      <c r="I347" s="30">
        <f>IF(H347="","",IFERROR(INDEX(VENDAS!$B$5:$B$1004,MATCH(H347,VENDAS!$A$5:$A$1004,0)),"não lançado"))</f>
        <v/>
      </c>
      <c r="J347" s="22">
        <f>IF(H347="","",IFERROR(INDEX(VENDAS!$M$5:$M$1004,MATCH(H347,VENDAS!$A$5:$A$1004,0))&amp;"",""))</f>
        <v/>
      </c>
      <c r="K347" s="22">
        <f>IF(H347="","",IFERROR(INDEX(VENDAS!$J$5:$J$1004,MATCH(H347,VENDAS!$A$5:$A$1004,0))&amp;"",""))</f>
        <v/>
      </c>
      <c r="L347" s="26">
        <f>IF(H347="","",SUMIFS(VENDAS!$F$5:$F$1004,VENDAS!$A$5:$A$1004,H347))</f>
        <v/>
      </c>
      <c r="M347" s="26">
        <f>IF(H347="","",SUMIFS(VENDAS!$F$5:$F$1004,VENDAS!$A$5:$A$1004,H347,VENDAS!$D$5:$D$1004,M$4))</f>
        <v/>
      </c>
      <c r="N347" s="26">
        <f>IF(H347="","",SUMIFS(VENDAS!$F$5:$F$1004,VENDAS!$A$5:$A$1004,H347,VENDAS!$D$5:$D$1004,N$4))</f>
        <v/>
      </c>
      <c r="O347" s="26">
        <f>IF(H347="","",SUMIFS(VENDAS!$F$5:$F$1004,VENDAS!$A$5:$A$1004,H347,VENDAS!$D$5:$D$1004,O$4))</f>
        <v/>
      </c>
      <c r="P347" s="26">
        <f>IF(H347="","",SUMIFS(VENDAS!$F$5:$F$1004,VENDAS!$A$5:$A$1004,H347,VENDAS!$D$5:$D$1004,P$4))</f>
        <v/>
      </c>
      <c r="Q347" s="24">
        <f>IF(H347="","",SUMIFS(VENDAS!$H$5:$H$1004,VENDAS!$A$5:$A$1004,H347))</f>
        <v/>
      </c>
      <c r="R347" s="24">
        <f>IF(H347="","",SUMIFS(VENDAS!$K$5:$K$1004,VENDAS!$A$5:$A$1004,H347))</f>
        <v/>
      </c>
      <c r="S347" s="20" t="n"/>
      <c r="T347" s="31" t="n"/>
    </row>
    <row r="348">
      <c r="H348" s="20" t="n"/>
      <c r="I348" s="30">
        <f>IF(H348="","",IFERROR(INDEX(VENDAS!$B$5:$B$1004,MATCH(H348,VENDAS!$A$5:$A$1004,0)),"não lançado"))</f>
        <v/>
      </c>
      <c r="J348" s="22">
        <f>IF(H348="","",IFERROR(INDEX(VENDAS!$M$5:$M$1004,MATCH(H348,VENDAS!$A$5:$A$1004,0))&amp;"",""))</f>
        <v/>
      </c>
      <c r="K348" s="22">
        <f>IF(H348="","",IFERROR(INDEX(VENDAS!$J$5:$J$1004,MATCH(H348,VENDAS!$A$5:$A$1004,0))&amp;"",""))</f>
        <v/>
      </c>
      <c r="L348" s="26">
        <f>IF(H348="","",SUMIFS(VENDAS!$F$5:$F$1004,VENDAS!$A$5:$A$1004,H348))</f>
        <v/>
      </c>
      <c r="M348" s="26">
        <f>IF(H348="","",SUMIFS(VENDAS!$F$5:$F$1004,VENDAS!$A$5:$A$1004,H348,VENDAS!$D$5:$D$1004,M$4))</f>
        <v/>
      </c>
      <c r="N348" s="26">
        <f>IF(H348="","",SUMIFS(VENDAS!$F$5:$F$1004,VENDAS!$A$5:$A$1004,H348,VENDAS!$D$5:$D$1004,N$4))</f>
        <v/>
      </c>
      <c r="O348" s="26">
        <f>IF(H348="","",SUMIFS(VENDAS!$F$5:$F$1004,VENDAS!$A$5:$A$1004,H348,VENDAS!$D$5:$D$1004,O$4))</f>
        <v/>
      </c>
      <c r="P348" s="26">
        <f>IF(H348="","",SUMIFS(VENDAS!$F$5:$F$1004,VENDAS!$A$5:$A$1004,H348,VENDAS!$D$5:$D$1004,P$4))</f>
        <v/>
      </c>
      <c r="Q348" s="24">
        <f>IF(H348="","",SUMIFS(VENDAS!$H$5:$H$1004,VENDAS!$A$5:$A$1004,H348))</f>
        <v/>
      </c>
      <c r="R348" s="24">
        <f>IF(H348="","",SUMIFS(VENDAS!$K$5:$K$1004,VENDAS!$A$5:$A$1004,H348))</f>
        <v/>
      </c>
      <c r="S348" s="20" t="n"/>
      <c r="T348" s="31" t="n"/>
    </row>
    <row r="349">
      <c r="H349" s="20" t="n"/>
      <c r="I349" s="30">
        <f>IF(H349="","",IFERROR(INDEX(VENDAS!$B$5:$B$1004,MATCH(H349,VENDAS!$A$5:$A$1004,0)),"não lançado"))</f>
        <v/>
      </c>
      <c r="J349" s="22">
        <f>IF(H349="","",IFERROR(INDEX(VENDAS!$M$5:$M$1004,MATCH(H349,VENDAS!$A$5:$A$1004,0))&amp;"",""))</f>
        <v/>
      </c>
      <c r="K349" s="22">
        <f>IF(H349="","",IFERROR(INDEX(VENDAS!$J$5:$J$1004,MATCH(H349,VENDAS!$A$5:$A$1004,0))&amp;"",""))</f>
        <v/>
      </c>
      <c r="L349" s="26">
        <f>IF(H349="","",SUMIFS(VENDAS!$F$5:$F$1004,VENDAS!$A$5:$A$1004,H349))</f>
        <v/>
      </c>
      <c r="M349" s="26">
        <f>IF(H349="","",SUMIFS(VENDAS!$F$5:$F$1004,VENDAS!$A$5:$A$1004,H349,VENDAS!$D$5:$D$1004,M$4))</f>
        <v/>
      </c>
      <c r="N349" s="26">
        <f>IF(H349="","",SUMIFS(VENDAS!$F$5:$F$1004,VENDAS!$A$5:$A$1004,H349,VENDAS!$D$5:$D$1004,N$4))</f>
        <v/>
      </c>
      <c r="O349" s="26">
        <f>IF(H349="","",SUMIFS(VENDAS!$F$5:$F$1004,VENDAS!$A$5:$A$1004,H349,VENDAS!$D$5:$D$1004,O$4))</f>
        <v/>
      </c>
      <c r="P349" s="26">
        <f>IF(H349="","",SUMIFS(VENDAS!$F$5:$F$1004,VENDAS!$A$5:$A$1004,H349,VENDAS!$D$5:$D$1004,P$4))</f>
        <v/>
      </c>
      <c r="Q349" s="24">
        <f>IF(H349="","",SUMIFS(VENDAS!$H$5:$H$1004,VENDAS!$A$5:$A$1004,H349))</f>
        <v/>
      </c>
      <c r="R349" s="24">
        <f>IF(H349="","",SUMIFS(VENDAS!$K$5:$K$1004,VENDAS!$A$5:$A$1004,H349))</f>
        <v/>
      </c>
      <c r="S349" s="20" t="n"/>
      <c r="T349" s="31" t="n"/>
    </row>
    <row r="350">
      <c r="H350" s="20" t="n"/>
      <c r="I350" s="30">
        <f>IF(H350="","",IFERROR(INDEX(VENDAS!$B$5:$B$1004,MATCH(H350,VENDAS!$A$5:$A$1004,0)),"não lançado"))</f>
        <v/>
      </c>
      <c r="J350" s="22">
        <f>IF(H350="","",IFERROR(INDEX(VENDAS!$M$5:$M$1004,MATCH(H350,VENDAS!$A$5:$A$1004,0))&amp;"",""))</f>
        <v/>
      </c>
      <c r="K350" s="22">
        <f>IF(H350="","",IFERROR(INDEX(VENDAS!$J$5:$J$1004,MATCH(H350,VENDAS!$A$5:$A$1004,0))&amp;"",""))</f>
        <v/>
      </c>
      <c r="L350" s="26">
        <f>IF(H350="","",SUMIFS(VENDAS!$F$5:$F$1004,VENDAS!$A$5:$A$1004,H350))</f>
        <v/>
      </c>
      <c r="M350" s="26">
        <f>IF(H350="","",SUMIFS(VENDAS!$F$5:$F$1004,VENDAS!$A$5:$A$1004,H350,VENDAS!$D$5:$D$1004,M$4))</f>
        <v/>
      </c>
      <c r="N350" s="26">
        <f>IF(H350="","",SUMIFS(VENDAS!$F$5:$F$1004,VENDAS!$A$5:$A$1004,H350,VENDAS!$D$5:$D$1004,N$4))</f>
        <v/>
      </c>
      <c r="O350" s="26">
        <f>IF(H350="","",SUMIFS(VENDAS!$F$5:$F$1004,VENDAS!$A$5:$A$1004,H350,VENDAS!$D$5:$D$1004,O$4))</f>
        <v/>
      </c>
      <c r="P350" s="26">
        <f>IF(H350="","",SUMIFS(VENDAS!$F$5:$F$1004,VENDAS!$A$5:$A$1004,H350,VENDAS!$D$5:$D$1004,P$4))</f>
        <v/>
      </c>
      <c r="Q350" s="24">
        <f>IF(H350="","",SUMIFS(VENDAS!$H$5:$H$1004,VENDAS!$A$5:$A$1004,H350))</f>
        <v/>
      </c>
      <c r="R350" s="24">
        <f>IF(H350="","",SUMIFS(VENDAS!$K$5:$K$1004,VENDAS!$A$5:$A$1004,H350))</f>
        <v/>
      </c>
      <c r="S350" s="20" t="n"/>
      <c r="T350" s="31" t="n"/>
    </row>
    <row r="351">
      <c r="H351" s="20" t="n"/>
      <c r="I351" s="30">
        <f>IF(H351="","",IFERROR(INDEX(VENDAS!$B$5:$B$1004,MATCH(H351,VENDAS!$A$5:$A$1004,0)),"não lançado"))</f>
        <v/>
      </c>
      <c r="J351" s="22">
        <f>IF(H351="","",IFERROR(INDEX(VENDAS!$M$5:$M$1004,MATCH(H351,VENDAS!$A$5:$A$1004,0))&amp;"",""))</f>
        <v/>
      </c>
      <c r="K351" s="22">
        <f>IF(H351="","",IFERROR(INDEX(VENDAS!$J$5:$J$1004,MATCH(H351,VENDAS!$A$5:$A$1004,0))&amp;"",""))</f>
        <v/>
      </c>
      <c r="L351" s="26">
        <f>IF(H351="","",SUMIFS(VENDAS!$F$5:$F$1004,VENDAS!$A$5:$A$1004,H351))</f>
        <v/>
      </c>
      <c r="M351" s="26">
        <f>IF(H351="","",SUMIFS(VENDAS!$F$5:$F$1004,VENDAS!$A$5:$A$1004,H351,VENDAS!$D$5:$D$1004,M$4))</f>
        <v/>
      </c>
      <c r="N351" s="26">
        <f>IF(H351="","",SUMIFS(VENDAS!$F$5:$F$1004,VENDAS!$A$5:$A$1004,H351,VENDAS!$D$5:$D$1004,N$4))</f>
        <v/>
      </c>
      <c r="O351" s="26">
        <f>IF(H351="","",SUMIFS(VENDAS!$F$5:$F$1004,VENDAS!$A$5:$A$1004,H351,VENDAS!$D$5:$D$1004,O$4))</f>
        <v/>
      </c>
      <c r="P351" s="26">
        <f>IF(H351="","",SUMIFS(VENDAS!$F$5:$F$1004,VENDAS!$A$5:$A$1004,H351,VENDAS!$D$5:$D$1004,P$4))</f>
        <v/>
      </c>
      <c r="Q351" s="24">
        <f>IF(H351="","",SUMIFS(VENDAS!$H$5:$H$1004,VENDAS!$A$5:$A$1004,H351))</f>
        <v/>
      </c>
      <c r="R351" s="24">
        <f>IF(H351="","",SUMIFS(VENDAS!$K$5:$K$1004,VENDAS!$A$5:$A$1004,H351))</f>
        <v/>
      </c>
      <c r="S351" s="20" t="n"/>
      <c r="T351" s="31" t="n"/>
    </row>
    <row r="352">
      <c r="H352" s="20" t="n"/>
      <c r="I352" s="30">
        <f>IF(H352="","",IFERROR(INDEX(VENDAS!$B$5:$B$1004,MATCH(H352,VENDAS!$A$5:$A$1004,0)),"não lançado"))</f>
        <v/>
      </c>
      <c r="J352" s="22">
        <f>IF(H352="","",IFERROR(INDEX(VENDAS!$M$5:$M$1004,MATCH(H352,VENDAS!$A$5:$A$1004,0))&amp;"",""))</f>
        <v/>
      </c>
      <c r="K352" s="22">
        <f>IF(H352="","",IFERROR(INDEX(VENDAS!$J$5:$J$1004,MATCH(H352,VENDAS!$A$5:$A$1004,0))&amp;"",""))</f>
        <v/>
      </c>
      <c r="L352" s="26">
        <f>IF(H352="","",SUMIFS(VENDAS!$F$5:$F$1004,VENDAS!$A$5:$A$1004,H352))</f>
        <v/>
      </c>
      <c r="M352" s="26">
        <f>IF(H352="","",SUMIFS(VENDAS!$F$5:$F$1004,VENDAS!$A$5:$A$1004,H352,VENDAS!$D$5:$D$1004,M$4))</f>
        <v/>
      </c>
      <c r="N352" s="26">
        <f>IF(H352="","",SUMIFS(VENDAS!$F$5:$F$1004,VENDAS!$A$5:$A$1004,H352,VENDAS!$D$5:$D$1004,N$4))</f>
        <v/>
      </c>
      <c r="O352" s="26">
        <f>IF(H352="","",SUMIFS(VENDAS!$F$5:$F$1004,VENDAS!$A$5:$A$1004,H352,VENDAS!$D$5:$D$1004,O$4))</f>
        <v/>
      </c>
      <c r="P352" s="26">
        <f>IF(H352="","",SUMIFS(VENDAS!$F$5:$F$1004,VENDAS!$A$5:$A$1004,H352,VENDAS!$D$5:$D$1004,P$4))</f>
        <v/>
      </c>
      <c r="Q352" s="24">
        <f>IF(H352="","",SUMIFS(VENDAS!$H$5:$H$1004,VENDAS!$A$5:$A$1004,H352))</f>
        <v/>
      </c>
      <c r="R352" s="24">
        <f>IF(H352="","",SUMIFS(VENDAS!$K$5:$K$1004,VENDAS!$A$5:$A$1004,H352))</f>
        <v/>
      </c>
      <c r="S352" s="20" t="n"/>
      <c r="T352" s="31" t="n"/>
    </row>
    <row r="353">
      <c r="H353" s="20" t="n"/>
      <c r="I353" s="30">
        <f>IF(H353="","",IFERROR(INDEX(VENDAS!$B$5:$B$1004,MATCH(H353,VENDAS!$A$5:$A$1004,0)),"não lançado"))</f>
        <v/>
      </c>
      <c r="J353" s="22">
        <f>IF(H353="","",IFERROR(INDEX(VENDAS!$M$5:$M$1004,MATCH(H353,VENDAS!$A$5:$A$1004,0))&amp;"",""))</f>
        <v/>
      </c>
      <c r="K353" s="22">
        <f>IF(H353="","",IFERROR(INDEX(VENDAS!$J$5:$J$1004,MATCH(H353,VENDAS!$A$5:$A$1004,0))&amp;"",""))</f>
        <v/>
      </c>
      <c r="L353" s="26">
        <f>IF(H353="","",SUMIFS(VENDAS!$F$5:$F$1004,VENDAS!$A$5:$A$1004,H353))</f>
        <v/>
      </c>
      <c r="M353" s="26">
        <f>IF(H353="","",SUMIFS(VENDAS!$F$5:$F$1004,VENDAS!$A$5:$A$1004,H353,VENDAS!$D$5:$D$1004,M$4))</f>
        <v/>
      </c>
      <c r="N353" s="26">
        <f>IF(H353="","",SUMIFS(VENDAS!$F$5:$F$1004,VENDAS!$A$5:$A$1004,H353,VENDAS!$D$5:$D$1004,N$4))</f>
        <v/>
      </c>
      <c r="O353" s="26">
        <f>IF(H353="","",SUMIFS(VENDAS!$F$5:$F$1004,VENDAS!$A$5:$A$1004,H353,VENDAS!$D$5:$D$1004,O$4))</f>
        <v/>
      </c>
      <c r="P353" s="26">
        <f>IF(H353="","",SUMIFS(VENDAS!$F$5:$F$1004,VENDAS!$A$5:$A$1004,H353,VENDAS!$D$5:$D$1004,P$4))</f>
        <v/>
      </c>
      <c r="Q353" s="24">
        <f>IF(H353="","",SUMIFS(VENDAS!$H$5:$H$1004,VENDAS!$A$5:$A$1004,H353))</f>
        <v/>
      </c>
      <c r="R353" s="24">
        <f>IF(H353="","",SUMIFS(VENDAS!$K$5:$K$1004,VENDAS!$A$5:$A$1004,H353))</f>
        <v/>
      </c>
      <c r="S353" s="20" t="n"/>
      <c r="T353" s="31" t="n"/>
    </row>
    <row r="354">
      <c r="H354" s="20" t="n"/>
      <c r="I354" s="30">
        <f>IF(H354="","",IFERROR(INDEX(VENDAS!$B$5:$B$1004,MATCH(H354,VENDAS!$A$5:$A$1004,0)),"não lançado"))</f>
        <v/>
      </c>
      <c r="J354" s="22">
        <f>IF(H354="","",IFERROR(INDEX(VENDAS!$M$5:$M$1004,MATCH(H354,VENDAS!$A$5:$A$1004,0))&amp;"",""))</f>
        <v/>
      </c>
      <c r="K354" s="22">
        <f>IF(H354="","",IFERROR(INDEX(VENDAS!$J$5:$J$1004,MATCH(H354,VENDAS!$A$5:$A$1004,0))&amp;"",""))</f>
        <v/>
      </c>
      <c r="L354" s="26">
        <f>IF(H354="","",SUMIFS(VENDAS!$F$5:$F$1004,VENDAS!$A$5:$A$1004,H354))</f>
        <v/>
      </c>
      <c r="M354" s="26">
        <f>IF(H354="","",SUMIFS(VENDAS!$F$5:$F$1004,VENDAS!$A$5:$A$1004,H354,VENDAS!$D$5:$D$1004,M$4))</f>
        <v/>
      </c>
      <c r="N354" s="26">
        <f>IF(H354="","",SUMIFS(VENDAS!$F$5:$F$1004,VENDAS!$A$5:$A$1004,H354,VENDAS!$D$5:$D$1004,N$4))</f>
        <v/>
      </c>
      <c r="O354" s="26">
        <f>IF(H354="","",SUMIFS(VENDAS!$F$5:$F$1004,VENDAS!$A$5:$A$1004,H354,VENDAS!$D$5:$D$1004,O$4))</f>
        <v/>
      </c>
      <c r="P354" s="26">
        <f>IF(H354="","",SUMIFS(VENDAS!$F$5:$F$1004,VENDAS!$A$5:$A$1004,H354,VENDAS!$D$5:$D$1004,P$4))</f>
        <v/>
      </c>
      <c r="Q354" s="24">
        <f>IF(H354="","",SUMIFS(VENDAS!$H$5:$H$1004,VENDAS!$A$5:$A$1004,H354))</f>
        <v/>
      </c>
      <c r="R354" s="24">
        <f>IF(H354="","",SUMIFS(VENDAS!$K$5:$K$1004,VENDAS!$A$5:$A$1004,H354))</f>
        <v/>
      </c>
      <c r="S354" s="20" t="n"/>
      <c r="T354" s="31" t="n"/>
    </row>
    <row r="355">
      <c r="H355" s="20" t="n"/>
      <c r="I355" s="30">
        <f>IF(H355="","",IFERROR(INDEX(VENDAS!$B$5:$B$1004,MATCH(H355,VENDAS!$A$5:$A$1004,0)),"não lançado"))</f>
        <v/>
      </c>
      <c r="J355" s="22">
        <f>IF(H355="","",IFERROR(INDEX(VENDAS!$M$5:$M$1004,MATCH(H355,VENDAS!$A$5:$A$1004,0))&amp;"",""))</f>
        <v/>
      </c>
      <c r="K355" s="22">
        <f>IF(H355="","",IFERROR(INDEX(VENDAS!$J$5:$J$1004,MATCH(H355,VENDAS!$A$5:$A$1004,0))&amp;"",""))</f>
        <v/>
      </c>
      <c r="L355" s="26">
        <f>IF(H355="","",SUMIFS(VENDAS!$F$5:$F$1004,VENDAS!$A$5:$A$1004,H355))</f>
        <v/>
      </c>
      <c r="M355" s="26">
        <f>IF(H355="","",SUMIFS(VENDAS!$F$5:$F$1004,VENDAS!$A$5:$A$1004,H355,VENDAS!$D$5:$D$1004,M$4))</f>
        <v/>
      </c>
      <c r="N355" s="26">
        <f>IF(H355="","",SUMIFS(VENDAS!$F$5:$F$1004,VENDAS!$A$5:$A$1004,H355,VENDAS!$D$5:$D$1004,N$4))</f>
        <v/>
      </c>
      <c r="O355" s="26">
        <f>IF(H355="","",SUMIFS(VENDAS!$F$5:$F$1004,VENDAS!$A$5:$A$1004,H355,VENDAS!$D$5:$D$1004,O$4))</f>
        <v/>
      </c>
      <c r="P355" s="26">
        <f>IF(H355="","",SUMIFS(VENDAS!$F$5:$F$1004,VENDAS!$A$5:$A$1004,H355,VENDAS!$D$5:$D$1004,P$4))</f>
        <v/>
      </c>
      <c r="Q355" s="24">
        <f>IF(H355="","",SUMIFS(VENDAS!$H$5:$H$1004,VENDAS!$A$5:$A$1004,H355))</f>
        <v/>
      </c>
      <c r="R355" s="24">
        <f>IF(H355="","",SUMIFS(VENDAS!$K$5:$K$1004,VENDAS!$A$5:$A$1004,H355))</f>
        <v/>
      </c>
      <c r="S355" s="20" t="n"/>
      <c r="T355" s="31" t="n"/>
    </row>
    <row r="356">
      <c r="H356" s="20" t="n"/>
      <c r="I356" s="30">
        <f>IF(H356="","",IFERROR(INDEX(VENDAS!$B$5:$B$1004,MATCH(H356,VENDAS!$A$5:$A$1004,0)),"não lançado"))</f>
        <v/>
      </c>
      <c r="J356" s="22">
        <f>IF(H356="","",IFERROR(INDEX(VENDAS!$M$5:$M$1004,MATCH(H356,VENDAS!$A$5:$A$1004,0))&amp;"",""))</f>
        <v/>
      </c>
      <c r="K356" s="22">
        <f>IF(H356="","",IFERROR(INDEX(VENDAS!$J$5:$J$1004,MATCH(H356,VENDAS!$A$5:$A$1004,0))&amp;"",""))</f>
        <v/>
      </c>
      <c r="L356" s="26">
        <f>IF(H356="","",SUMIFS(VENDAS!$F$5:$F$1004,VENDAS!$A$5:$A$1004,H356))</f>
        <v/>
      </c>
      <c r="M356" s="26">
        <f>IF(H356="","",SUMIFS(VENDAS!$F$5:$F$1004,VENDAS!$A$5:$A$1004,H356,VENDAS!$D$5:$D$1004,M$4))</f>
        <v/>
      </c>
      <c r="N356" s="26">
        <f>IF(H356="","",SUMIFS(VENDAS!$F$5:$F$1004,VENDAS!$A$5:$A$1004,H356,VENDAS!$D$5:$D$1004,N$4))</f>
        <v/>
      </c>
      <c r="O356" s="26">
        <f>IF(H356="","",SUMIFS(VENDAS!$F$5:$F$1004,VENDAS!$A$5:$A$1004,H356,VENDAS!$D$5:$D$1004,O$4))</f>
        <v/>
      </c>
      <c r="P356" s="26">
        <f>IF(H356="","",SUMIFS(VENDAS!$F$5:$F$1004,VENDAS!$A$5:$A$1004,H356,VENDAS!$D$5:$D$1004,P$4))</f>
        <v/>
      </c>
      <c r="Q356" s="24">
        <f>IF(H356="","",SUMIFS(VENDAS!$H$5:$H$1004,VENDAS!$A$5:$A$1004,H356))</f>
        <v/>
      </c>
      <c r="R356" s="24">
        <f>IF(H356="","",SUMIFS(VENDAS!$K$5:$K$1004,VENDAS!$A$5:$A$1004,H356))</f>
        <v/>
      </c>
      <c r="S356" s="20" t="n"/>
      <c r="T356" s="31" t="n"/>
    </row>
    <row r="357">
      <c r="H357" s="20" t="n"/>
      <c r="I357" s="30">
        <f>IF(H357="","",IFERROR(INDEX(VENDAS!$B$5:$B$1004,MATCH(H357,VENDAS!$A$5:$A$1004,0)),"não lançado"))</f>
        <v/>
      </c>
      <c r="J357" s="22">
        <f>IF(H357="","",IFERROR(INDEX(VENDAS!$M$5:$M$1004,MATCH(H357,VENDAS!$A$5:$A$1004,0))&amp;"",""))</f>
        <v/>
      </c>
      <c r="K357" s="22">
        <f>IF(H357="","",IFERROR(INDEX(VENDAS!$J$5:$J$1004,MATCH(H357,VENDAS!$A$5:$A$1004,0))&amp;"",""))</f>
        <v/>
      </c>
      <c r="L357" s="26">
        <f>IF(H357="","",SUMIFS(VENDAS!$F$5:$F$1004,VENDAS!$A$5:$A$1004,H357))</f>
        <v/>
      </c>
      <c r="M357" s="26">
        <f>IF(H357="","",SUMIFS(VENDAS!$F$5:$F$1004,VENDAS!$A$5:$A$1004,H357,VENDAS!$D$5:$D$1004,M$4))</f>
        <v/>
      </c>
      <c r="N357" s="26">
        <f>IF(H357="","",SUMIFS(VENDAS!$F$5:$F$1004,VENDAS!$A$5:$A$1004,H357,VENDAS!$D$5:$D$1004,N$4))</f>
        <v/>
      </c>
      <c r="O357" s="26">
        <f>IF(H357="","",SUMIFS(VENDAS!$F$5:$F$1004,VENDAS!$A$5:$A$1004,H357,VENDAS!$D$5:$D$1004,O$4))</f>
        <v/>
      </c>
      <c r="P357" s="26">
        <f>IF(H357="","",SUMIFS(VENDAS!$F$5:$F$1004,VENDAS!$A$5:$A$1004,H357,VENDAS!$D$5:$D$1004,P$4))</f>
        <v/>
      </c>
      <c r="Q357" s="24">
        <f>IF(H357="","",SUMIFS(VENDAS!$H$5:$H$1004,VENDAS!$A$5:$A$1004,H357))</f>
        <v/>
      </c>
      <c r="R357" s="24">
        <f>IF(H357="","",SUMIFS(VENDAS!$K$5:$K$1004,VENDAS!$A$5:$A$1004,H357))</f>
        <v/>
      </c>
      <c r="S357" s="20" t="n"/>
      <c r="T357" s="31" t="n"/>
    </row>
    <row r="358">
      <c r="H358" s="20" t="n"/>
      <c r="I358" s="30">
        <f>IF(H358="","",IFERROR(INDEX(VENDAS!$B$5:$B$1004,MATCH(H358,VENDAS!$A$5:$A$1004,0)),"não lançado"))</f>
        <v/>
      </c>
      <c r="J358" s="22">
        <f>IF(H358="","",IFERROR(INDEX(VENDAS!$M$5:$M$1004,MATCH(H358,VENDAS!$A$5:$A$1004,0))&amp;"",""))</f>
        <v/>
      </c>
      <c r="K358" s="22">
        <f>IF(H358="","",IFERROR(INDEX(VENDAS!$J$5:$J$1004,MATCH(H358,VENDAS!$A$5:$A$1004,0))&amp;"",""))</f>
        <v/>
      </c>
      <c r="L358" s="26">
        <f>IF(H358="","",SUMIFS(VENDAS!$F$5:$F$1004,VENDAS!$A$5:$A$1004,H358))</f>
        <v/>
      </c>
      <c r="M358" s="26">
        <f>IF(H358="","",SUMIFS(VENDAS!$F$5:$F$1004,VENDAS!$A$5:$A$1004,H358,VENDAS!$D$5:$D$1004,M$4))</f>
        <v/>
      </c>
      <c r="N358" s="26">
        <f>IF(H358="","",SUMIFS(VENDAS!$F$5:$F$1004,VENDAS!$A$5:$A$1004,H358,VENDAS!$D$5:$D$1004,N$4))</f>
        <v/>
      </c>
      <c r="O358" s="26">
        <f>IF(H358="","",SUMIFS(VENDAS!$F$5:$F$1004,VENDAS!$A$5:$A$1004,H358,VENDAS!$D$5:$D$1004,O$4))</f>
        <v/>
      </c>
      <c r="P358" s="26">
        <f>IF(H358="","",SUMIFS(VENDAS!$F$5:$F$1004,VENDAS!$A$5:$A$1004,H358,VENDAS!$D$5:$D$1004,P$4))</f>
        <v/>
      </c>
      <c r="Q358" s="24">
        <f>IF(H358="","",SUMIFS(VENDAS!$H$5:$H$1004,VENDAS!$A$5:$A$1004,H358))</f>
        <v/>
      </c>
      <c r="R358" s="24">
        <f>IF(H358="","",SUMIFS(VENDAS!$K$5:$K$1004,VENDAS!$A$5:$A$1004,H358))</f>
        <v/>
      </c>
      <c r="S358" s="20" t="n"/>
      <c r="T358" s="31" t="n"/>
    </row>
    <row r="359">
      <c r="H359" s="20" t="n"/>
      <c r="I359" s="30">
        <f>IF(H359="","",IFERROR(INDEX(VENDAS!$B$5:$B$1004,MATCH(H359,VENDAS!$A$5:$A$1004,0)),"não lançado"))</f>
        <v/>
      </c>
      <c r="J359" s="22">
        <f>IF(H359="","",IFERROR(INDEX(VENDAS!$M$5:$M$1004,MATCH(H359,VENDAS!$A$5:$A$1004,0))&amp;"",""))</f>
        <v/>
      </c>
      <c r="K359" s="22">
        <f>IF(H359="","",IFERROR(INDEX(VENDAS!$J$5:$J$1004,MATCH(H359,VENDAS!$A$5:$A$1004,0))&amp;"",""))</f>
        <v/>
      </c>
      <c r="L359" s="26">
        <f>IF(H359="","",SUMIFS(VENDAS!$F$5:$F$1004,VENDAS!$A$5:$A$1004,H359))</f>
        <v/>
      </c>
      <c r="M359" s="26">
        <f>IF(H359="","",SUMIFS(VENDAS!$F$5:$F$1004,VENDAS!$A$5:$A$1004,H359,VENDAS!$D$5:$D$1004,M$4))</f>
        <v/>
      </c>
      <c r="N359" s="26">
        <f>IF(H359="","",SUMIFS(VENDAS!$F$5:$F$1004,VENDAS!$A$5:$A$1004,H359,VENDAS!$D$5:$D$1004,N$4))</f>
        <v/>
      </c>
      <c r="O359" s="26">
        <f>IF(H359="","",SUMIFS(VENDAS!$F$5:$F$1004,VENDAS!$A$5:$A$1004,H359,VENDAS!$D$5:$D$1004,O$4))</f>
        <v/>
      </c>
      <c r="P359" s="26">
        <f>IF(H359="","",SUMIFS(VENDAS!$F$5:$F$1004,VENDAS!$A$5:$A$1004,H359,VENDAS!$D$5:$D$1004,P$4))</f>
        <v/>
      </c>
      <c r="Q359" s="24">
        <f>IF(H359="","",SUMIFS(VENDAS!$H$5:$H$1004,VENDAS!$A$5:$A$1004,H359))</f>
        <v/>
      </c>
      <c r="R359" s="24">
        <f>IF(H359="","",SUMIFS(VENDAS!$K$5:$K$1004,VENDAS!$A$5:$A$1004,H359))</f>
        <v/>
      </c>
      <c r="S359" s="20" t="n"/>
      <c r="T359" s="31" t="n"/>
    </row>
    <row r="360">
      <c r="H360" s="20" t="n"/>
      <c r="I360" s="30">
        <f>IF(H360="","",IFERROR(INDEX(VENDAS!$B$5:$B$1004,MATCH(H360,VENDAS!$A$5:$A$1004,0)),"não lançado"))</f>
        <v/>
      </c>
      <c r="J360" s="22">
        <f>IF(H360="","",IFERROR(INDEX(VENDAS!$M$5:$M$1004,MATCH(H360,VENDAS!$A$5:$A$1004,0))&amp;"",""))</f>
        <v/>
      </c>
      <c r="K360" s="22">
        <f>IF(H360="","",IFERROR(INDEX(VENDAS!$J$5:$J$1004,MATCH(H360,VENDAS!$A$5:$A$1004,0))&amp;"",""))</f>
        <v/>
      </c>
      <c r="L360" s="26">
        <f>IF(H360="","",SUMIFS(VENDAS!$F$5:$F$1004,VENDAS!$A$5:$A$1004,H360))</f>
        <v/>
      </c>
      <c r="M360" s="26">
        <f>IF(H360="","",SUMIFS(VENDAS!$F$5:$F$1004,VENDAS!$A$5:$A$1004,H360,VENDAS!$D$5:$D$1004,M$4))</f>
        <v/>
      </c>
      <c r="N360" s="26">
        <f>IF(H360="","",SUMIFS(VENDAS!$F$5:$F$1004,VENDAS!$A$5:$A$1004,H360,VENDAS!$D$5:$D$1004,N$4))</f>
        <v/>
      </c>
      <c r="O360" s="26">
        <f>IF(H360="","",SUMIFS(VENDAS!$F$5:$F$1004,VENDAS!$A$5:$A$1004,H360,VENDAS!$D$5:$D$1004,O$4))</f>
        <v/>
      </c>
      <c r="P360" s="26">
        <f>IF(H360="","",SUMIFS(VENDAS!$F$5:$F$1004,VENDAS!$A$5:$A$1004,H360,VENDAS!$D$5:$D$1004,P$4))</f>
        <v/>
      </c>
      <c r="Q360" s="24">
        <f>IF(H360="","",SUMIFS(VENDAS!$H$5:$H$1004,VENDAS!$A$5:$A$1004,H360))</f>
        <v/>
      </c>
      <c r="R360" s="24">
        <f>IF(H360="","",SUMIFS(VENDAS!$K$5:$K$1004,VENDAS!$A$5:$A$1004,H360))</f>
        <v/>
      </c>
      <c r="S360" s="20" t="n"/>
      <c r="T360" s="31" t="n"/>
    </row>
    <row r="361">
      <c r="H361" s="20" t="n"/>
      <c r="I361" s="30">
        <f>IF(H361="","",IFERROR(INDEX(VENDAS!$B$5:$B$1004,MATCH(H361,VENDAS!$A$5:$A$1004,0)),"não lançado"))</f>
        <v/>
      </c>
      <c r="J361" s="22">
        <f>IF(H361="","",IFERROR(INDEX(VENDAS!$M$5:$M$1004,MATCH(H361,VENDAS!$A$5:$A$1004,0))&amp;"",""))</f>
        <v/>
      </c>
      <c r="K361" s="22">
        <f>IF(H361="","",IFERROR(INDEX(VENDAS!$J$5:$J$1004,MATCH(H361,VENDAS!$A$5:$A$1004,0))&amp;"",""))</f>
        <v/>
      </c>
      <c r="L361" s="26">
        <f>IF(H361="","",SUMIFS(VENDAS!$F$5:$F$1004,VENDAS!$A$5:$A$1004,H361))</f>
        <v/>
      </c>
      <c r="M361" s="26">
        <f>IF(H361="","",SUMIFS(VENDAS!$F$5:$F$1004,VENDAS!$A$5:$A$1004,H361,VENDAS!$D$5:$D$1004,M$4))</f>
        <v/>
      </c>
      <c r="N361" s="26">
        <f>IF(H361="","",SUMIFS(VENDAS!$F$5:$F$1004,VENDAS!$A$5:$A$1004,H361,VENDAS!$D$5:$D$1004,N$4))</f>
        <v/>
      </c>
      <c r="O361" s="26">
        <f>IF(H361="","",SUMIFS(VENDAS!$F$5:$F$1004,VENDAS!$A$5:$A$1004,H361,VENDAS!$D$5:$D$1004,O$4))</f>
        <v/>
      </c>
      <c r="P361" s="26">
        <f>IF(H361="","",SUMIFS(VENDAS!$F$5:$F$1004,VENDAS!$A$5:$A$1004,H361,VENDAS!$D$5:$D$1004,P$4))</f>
        <v/>
      </c>
      <c r="Q361" s="24">
        <f>IF(H361="","",SUMIFS(VENDAS!$H$5:$H$1004,VENDAS!$A$5:$A$1004,H361))</f>
        <v/>
      </c>
      <c r="R361" s="24">
        <f>IF(H361="","",SUMIFS(VENDAS!$K$5:$K$1004,VENDAS!$A$5:$A$1004,H361))</f>
        <v/>
      </c>
      <c r="S361" s="20" t="n"/>
      <c r="T361" s="31" t="n"/>
    </row>
    <row r="362">
      <c r="H362" s="20" t="n"/>
      <c r="I362" s="30">
        <f>IF(H362="","",IFERROR(INDEX(VENDAS!$B$5:$B$1004,MATCH(H362,VENDAS!$A$5:$A$1004,0)),"não lançado"))</f>
        <v/>
      </c>
      <c r="J362" s="22">
        <f>IF(H362="","",IFERROR(INDEX(VENDAS!$M$5:$M$1004,MATCH(H362,VENDAS!$A$5:$A$1004,0))&amp;"",""))</f>
        <v/>
      </c>
      <c r="K362" s="22">
        <f>IF(H362="","",IFERROR(INDEX(VENDAS!$J$5:$J$1004,MATCH(H362,VENDAS!$A$5:$A$1004,0))&amp;"",""))</f>
        <v/>
      </c>
      <c r="L362" s="26">
        <f>IF(H362="","",SUMIFS(VENDAS!$F$5:$F$1004,VENDAS!$A$5:$A$1004,H362))</f>
        <v/>
      </c>
      <c r="M362" s="26">
        <f>IF(H362="","",SUMIFS(VENDAS!$F$5:$F$1004,VENDAS!$A$5:$A$1004,H362,VENDAS!$D$5:$D$1004,M$4))</f>
        <v/>
      </c>
      <c r="N362" s="26">
        <f>IF(H362="","",SUMIFS(VENDAS!$F$5:$F$1004,VENDAS!$A$5:$A$1004,H362,VENDAS!$D$5:$D$1004,N$4))</f>
        <v/>
      </c>
      <c r="O362" s="26">
        <f>IF(H362="","",SUMIFS(VENDAS!$F$5:$F$1004,VENDAS!$A$5:$A$1004,H362,VENDAS!$D$5:$D$1004,O$4))</f>
        <v/>
      </c>
      <c r="P362" s="26">
        <f>IF(H362="","",SUMIFS(VENDAS!$F$5:$F$1004,VENDAS!$A$5:$A$1004,H362,VENDAS!$D$5:$D$1004,P$4))</f>
        <v/>
      </c>
      <c r="Q362" s="24">
        <f>IF(H362="","",SUMIFS(VENDAS!$H$5:$H$1004,VENDAS!$A$5:$A$1004,H362))</f>
        <v/>
      </c>
      <c r="R362" s="24">
        <f>IF(H362="","",SUMIFS(VENDAS!$K$5:$K$1004,VENDAS!$A$5:$A$1004,H362))</f>
        <v/>
      </c>
      <c r="S362" s="20" t="n"/>
      <c r="T362" s="31" t="n"/>
    </row>
    <row r="363">
      <c r="H363" s="20" t="n"/>
      <c r="I363" s="30">
        <f>IF(H363="","",IFERROR(INDEX(VENDAS!$B$5:$B$1004,MATCH(H363,VENDAS!$A$5:$A$1004,0)),"não lançado"))</f>
        <v/>
      </c>
      <c r="J363" s="22">
        <f>IF(H363="","",IFERROR(INDEX(VENDAS!$M$5:$M$1004,MATCH(H363,VENDAS!$A$5:$A$1004,0))&amp;"",""))</f>
        <v/>
      </c>
      <c r="K363" s="22">
        <f>IF(H363="","",IFERROR(INDEX(VENDAS!$J$5:$J$1004,MATCH(H363,VENDAS!$A$5:$A$1004,0))&amp;"",""))</f>
        <v/>
      </c>
      <c r="L363" s="26">
        <f>IF(H363="","",SUMIFS(VENDAS!$F$5:$F$1004,VENDAS!$A$5:$A$1004,H363))</f>
        <v/>
      </c>
      <c r="M363" s="26">
        <f>IF(H363="","",SUMIFS(VENDAS!$F$5:$F$1004,VENDAS!$A$5:$A$1004,H363,VENDAS!$D$5:$D$1004,M$4))</f>
        <v/>
      </c>
      <c r="N363" s="26">
        <f>IF(H363="","",SUMIFS(VENDAS!$F$5:$F$1004,VENDAS!$A$5:$A$1004,H363,VENDAS!$D$5:$D$1004,N$4))</f>
        <v/>
      </c>
      <c r="O363" s="26">
        <f>IF(H363="","",SUMIFS(VENDAS!$F$5:$F$1004,VENDAS!$A$5:$A$1004,H363,VENDAS!$D$5:$D$1004,O$4))</f>
        <v/>
      </c>
      <c r="P363" s="26">
        <f>IF(H363="","",SUMIFS(VENDAS!$F$5:$F$1004,VENDAS!$A$5:$A$1004,H363,VENDAS!$D$5:$D$1004,P$4))</f>
        <v/>
      </c>
      <c r="Q363" s="24">
        <f>IF(H363="","",SUMIFS(VENDAS!$H$5:$H$1004,VENDAS!$A$5:$A$1004,H363))</f>
        <v/>
      </c>
      <c r="R363" s="24">
        <f>IF(H363="","",SUMIFS(VENDAS!$K$5:$K$1004,VENDAS!$A$5:$A$1004,H363))</f>
        <v/>
      </c>
      <c r="S363" s="20" t="n"/>
      <c r="T363" s="31" t="n"/>
    </row>
    <row r="364">
      <c r="H364" s="20" t="n"/>
      <c r="I364" s="30">
        <f>IF(H364="","",IFERROR(INDEX(VENDAS!$B$5:$B$1004,MATCH(H364,VENDAS!$A$5:$A$1004,0)),"não lançado"))</f>
        <v/>
      </c>
      <c r="J364" s="22">
        <f>IF(H364="","",IFERROR(INDEX(VENDAS!$M$5:$M$1004,MATCH(H364,VENDAS!$A$5:$A$1004,0))&amp;"",""))</f>
        <v/>
      </c>
      <c r="K364" s="22">
        <f>IF(H364="","",IFERROR(INDEX(VENDAS!$J$5:$J$1004,MATCH(H364,VENDAS!$A$5:$A$1004,0))&amp;"",""))</f>
        <v/>
      </c>
      <c r="L364" s="26">
        <f>IF(H364="","",SUMIFS(VENDAS!$F$5:$F$1004,VENDAS!$A$5:$A$1004,H364))</f>
        <v/>
      </c>
      <c r="M364" s="26">
        <f>IF(H364="","",SUMIFS(VENDAS!$F$5:$F$1004,VENDAS!$A$5:$A$1004,H364,VENDAS!$D$5:$D$1004,M$4))</f>
        <v/>
      </c>
      <c r="N364" s="26">
        <f>IF(H364="","",SUMIFS(VENDAS!$F$5:$F$1004,VENDAS!$A$5:$A$1004,H364,VENDAS!$D$5:$D$1004,N$4))</f>
        <v/>
      </c>
      <c r="O364" s="26">
        <f>IF(H364="","",SUMIFS(VENDAS!$F$5:$F$1004,VENDAS!$A$5:$A$1004,H364,VENDAS!$D$5:$D$1004,O$4))</f>
        <v/>
      </c>
      <c r="P364" s="26">
        <f>IF(H364="","",SUMIFS(VENDAS!$F$5:$F$1004,VENDAS!$A$5:$A$1004,H364,VENDAS!$D$5:$D$1004,P$4))</f>
        <v/>
      </c>
      <c r="Q364" s="24">
        <f>IF(H364="","",SUMIFS(VENDAS!$H$5:$H$1004,VENDAS!$A$5:$A$1004,H364))</f>
        <v/>
      </c>
      <c r="R364" s="24">
        <f>IF(H364="","",SUMIFS(VENDAS!$K$5:$K$1004,VENDAS!$A$5:$A$1004,H364))</f>
        <v/>
      </c>
      <c r="S364" s="20" t="n"/>
      <c r="T364" s="31" t="n"/>
    </row>
    <row r="365">
      <c r="H365" s="20" t="n"/>
      <c r="I365" s="30">
        <f>IF(H365="","",IFERROR(INDEX(VENDAS!$B$5:$B$1004,MATCH(H365,VENDAS!$A$5:$A$1004,0)),"não lançado"))</f>
        <v/>
      </c>
      <c r="J365" s="22">
        <f>IF(H365="","",IFERROR(INDEX(VENDAS!$M$5:$M$1004,MATCH(H365,VENDAS!$A$5:$A$1004,0))&amp;"",""))</f>
        <v/>
      </c>
      <c r="K365" s="22">
        <f>IF(H365="","",IFERROR(INDEX(VENDAS!$J$5:$J$1004,MATCH(H365,VENDAS!$A$5:$A$1004,0))&amp;"",""))</f>
        <v/>
      </c>
      <c r="L365" s="26">
        <f>IF(H365="","",SUMIFS(VENDAS!$F$5:$F$1004,VENDAS!$A$5:$A$1004,H365))</f>
        <v/>
      </c>
      <c r="M365" s="26">
        <f>IF(H365="","",SUMIFS(VENDAS!$F$5:$F$1004,VENDAS!$A$5:$A$1004,H365,VENDAS!$D$5:$D$1004,M$4))</f>
        <v/>
      </c>
      <c r="N365" s="26">
        <f>IF(H365="","",SUMIFS(VENDAS!$F$5:$F$1004,VENDAS!$A$5:$A$1004,H365,VENDAS!$D$5:$D$1004,N$4))</f>
        <v/>
      </c>
      <c r="O365" s="26">
        <f>IF(H365="","",SUMIFS(VENDAS!$F$5:$F$1004,VENDAS!$A$5:$A$1004,H365,VENDAS!$D$5:$D$1004,O$4))</f>
        <v/>
      </c>
      <c r="P365" s="26">
        <f>IF(H365="","",SUMIFS(VENDAS!$F$5:$F$1004,VENDAS!$A$5:$A$1004,H365,VENDAS!$D$5:$D$1004,P$4))</f>
        <v/>
      </c>
      <c r="Q365" s="24">
        <f>IF(H365="","",SUMIFS(VENDAS!$H$5:$H$1004,VENDAS!$A$5:$A$1004,H365))</f>
        <v/>
      </c>
      <c r="R365" s="24">
        <f>IF(H365="","",SUMIFS(VENDAS!$K$5:$K$1004,VENDAS!$A$5:$A$1004,H365))</f>
        <v/>
      </c>
      <c r="S365" s="20" t="n"/>
      <c r="T365" s="31" t="n"/>
    </row>
    <row r="366">
      <c r="H366" s="20" t="n"/>
      <c r="I366" s="30">
        <f>IF(H366="","",IFERROR(INDEX(VENDAS!$B$5:$B$1004,MATCH(H366,VENDAS!$A$5:$A$1004,0)),"não lançado"))</f>
        <v/>
      </c>
      <c r="J366" s="22">
        <f>IF(H366="","",IFERROR(INDEX(VENDAS!$M$5:$M$1004,MATCH(H366,VENDAS!$A$5:$A$1004,0))&amp;"",""))</f>
        <v/>
      </c>
      <c r="K366" s="22">
        <f>IF(H366="","",IFERROR(INDEX(VENDAS!$J$5:$J$1004,MATCH(H366,VENDAS!$A$5:$A$1004,0))&amp;"",""))</f>
        <v/>
      </c>
      <c r="L366" s="26">
        <f>IF(H366="","",SUMIFS(VENDAS!$F$5:$F$1004,VENDAS!$A$5:$A$1004,H366))</f>
        <v/>
      </c>
      <c r="M366" s="26">
        <f>IF(H366="","",SUMIFS(VENDAS!$F$5:$F$1004,VENDAS!$A$5:$A$1004,H366,VENDAS!$D$5:$D$1004,M$4))</f>
        <v/>
      </c>
      <c r="N366" s="26">
        <f>IF(H366="","",SUMIFS(VENDAS!$F$5:$F$1004,VENDAS!$A$5:$A$1004,H366,VENDAS!$D$5:$D$1004,N$4))</f>
        <v/>
      </c>
      <c r="O366" s="26">
        <f>IF(H366="","",SUMIFS(VENDAS!$F$5:$F$1004,VENDAS!$A$5:$A$1004,H366,VENDAS!$D$5:$D$1004,O$4))</f>
        <v/>
      </c>
      <c r="P366" s="26">
        <f>IF(H366="","",SUMIFS(VENDAS!$F$5:$F$1004,VENDAS!$A$5:$A$1004,H366,VENDAS!$D$5:$D$1004,P$4))</f>
        <v/>
      </c>
      <c r="Q366" s="24">
        <f>IF(H366="","",SUMIFS(VENDAS!$H$5:$H$1004,VENDAS!$A$5:$A$1004,H366))</f>
        <v/>
      </c>
      <c r="R366" s="24">
        <f>IF(H366="","",SUMIFS(VENDAS!$K$5:$K$1004,VENDAS!$A$5:$A$1004,H366))</f>
        <v/>
      </c>
      <c r="S366" s="20" t="n"/>
      <c r="T366" s="31" t="n"/>
    </row>
    <row r="367">
      <c r="H367" s="20" t="n"/>
      <c r="I367" s="30">
        <f>IF(H367="","",IFERROR(INDEX(VENDAS!$B$5:$B$1004,MATCH(H367,VENDAS!$A$5:$A$1004,0)),"não lançado"))</f>
        <v/>
      </c>
      <c r="J367" s="22">
        <f>IF(H367="","",IFERROR(INDEX(VENDAS!$M$5:$M$1004,MATCH(H367,VENDAS!$A$5:$A$1004,0))&amp;"",""))</f>
        <v/>
      </c>
      <c r="K367" s="22">
        <f>IF(H367="","",IFERROR(INDEX(VENDAS!$J$5:$J$1004,MATCH(H367,VENDAS!$A$5:$A$1004,0))&amp;"",""))</f>
        <v/>
      </c>
      <c r="L367" s="26">
        <f>IF(H367="","",SUMIFS(VENDAS!$F$5:$F$1004,VENDAS!$A$5:$A$1004,H367))</f>
        <v/>
      </c>
      <c r="M367" s="26">
        <f>IF(H367="","",SUMIFS(VENDAS!$F$5:$F$1004,VENDAS!$A$5:$A$1004,H367,VENDAS!$D$5:$D$1004,M$4))</f>
        <v/>
      </c>
      <c r="N367" s="26">
        <f>IF(H367="","",SUMIFS(VENDAS!$F$5:$F$1004,VENDAS!$A$5:$A$1004,H367,VENDAS!$D$5:$D$1004,N$4))</f>
        <v/>
      </c>
      <c r="O367" s="26">
        <f>IF(H367="","",SUMIFS(VENDAS!$F$5:$F$1004,VENDAS!$A$5:$A$1004,H367,VENDAS!$D$5:$D$1004,O$4))</f>
        <v/>
      </c>
      <c r="P367" s="26">
        <f>IF(H367="","",SUMIFS(VENDAS!$F$5:$F$1004,VENDAS!$A$5:$A$1004,H367,VENDAS!$D$5:$D$1004,P$4))</f>
        <v/>
      </c>
      <c r="Q367" s="24">
        <f>IF(H367="","",SUMIFS(VENDAS!$H$5:$H$1004,VENDAS!$A$5:$A$1004,H367))</f>
        <v/>
      </c>
      <c r="R367" s="24">
        <f>IF(H367="","",SUMIFS(VENDAS!$K$5:$K$1004,VENDAS!$A$5:$A$1004,H367))</f>
        <v/>
      </c>
      <c r="S367" s="20" t="n"/>
      <c r="T367" s="31" t="n"/>
    </row>
    <row r="368">
      <c r="H368" s="20" t="n"/>
      <c r="I368" s="30">
        <f>IF(H368="","",IFERROR(INDEX(VENDAS!$B$5:$B$1004,MATCH(H368,VENDAS!$A$5:$A$1004,0)),"não lançado"))</f>
        <v/>
      </c>
      <c r="J368" s="22">
        <f>IF(H368="","",IFERROR(INDEX(VENDAS!$M$5:$M$1004,MATCH(H368,VENDAS!$A$5:$A$1004,0))&amp;"",""))</f>
        <v/>
      </c>
      <c r="K368" s="22">
        <f>IF(H368="","",IFERROR(INDEX(VENDAS!$J$5:$J$1004,MATCH(H368,VENDAS!$A$5:$A$1004,0))&amp;"",""))</f>
        <v/>
      </c>
      <c r="L368" s="26">
        <f>IF(H368="","",SUMIFS(VENDAS!$F$5:$F$1004,VENDAS!$A$5:$A$1004,H368))</f>
        <v/>
      </c>
      <c r="M368" s="26">
        <f>IF(H368="","",SUMIFS(VENDAS!$F$5:$F$1004,VENDAS!$A$5:$A$1004,H368,VENDAS!$D$5:$D$1004,M$4))</f>
        <v/>
      </c>
      <c r="N368" s="26">
        <f>IF(H368="","",SUMIFS(VENDAS!$F$5:$F$1004,VENDAS!$A$5:$A$1004,H368,VENDAS!$D$5:$D$1004,N$4))</f>
        <v/>
      </c>
      <c r="O368" s="26">
        <f>IF(H368="","",SUMIFS(VENDAS!$F$5:$F$1004,VENDAS!$A$5:$A$1004,H368,VENDAS!$D$5:$D$1004,O$4))</f>
        <v/>
      </c>
      <c r="P368" s="26">
        <f>IF(H368="","",SUMIFS(VENDAS!$F$5:$F$1004,VENDAS!$A$5:$A$1004,H368,VENDAS!$D$5:$D$1004,P$4))</f>
        <v/>
      </c>
      <c r="Q368" s="24">
        <f>IF(H368="","",SUMIFS(VENDAS!$H$5:$H$1004,VENDAS!$A$5:$A$1004,H368))</f>
        <v/>
      </c>
      <c r="R368" s="24">
        <f>IF(H368="","",SUMIFS(VENDAS!$K$5:$K$1004,VENDAS!$A$5:$A$1004,H368))</f>
        <v/>
      </c>
      <c r="S368" s="20" t="n"/>
      <c r="T368" s="31" t="n"/>
    </row>
    <row r="369">
      <c r="H369" s="20" t="n"/>
      <c r="I369" s="30">
        <f>IF(H369="","",IFERROR(INDEX(VENDAS!$B$5:$B$1004,MATCH(H369,VENDAS!$A$5:$A$1004,0)),"não lançado"))</f>
        <v/>
      </c>
      <c r="J369" s="22">
        <f>IF(H369="","",IFERROR(INDEX(VENDAS!$M$5:$M$1004,MATCH(H369,VENDAS!$A$5:$A$1004,0))&amp;"",""))</f>
        <v/>
      </c>
      <c r="K369" s="22">
        <f>IF(H369="","",IFERROR(INDEX(VENDAS!$J$5:$J$1004,MATCH(H369,VENDAS!$A$5:$A$1004,0))&amp;"",""))</f>
        <v/>
      </c>
      <c r="L369" s="26">
        <f>IF(H369="","",SUMIFS(VENDAS!$F$5:$F$1004,VENDAS!$A$5:$A$1004,H369))</f>
        <v/>
      </c>
      <c r="M369" s="26">
        <f>IF(H369="","",SUMIFS(VENDAS!$F$5:$F$1004,VENDAS!$A$5:$A$1004,H369,VENDAS!$D$5:$D$1004,M$4))</f>
        <v/>
      </c>
      <c r="N369" s="26">
        <f>IF(H369="","",SUMIFS(VENDAS!$F$5:$F$1004,VENDAS!$A$5:$A$1004,H369,VENDAS!$D$5:$D$1004,N$4))</f>
        <v/>
      </c>
      <c r="O369" s="26">
        <f>IF(H369="","",SUMIFS(VENDAS!$F$5:$F$1004,VENDAS!$A$5:$A$1004,H369,VENDAS!$D$5:$D$1004,O$4))</f>
        <v/>
      </c>
      <c r="P369" s="26">
        <f>IF(H369="","",SUMIFS(VENDAS!$F$5:$F$1004,VENDAS!$A$5:$A$1004,H369,VENDAS!$D$5:$D$1004,P$4))</f>
        <v/>
      </c>
      <c r="Q369" s="24">
        <f>IF(H369="","",SUMIFS(VENDAS!$H$5:$H$1004,VENDAS!$A$5:$A$1004,H369))</f>
        <v/>
      </c>
      <c r="R369" s="24">
        <f>IF(H369="","",SUMIFS(VENDAS!$K$5:$K$1004,VENDAS!$A$5:$A$1004,H369))</f>
        <v/>
      </c>
      <c r="S369" s="20" t="n"/>
      <c r="T369" s="31" t="n"/>
    </row>
    <row r="370">
      <c r="H370" s="20" t="n"/>
      <c r="I370" s="30">
        <f>IF(H370="","",IFERROR(INDEX(VENDAS!$B$5:$B$1004,MATCH(H370,VENDAS!$A$5:$A$1004,0)),"não lançado"))</f>
        <v/>
      </c>
      <c r="J370" s="22">
        <f>IF(H370="","",IFERROR(INDEX(VENDAS!$M$5:$M$1004,MATCH(H370,VENDAS!$A$5:$A$1004,0))&amp;"",""))</f>
        <v/>
      </c>
      <c r="K370" s="22">
        <f>IF(H370="","",IFERROR(INDEX(VENDAS!$J$5:$J$1004,MATCH(H370,VENDAS!$A$5:$A$1004,0))&amp;"",""))</f>
        <v/>
      </c>
      <c r="L370" s="26">
        <f>IF(H370="","",SUMIFS(VENDAS!$F$5:$F$1004,VENDAS!$A$5:$A$1004,H370))</f>
        <v/>
      </c>
      <c r="M370" s="26">
        <f>IF(H370="","",SUMIFS(VENDAS!$F$5:$F$1004,VENDAS!$A$5:$A$1004,H370,VENDAS!$D$5:$D$1004,M$4))</f>
        <v/>
      </c>
      <c r="N370" s="26">
        <f>IF(H370="","",SUMIFS(VENDAS!$F$5:$F$1004,VENDAS!$A$5:$A$1004,H370,VENDAS!$D$5:$D$1004,N$4))</f>
        <v/>
      </c>
      <c r="O370" s="26">
        <f>IF(H370="","",SUMIFS(VENDAS!$F$5:$F$1004,VENDAS!$A$5:$A$1004,H370,VENDAS!$D$5:$D$1004,O$4))</f>
        <v/>
      </c>
      <c r="P370" s="26">
        <f>IF(H370="","",SUMIFS(VENDAS!$F$5:$F$1004,VENDAS!$A$5:$A$1004,H370,VENDAS!$D$5:$D$1004,P$4))</f>
        <v/>
      </c>
      <c r="Q370" s="24">
        <f>IF(H370="","",SUMIFS(VENDAS!$H$5:$H$1004,VENDAS!$A$5:$A$1004,H370))</f>
        <v/>
      </c>
      <c r="R370" s="24">
        <f>IF(H370="","",SUMIFS(VENDAS!$K$5:$K$1004,VENDAS!$A$5:$A$1004,H370))</f>
        <v/>
      </c>
      <c r="S370" s="20" t="n"/>
      <c r="T370" s="31" t="n"/>
    </row>
    <row r="371">
      <c r="H371" s="20" t="n"/>
      <c r="I371" s="30">
        <f>IF(H371="","",IFERROR(INDEX(VENDAS!$B$5:$B$1004,MATCH(H371,VENDAS!$A$5:$A$1004,0)),"não lançado"))</f>
        <v/>
      </c>
      <c r="J371" s="22">
        <f>IF(H371="","",IFERROR(INDEX(VENDAS!$M$5:$M$1004,MATCH(H371,VENDAS!$A$5:$A$1004,0))&amp;"",""))</f>
        <v/>
      </c>
      <c r="K371" s="22">
        <f>IF(H371="","",IFERROR(INDEX(VENDAS!$J$5:$J$1004,MATCH(H371,VENDAS!$A$5:$A$1004,0))&amp;"",""))</f>
        <v/>
      </c>
      <c r="L371" s="26">
        <f>IF(H371="","",SUMIFS(VENDAS!$F$5:$F$1004,VENDAS!$A$5:$A$1004,H371))</f>
        <v/>
      </c>
      <c r="M371" s="26">
        <f>IF(H371="","",SUMIFS(VENDAS!$F$5:$F$1004,VENDAS!$A$5:$A$1004,H371,VENDAS!$D$5:$D$1004,M$4))</f>
        <v/>
      </c>
      <c r="N371" s="26">
        <f>IF(H371="","",SUMIFS(VENDAS!$F$5:$F$1004,VENDAS!$A$5:$A$1004,H371,VENDAS!$D$5:$D$1004,N$4))</f>
        <v/>
      </c>
      <c r="O371" s="26">
        <f>IF(H371="","",SUMIFS(VENDAS!$F$5:$F$1004,VENDAS!$A$5:$A$1004,H371,VENDAS!$D$5:$D$1004,O$4))</f>
        <v/>
      </c>
      <c r="P371" s="26">
        <f>IF(H371="","",SUMIFS(VENDAS!$F$5:$F$1004,VENDAS!$A$5:$A$1004,H371,VENDAS!$D$5:$D$1004,P$4))</f>
        <v/>
      </c>
      <c r="Q371" s="24">
        <f>IF(H371="","",SUMIFS(VENDAS!$H$5:$H$1004,VENDAS!$A$5:$A$1004,H371))</f>
        <v/>
      </c>
      <c r="R371" s="24">
        <f>IF(H371="","",SUMIFS(VENDAS!$K$5:$K$1004,VENDAS!$A$5:$A$1004,H371))</f>
        <v/>
      </c>
      <c r="S371" s="20" t="n"/>
      <c r="T371" s="31" t="n"/>
    </row>
    <row r="372">
      <c r="H372" s="20" t="n"/>
      <c r="I372" s="30">
        <f>IF(H372="","",IFERROR(INDEX(VENDAS!$B$5:$B$1004,MATCH(H372,VENDAS!$A$5:$A$1004,0)),"não lançado"))</f>
        <v/>
      </c>
      <c r="J372" s="22">
        <f>IF(H372="","",IFERROR(INDEX(VENDAS!$M$5:$M$1004,MATCH(H372,VENDAS!$A$5:$A$1004,0))&amp;"",""))</f>
        <v/>
      </c>
      <c r="K372" s="22">
        <f>IF(H372="","",IFERROR(INDEX(VENDAS!$J$5:$J$1004,MATCH(H372,VENDAS!$A$5:$A$1004,0))&amp;"",""))</f>
        <v/>
      </c>
      <c r="L372" s="26">
        <f>IF(H372="","",SUMIFS(VENDAS!$F$5:$F$1004,VENDAS!$A$5:$A$1004,H372))</f>
        <v/>
      </c>
      <c r="M372" s="26">
        <f>IF(H372="","",SUMIFS(VENDAS!$F$5:$F$1004,VENDAS!$A$5:$A$1004,H372,VENDAS!$D$5:$D$1004,M$4))</f>
        <v/>
      </c>
      <c r="N372" s="26">
        <f>IF(H372="","",SUMIFS(VENDAS!$F$5:$F$1004,VENDAS!$A$5:$A$1004,H372,VENDAS!$D$5:$D$1004,N$4))</f>
        <v/>
      </c>
      <c r="O372" s="26">
        <f>IF(H372="","",SUMIFS(VENDAS!$F$5:$F$1004,VENDAS!$A$5:$A$1004,H372,VENDAS!$D$5:$D$1004,O$4))</f>
        <v/>
      </c>
      <c r="P372" s="26">
        <f>IF(H372="","",SUMIFS(VENDAS!$F$5:$F$1004,VENDAS!$A$5:$A$1004,H372,VENDAS!$D$5:$D$1004,P$4))</f>
        <v/>
      </c>
      <c r="Q372" s="24">
        <f>IF(H372="","",SUMIFS(VENDAS!$H$5:$H$1004,VENDAS!$A$5:$A$1004,H372))</f>
        <v/>
      </c>
      <c r="R372" s="24">
        <f>IF(H372="","",SUMIFS(VENDAS!$K$5:$K$1004,VENDAS!$A$5:$A$1004,H372))</f>
        <v/>
      </c>
      <c r="S372" s="20" t="n"/>
      <c r="T372" s="31" t="n"/>
    </row>
    <row r="373">
      <c r="H373" s="20" t="n"/>
      <c r="I373" s="30">
        <f>IF(H373="","",IFERROR(INDEX(VENDAS!$B$5:$B$1004,MATCH(H373,VENDAS!$A$5:$A$1004,0)),"não lançado"))</f>
        <v/>
      </c>
      <c r="J373" s="22">
        <f>IF(H373="","",IFERROR(INDEX(VENDAS!$M$5:$M$1004,MATCH(H373,VENDAS!$A$5:$A$1004,0))&amp;"",""))</f>
        <v/>
      </c>
      <c r="K373" s="22">
        <f>IF(H373="","",IFERROR(INDEX(VENDAS!$J$5:$J$1004,MATCH(H373,VENDAS!$A$5:$A$1004,0))&amp;"",""))</f>
        <v/>
      </c>
      <c r="L373" s="26">
        <f>IF(H373="","",SUMIFS(VENDAS!$F$5:$F$1004,VENDAS!$A$5:$A$1004,H373))</f>
        <v/>
      </c>
      <c r="M373" s="26">
        <f>IF(H373="","",SUMIFS(VENDAS!$F$5:$F$1004,VENDAS!$A$5:$A$1004,H373,VENDAS!$D$5:$D$1004,M$4))</f>
        <v/>
      </c>
      <c r="N373" s="26">
        <f>IF(H373="","",SUMIFS(VENDAS!$F$5:$F$1004,VENDAS!$A$5:$A$1004,H373,VENDAS!$D$5:$D$1004,N$4))</f>
        <v/>
      </c>
      <c r="O373" s="26">
        <f>IF(H373="","",SUMIFS(VENDAS!$F$5:$F$1004,VENDAS!$A$5:$A$1004,H373,VENDAS!$D$5:$D$1004,O$4))</f>
        <v/>
      </c>
      <c r="P373" s="26">
        <f>IF(H373="","",SUMIFS(VENDAS!$F$5:$F$1004,VENDAS!$A$5:$A$1004,H373,VENDAS!$D$5:$D$1004,P$4))</f>
        <v/>
      </c>
      <c r="Q373" s="24">
        <f>IF(H373="","",SUMIFS(VENDAS!$H$5:$H$1004,VENDAS!$A$5:$A$1004,H373))</f>
        <v/>
      </c>
      <c r="R373" s="24">
        <f>IF(H373="","",SUMIFS(VENDAS!$K$5:$K$1004,VENDAS!$A$5:$A$1004,H373))</f>
        <v/>
      </c>
      <c r="S373" s="20" t="n"/>
      <c r="T373" s="31" t="n"/>
    </row>
    <row r="374">
      <c r="H374" s="20" t="n"/>
      <c r="I374" s="30">
        <f>IF(H374="","",IFERROR(INDEX(VENDAS!$B$5:$B$1004,MATCH(H374,VENDAS!$A$5:$A$1004,0)),"não lançado"))</f>
        <v/>
      </c>
      <c r="J374" s="22">
        <f>IF(H374="","",IFERROR(INDEX(VENDAS!$M$5:$M$1004,MATCH(H374,VENDAS!$A$5:$A$1004,0))&amp;"",""))</f>
        <v/>
      </c>
      <c r="K374" s="22">
        <f>IF(H374="","",IFERROR(INDEX(VENDAS!$J$5:$J$1004,MATCH(H374,VENDAS!$A$5:$A$1004,0))&amp;"",""))</f>
        <v/>
      </c>
      <c r="L374" s="26">
        <f>IF(H374="","",SUMIFS(VENDAS!$F$5:$F$1004,VENDAS!$A$5:$A$1004,H374))</f>
        <v/>
      </c>
      <c r="M374" s="26">
        <f>IF(H374="","",SUMIFS(VENDAS!$F$5:$F$1004,VENDAS!$A$5:$A$1004,H374,VENDAS!$D$5:$D$1004,M$4))</f>
        <v/>
      </c>
      <c r="N374" s="26">
        <f>IF(H374="","",SUMIFS(VENDAS!$F$5:$F$1004,VENDAS!$A$5:$A$1004,H374,VENDAS!$D$5:$D$1004,N$4))</f>
        <v/>
      </c>
      <c r="O374" s="26">
        <f>IF(H374="","",SUMIFS(VENDAS!$F$5:$F$1004,VENDAS!$A$5:$A$1004,H374,VENDAS!$D$5:$D$1004,O$4))</f>
        <v/>
      </c>
      <c r="P374" s="26">
        <f>IF(H374="","",SUMIFS(VENDAS!$F$5:$F$1004,VENDAS!$A$5:$A$1004,H374,VENDAS!$D$5:$D$1004,P$4))</f>
        <v/>
      </c>
      <c r="Q374" s="24">
        <f>IF(H374="","",SUMIFS(VENDAS!$H$5:$H$1004,VENDAS!$A$5:$A$1004,H374))</f>
        <v/>
      </c>
      <c r="R374" s="24">
        <f>IF(H374="","",SUMIFS(VENDAS!$K$5:$K$1004,VENDAS!$A$5:$A$1004,H374))</f>
        <v/>
      </c>
      <c r="S374" s="20" t="n"/>
      <c r="T374" s="31" t="n"/>
    </row>
    <row r="375">
      <c r="H375" s="20" t="n"/>
      <c r="I375" s="30">
        <f>IF(H375="","",IFERROR(INDEX(VENDAS!$B$5:$B$1004,MATCH(H375,VENDAS!$A$5:$A$1004,0)),"não lançado"))</f>
        <v/>
      </c>
      <c r="J375" s="22">
        <f>IF(H375="","",IFERROR(INDEX(VENDAS!$M$5:$M$1004,MATCH(H375,VENDAS!$A$5:$A$1004,0))&amp;"",""))</f>
        <v/>
      </c>
      <c r="K375" s="22">
        <f>IF(H375="","",IFERROR(INDEX(VENDAS!$J$5:$J$1004,MATCH(H375,VENDAS!$A$5:$A$1004,0))&amp;"",""))</f>
        <v/>
      </c>
      <c r="L375" s="26">
        <f>IF(H375="","",SUMIFS(VENDAS!$F$5:$F$1004,VENDAS!$A$5:$A$1004,H375))</f>
        <v/>
      </c>
      <c r="M375" s="26">
        <f>IF(H375="","",SUMIFS(VENDAS!$F$5:$F$1004,VENDAS!$A$5:$A$1004,H375,VENDAS!$D$5:$D$1004,M$4))</f>
        <v/>
      </c>
      <c r="N375" s="26">
        <f>IF(H375="","",SUMIFS(VENDAS!$F$5:$F$1004,VENDAS!$A$5:$A$1004,H375,VENDAS!$D$5:$D$1004,N$4))</f>
        <v/>
      </c>
      <c r="O375" s="26">
        <f>IF(H375="","",SUMIFS(VENDAS!$F$5:$F$1004,VENDAS!$A$5:$A$1004,H375,VENDAS!$D$5:$D$1004,O$4))</f>
        <v/>
      </c>
      <c r="P375" s="26">
        <f>IF(H375="","",SUMIFS(VENDAS!$F$5:$F$1004,VENDAS!$A$5:$A$1004,H375,VENDAS!$D$5:$D$1004,P$4))</f>
        <v/>
      </c>
      <c r="Q375" s="24">
        <f>IF(H375="","",SUMIFS(VENDAS!$H$5:$H$1004,VENDAS!$A$5:$A$1004,H375))</f>
        <v/>
      </c>
      <c r="R375" s="24">
        <f>IF(H375="","",SUMIFS(VENDAS!$K$5:$K$1004,VENDAS!$A$5:$A$1004,H375))</f>
        <v/>
      </c>
      <c r="S375" s="20" t="n"/>
      <c r="T375" s="31" t="n"/>
    </row>
    <row r="376">
      <c r="H376" s="20" t="n"/>
      <c r="I376" s="30">
        <f>IF(H376="","",IFERROR(INDEX(VENDAS!$B$5:$B$1004,MATCH(H376,VENDAS!$A$5:$A$1004,0)),"não lançado"))</f>
        <v/>
      </c>
      <c r="J376" s="22">
        <f>IF(H376="","",IFERROR(INDEX(VENDAS!$M$5:$M$1004,MATCH(H376,VENDAS!$A$5:$A$1004,0))&amp;"",""))</f>
        <v/>
      </c>
      <c r="K376" s="22">
        <f>IF(H376="","",IFERROR(INDEX(VENDAS!$J$5:$J$1004,MATCH(H376,VENDAS!$A$5:$A$1004,0))&amp;"",""))</f>
        <v/>
      </c>
      <c r="L376" s="26">
        <f>IF(H376="","",SUMIFS(VENDAS!$F$5:$F$1004,VENDAS!$A$5:$A$1004,H376))</f>
        <v/>
      </c>
      <c r="M376" s="26">
        <f>IF(H376="","",SUMIFS(VENDAS!$F$5:$F$1004,VENDAS!$A$5:$A$1004,H376,VENDAS!$D$5:$D$1004,M$4))</f>
        <v/>
      </c>
      <c r="N376" s="26">
        <f>IF(H376="","",SUMIFS(VENDAS!$F$5:$F$1004,VENDAS!$A$5:$A$1004,H376,VENDAS!$D$5:$D$1004,N$4))</f>
        <v/>
      </c>
      <c r="O376" s="26">
        <f>IF(H376="","",SUMIFS(VENDAS!$F$5:$F$1004,VENDAS!$A$5:$A$1004,H376,VENDAS!$D$5:$D$1004,O$4))</f>
        <v/>
      </c>
      <c r="P376" s="26">
        <f>IF(H376="","",SUMIFS(VENDAS!$F$5:$F$1004,VENDAS!$A$5:$A$1004,H376,VENDAS!$D$5:$D$1004,P$4))</f>
        <v/>
      </c>
      <c r="Q376" s="24">
        <f>IF(H376="","",SUMIFS(VENDAS!$H$5:$H$1004,VENDAS!$A$5:$A$1004,H376))</f>
        <v/>
      </c>
      <c r="R376" s="24">
        <f>IF(H376="","",SUMIFS(VENDAS!$K$5:$K$1004,VENDAS!$A$5:$A$1004,H376))</f>
        <v/>
      </c>
      <c r="S376" s="20" t="n"/>
      <c r="T376" s="31" t="n"/>
    </row>
    <row r="377">
      <c r="H377" s="20" t="n"/>
      <c r="I377" s="30">
        <f>IF(H377="","",IFERROR(INDEX(VENDAS!$B$5:$B$1004,MATCH(H377,VENDAS!$A$5:$A$1004,0)),"não lançado"))</f>
        <v/>
      </c>
      <c r="J377" s="22">
        <f>IF(H377="","",IFERROR(INDEX(VENDAS!$M$5:$M$1004,MATCH(H377,VENDAS!$A$5:$A$1004,0))&amp;"",""))</f>
        <v/>
      </c>
      <c r="K377" s="22">
        <f>IF(H377="","",IFERROR(INDEX(VENDAS!$J$5:$J$1004,MATCH(H377,VENDAS!$A$5:$A$1004,0))&amp;"",""))</f>
        <v/>
      </c>
      <c r="L377" s="26">
        <f>IF(H377="","",SUMIFS(VENDAS!$F$5:$F$1004,VENDAS!$A$5:$A$1004,H377))</f>
        <v/>
      </c>
      <c r="M377" s="26">
        <f>IF(H377="","",SUMIFS(VENDAS!$F$5:$F$1004,VENDAS!$A$5:$A$1004,H377,VENDAS!$D$5:$D$1004,M$4))</f>
        <v/>
      </c>
      <c r="N377" s="26">
        <f>IF(H377="","",SUMIFS(VENDAS!$F$5:$F$1004,VENDAS!$A$5:$A$1004,H377,VENDAS!$D$5:$D$1004,N$4))</f>
        <v/>
      </c>
      <c r="O377" s="26">
        <f>IF(H377="","",SUMIFS(VENDAS!$F$5:$F$1004,VENDAS!$A$5:$A$1004,H377,VENDAS!$D$5:$D$1004,O$4))</f>
        <v/>
      </c>
      <c r="P377" s="26">
        <f>IF(H377="","",SUMIFS(VENDAS!$F$5:$F$1004,VENDAS!$A$5:$A$1004,H377,VENDAS!$D$5:$D$1004,P$4))</f>
        <v/>
      </c>
      <c r="Q377" s="24">
        <f>IF(H377="","",SUMIFS(VENDAS!$H$5:$H$1004,VENDAS!$A$5:$A$1004,H377))</f>
        <v/>
      </c>
      <c r="R377" s="24">
        <f>IF(H377="","",SUMIFS(VENDAS!$K$5:$K$1004,VENDAS!$A$5:$A$1004,H377))</f>
        <v/>
      </c>
      <c r="S377" s="20" t="n"/>
      <c r="T377" s="31" t="n"/>
    </row>
    <row r="378">
      <c r="H378" s="20" t="n"/>
      <c r="I378" s="30">
        <f>IF(H378="","",IFERROR(INDEX(VENDAS!$B$5:$B$1004,MATCH(H378,VENDAS!$A$5:$A$1004,0)),"não lançado"))</f>
        <v/>
      </c>
      <c r="J378" s="22">
        <f>IF(H378="","",IFERROR(INDEX(VENDAS!$M$5:$M$1004,MATCH(H378,VENDAS!$A$5:$A$1004,0))&amp;"",""))</f>
        <v/>
      </c>
      <c r="K378" s="22">
        <f>IF(H378="","",IFERROR(INDEX(VENDAS!$J$5:$J$1004,MATCH(H378,VENDAS!$A$5:$A$1004,0))&amp;"",""))</f>
        <v/>
      </c>
      <c r="L378" s="26">
        <f>IF(H378="","",SUMIFS(VENDAS!$F$5:$F$1004,VENDAS!$A$5:$A$1004,H378))</f>
        <v/>
      </c>
      <c r="M378" s="26">
        <f>IF(H378="","",SUMIFS(VENDAS!$F$5:$F$1004,VENDAS!$A$5:$A$1004,H378,VENDAS!$D$5:$D$1004,M$4))</f>
        <v/>
      </c>
      <c r="N378" s="26">
        <f>IF(H378="","",SUMIFS(VENDAS!$F$5:$F$1004,VENDAS!$A$5:$A$1004,H378,VENDAS!$D$5:$D$1004,N$4))</f>
        <v/>
      </c>
      <c r="O378" s="26">
        <f>IF(H378="","",SUMIFS(VENDAS!$F$5:$F$1004,VENDAS!$A$5:$A$1004,H378,VENDAS!$D$5:$D$1004,O$4))</f>
        <v/>
      </c>
      <c r="P378" s="26">
        <f>IF(H378="","",SUMIFS(VENDAS!$F$5:$F$1004,VENDAS!$A$5:$A$1004,H378,VENDAS!$D$5:$D$1004,P$4))</f>
        <v/>
      </c>
      <c r="Q378" s="24">
        <f>IF(H378="","",SUMIFS(VENDAS!$H$5:$H$1004,VENDAS!$A$5:$A$1004,H378))</f>
        <v/>
      </c>
      <c r="R378" s="24">
        <f>IF(H378="","",SUMIFS(VENDAS!$K$5:$K$1004,VENDAS!$A$5:$A$1004,H378))</f>
        <v/>
      </c>
      <c r="S378" s="20" t="n"/>
      <c r="T378" s="31" t="n"/>
    </row>
    <row r="379">
      <c r="H379" s="20" t="n"/>
      <c r="I379" s="30">
        <f>IF(H379="","",IFERROR(INDEX(VENDAS!$B$5:$B$1004,MATCH(H379,VENDAS!$A$5:$A$1004,0)),"não lançado"))</f>
        <v/>
      </c>
      <c r="J379" s="22">
        <f>IF(H379="","",IFERROR(INDEX(VENDAS!$M$5:$M$1004,MATCH(H379,VENDAS!$A$5:$A$1004,0))&amp;"",""))</f>
        <v/>
      </c>
      <c r="K379" s="22">
        <f>IF(H379="","",IFERROR(INDEX(VENDAS!$J$5:$J$1004,MATCH(H379,VENDAS!$A$5:$A$1004,0))&amp;"",""))</f>
        <v/>
      </c>
      <c r="L379" s="26">
        <f>IF(H379="","",SUMIFS(VENDAS!$F$5:$F$1004,VENDAS!$A$5:$A$1004,H379))</f>
        <v/>
      </c>
      <c r="M379" s="26">
        <f>IF(H379="","",SUMIFS(VENDAS!$F$5:$F$1004,VENDAS!$A$5:$A$1004,H379,VENDAS!$D$5:$D$1004,M$4))</f>
        <v/>
      </c>
      <c r="N379" s="26">
        <f>IF(H379="","",SUMIFS(VENDAS!$F$5:$F$1004,VENDAS!$A$5:$A$1004,H379,VENDAS!$D$5:$D$1004,N$4))</f>
        <v/>
      </c>
      <c r="O379" s="26">
        <f>IF(H379="","",SUMIFS(VENDAS!$F$5:$F$1004,VENDAS!$A$5:$A$1004,H379,VENDAS!$D$5:$D$1004,O$4))</f>
        <v/>
      </c>
      <c r="P379" s="26">
        <f>IF(H379="","",SUMIFS(VENDAS!$F$5:$F$1004,VENDAS!$A$5:$A$1004,H379,VENDAS!$D$5:$D$1004,P$4))</f>
        <v/>
      </c>
      <c r="Q379" s="24">
        <f>IF(H379="","",SUMIFS(VENDAS!$H$5:$H$1004,VENDAS!$A$5:$A$1004,H379))</f>
        <v/>
      </c>
      <c r="R379" s="24">
        <f>IF(H379="","",SUMIFS(VENDAS!$K$5:$K$1004,VENDAS!$A$5:$A$1004,H379))</f>
        <v/>
      </c>
      <c r="S379" s="20" t="n"/>
      <c r="T379" s="31" t="n"/>
    </row>
    <row r="380">
      <c r="H380" s="20" t="n"/>
      <c r="I380" s="30">
        <f>IF(H380="","",IFERROR(INDEX(VENDAS!$B$5:$B$1004,MATCH(H380,VENDAS!$A$5:$A$1004,0)),"não lançado"))</f>
        <v/>
      </c>
      <c r="J380" s="22">
        <f>IF(H380="","",IFERROR(INDEX(VENDAS!$M$5:$M$1004,MATCH(H380,VENDAS!$A$5:$A$1004,0))&amp;"",""))</f>
        <v/>
      </c>
      <c r="K380" s="22">
        <f>IF(H380="","",IFERROR(INDEX(VENDAS!$J$5:$J$1004,MATCH(H380,VENDAS!$A$5:$A$1004,0))&amp;"",""))</f>
        <v/>
      </c>
      <c r="L380" s="26">
        <f>IF(H380="","",SUMIFS(VENDAS!$F$5:$F$1004,VENDAS!$A$5:$A$1004,H380))</f>
        <v/>
      </c>
      <c r="M380" s="26">
        <f>IF(H380="","",SUMIFS(VENDAS!$F$5:$F$1004,VENDAS!$A$5:$A$1004,H380,VENDAS!$D$5:$D$1004,M$4))</f>
        <v/>
      </c>
      <c r="N380" s="26">
        <f>IF(H380="","",SUMIFS(VENDAS!$F$5:$F$1004,VENDAS!$A$5:$A$1004,H380,VENDAS!$D$5:$D$1004,N$4))</f>
        <v/>
      </c>
      <c r="O380" s="26">
        <f>IF(H380="","",SUMIFS(VENDAS!$F$5:$F$1004,VENDAS!$A$5:$A$1004,H380,VENDAS!$D$5:$D$1004,O$4))</f>
        <v/>
      </c>
      <c r="P380" s="26">
        <f>IF(H380="","",SUMIFS(VENDAS!$F$5:$F$1004,VENDAS!$A$5:$A$1004,H380,VENDAS!$D$5:$D$1004,P$4))</f>
        <v/>
      </c>
      <c r="Q380" s="24">
        <f>IF(H380="","",SUMIFS(VENDAS!$H$5:$H$1004,VENDAS!$A$5:$A$1004,H380))</f>
        <v/>
      </c>
      <c r="R380" s="24">
        <f>IF(H380="","",SUMIFS(VENDAS!$K$5:$K$1004,VENDAS!$A$5:$A$1004,H380))</f>
        <v/>
      </c>
      <c r="S380" s="20" t="n"/>
      <c r="T380" s="31" t="n"/>
    </row>
    <row r="381">
      <c r="H381" s="20" t="n"/>
      <c r="I381" s="30">
        <f>IF(H381="","",IFERROR(INDEX(VENDAS!$B$5:$B$1004,MATCH(H381,VENDAS!$A$5:$A$1004,0)),"não lançado"))</f>
        <v/>
      </c>
      <c r="J381" s="22">
        <f>IF(H381="","",IFERROR(INDEX(VENDAS!$M$5:$M$1004,MATCH(H381,VENDAS!$A$5:$A$1004,0))&amp;"",""))</f>
        <v/>
      </c>
      <c r="K381" s="22">
        <f>IF(H381="","",IFERROR(INDEX(VENDAS!$J$5:$J$1004,MATCH(H381,VENDAS!$A$5:$A$1004,0))&amp;"",""))</f>
        <v/>
      </c>
      <c r="L381" s="26">
        <f>IF(H381="","",SUMIFS(VENDAS!$F$5:$F$1004,VENDAS!$A$5:$A$1004,H381))</f>
        <v/>
      </c>
      <c r="M381" s="26">
        <f>IF(H381="","",SUMIFS(VENDAS!$F$5:$F$1004,VENDAS!$A$5:$A$1004,H381,VENDAS!$D$5:$D$1004,M$4))</f>
        <v/>
      </c>
      <c r="N381" s="26">
        <f>IF(H381="","",SUMIFS(VENDAS!$F$5:$F$1004,VENDAS!$A$5:$A$1004,H381,VENDAS!$D$5:$D$1004,N$4))</f>
        <v/>
      </c>
      <c r="O381" s="26">
        <f>IF(H381="","",SUMIFS(VENDAS!$F$5:$F$1004,VENDAS!$A$5:$A$1004,H381,VENDAS!$D$5:$D$1004,O$4))</f>
        <v/>
      </c>
      <c r="P381" s="26">
        <f>IF(H381="","",SUMIFS(VENDAS!$F$5:$F$1004,VENDAS!$A$5:$A$1004,H381,VENDAS!$D$5:$D$1004,P$4))</f>
        <v/>
      </c>
      <c r="Q381" s="24">
        <f>IF(H381="","",SUMIFS(VENDAS!$H$5:$H$1004,VENDAS!$A$5:$A$1004,H381))</f>
        <v/>
      </c>
      <c r="R381" s="24">
        <f>IF(H381="","",SUMIFS(VENDAS!$K$5:$K$1004,VENDAS!$A$5:$A$1004,H381))</f>
        <v/>
      </c>
      <c r="S381" s="20" t="n"/>
      <c r="T381" s="31" t="n"/>
    </row>
    <row r="382">
      <c r="H382" s="20" t="n"/>
      <c r="I382" s="30">
        <f>IF(H382="","",IFERROR(INDEX(VENDAS!$B$5:$B$1004,MATCH(H382,VENDAS!$A$5:$A$1004,0)),"não lançado"))</f>
        <v/>
      </c>
      <c r="J382" s="22">
        <f>IF(H382="","",IFERROR(INDEX(VENDAS!$M$5:$M$1004,MATCH(H382,VENDAS!$A$5:$A$1004,0))&amp;"",""))</f>
        <v/>
      </c>
      <c r="K382" s="22">
        <f>IF(H382="","",IFERROR(INDEX(VENDAS!$J$5:$J$1004,MATCH(H382,VENDAS!$A$5:$A$1004,0))&amp;"",""))</f>
        <v/>
      </c>
      <c r="L382" s="26">
        <f>IF(H382="","",SUMIFS(VENDAS!$F$5:$F$1004,VENDAS!$A$5:$A$1004,H382))</f>
        <v/>
      </c>
      <c r="M382" s="26">
        <f>IF(H382="","",SUMIFS(VENDAS!$F$5:$F$1004,VENDAS!$A$5:$A$1004,H382,VENDAS!$D$5:$D$1004,M$4))</f>
        <v/>
      </c>
      <c r="N382" s="26">
        <f>IF(H382="","",SUMIFS(VENDAS!$F$5:$F$1004,VENDAS!$A$5:$A$1004,H382,VENDAS!$D$5:$D$1004,N$4))</f>
        <v/>
      </c>
      <c r="O382" s="26">
        <f>IF(H382="","",SUMIFS(VENDAS!$F$5:$F$1004,VENDAS!$A$5:$A$1004,H382,VENDAS!$D$5:$D$1004,O$4))</f>
        <v/>
      </c>
      <c r="P382" s="26">
        <f>IF(H382="","",SUMIFS(VENDAS!$F$5:$F$1004,VENDAS!$A$5:$A$1004,H382,VENDAS!$D$5:$D$1004,P$4))</f>
        <v/>
      </c>
      <c r="Q382" s="24">
        <f>IF(H382="","",SUMIFS(VENDAS!$H$5:$H$1004,VENDAS!$A$5:$A$1004,H382))</f>
        <v/>
      </c>
      <c r="R382" s="24">
        <f>IF(H382="","",SUMIFS(VENDAS!$K$5:$K$1004,VENDAS!$A$5:$A$1004,H382))</f>
        <v/>
      </c>
      <c r="S382" s="20" t="n"/>
      <c r="T382" s="31" t="n"/>
    </row>
    <row r="383">
      <c r="H383" s="20" t="n"/>
      <c r="I383" s="30">
        <f>IF(H383="","",IFERROR(INDEX(VENDAS!$B$5:$B$1004,MATCH(H383,VENDAS!$A$5:$A$1004,0)),"não lançado"))</f>
        <v/>
      </c>
      <c r="J383" s="22">
        <f>IF(H383="","",IFERROR(INDEX(VENDAS!$M$5:$M$1004,MATCH(H383,VENDAS!$A$5:$A$1004,0))&amp;"",""))</f>
        <v/>
      </c>
      <c r="K383" s="22">
        <f>IF(H383="","",IFERROR(INDEX(VENDAS!$J$5:$J$1004,MATCH(H383,VENDAS!$A$5:$A$1004,0))&amp;"",""))</f>
        <v/>
      </c>
      <c r="L383" s="26">
        <f>IF(H383="","",SUMIFS(VENDAS!$F$5:$F$1004,VENDAS!$A$5:$A$1004,H383))</f>
        <v/>
      </c>
      <c r="M383" s="26">
        <f>IF(H383="","",SUMIFS(VENDAS!$F$5:$F$1004,VENDAS!$A$5:$A$1004,H383,VENDAS!$D$5:$D$1004,M$4))</f>
        <v/>
      </c>
      <c r="N383" s="26">
        <f>IF(H383="","",SUMIFS(VENDAS!$F$5:$F$1004,VENDAS!$A$5:$A$1004,H383,VENDAS!$D$5:$D$1004,N$4))</f>
        <v/>
      </c>
      <c r="O383" s="26">
        <f>IF(H383="","",SUMIFS(VENDAS!$F$5:$F$1004,VENDAS!$A$5:$A$1004,H383,VENDAS!$D$5:$D$1004,O$4))</f>
        <v/>
      </c>
      <c r="P383" s="26">
        <f>IF(H383="","",SUMIFS(VENDAS!$F$5:$F$1004,VENDAS!$A$5:$A$1004,H383,VENDAS!$D$5:$D$1004,P$4))</f>
        <v/>
      </c>
      <c r="Q383" s="24">
        <f>IF(H383="","",SUMIFS(VENDAS!$H$5:$H$1004,VENDAS!$A$5:$A$1004,H383))</f>
        <v/>
      </c>
      <c r="R383" s="24">
        <f>IF(H383="","",SUMIFS(VENDAS!$K$5:$K$1004,VENDAS!$A$5:$A$1004,H383))</f>
        <v/>
      </c>
      <c r="S383" s="20" t="n"/>
      <c r="T383" s="31" t="n"/>
    </row>
    <row r="384">
      <c r="H384" s="20" t="n"/>
      <c r="I384" s="30">
        <f>IF(H384="","",IFERROR(INDEX(VENDAS!$B$5:$B$1004,MATCH(H384,VENDAS!$A$5:$A$1004,0)),"não lançado"))</f>
        <v/>
      </c>
      <c r="J384" s="22">
        <f>IF(H384="","",IFERROR(INDEX(VENDAS!$M$5:$M$1004,MATCH(H384,VENDAS!$A$5:$A$1004,0))&amp;"",""))</f>
        <v/>
      </c>
      <c r="K384" s="22">
        <f>IF(H384="","",IFERROR(INDEX(VENDAS!$J$5:$J$1004,MATCH(H384,VENDAS!$A$5:$A$1004,0))&amp;"",""))</f>
        <v/>
      </c>
      <c r="L384" s="26">
        <f>IF(H384="","",SUMIFS(VENDAS!$F$5:$F$1004,VENDAS!$A$5:$A$1004,H384))</f>
        <v/>
      </c>
      <c r="M384" s="26">
        <f>IF(H384="","",SUMIFS(VENDAS!$F$5:$F$1004,VENDAS!$A$5:$A$1004,H384,VENDAS!$D$5:$D$1004,M$4))</f>
        <v/>
      </c>
      <c r="N384" s="26">
        <f>IF(H384="","",SUMIFS(VENDAS!$F$5:$F$1004,VENDAS!$A$5:$A$1004,H384,VENDAS!$D$5:$D$1004,N$4))</f>
        <v/>
      </c>
      <c r="O384" s="26">
        <f>IF(H384="","",SUMIFS(VENDAS!$F$5:$F$1004,VENDAS!$A$5:$A$1004,H384,VENDAS!$D$5:$D$1004,O$4))</f>
        <v/>
      </c>
      <c r="P384" s="26">
        <f>IF(H384="","",SUMIFS(VENDAS!$F$5:$F$1004,VENDAS!$A$5:$A$1004,H384,VENDAS!$D$5:$D$1004,P$4))</f>
        <v/>
      </c>
      <c r="Q384" s="24">
        <f>IF(H384="","",SUMIFS(VENDAS!$H$5:$H$1004,VENDAS!$A$5:$A$1004,H384))</f>
        <v/>
      </c>
      <c r="R384" s="24">
        <f>IF(H384="","",SUMIFS(VENDAS!$K$5:$K$1004,VENDAS!$A$5:$A$1004,H384))</f>
        <v/>
      </c>
      <c r="S384" s="20" t="n"/>
      <c r="T384" s="31" t="n"/>
    </row>
    <row r="385">
      <c r="H385" s="20" t="n"/>
      <c r="I385" s="30">
        <f>IF(H385="","",IFERROR(INDEX(VENDAS!$B$5:$B$1004,MATCH(H385,VENDAS!$A$5:$A$1004,0)),"não lançado"))</f>
        <v/>
      </c>
      <c r="J385" s="22">
        <f>IF(H385="","",IFERROR(INDEX(VENDAS!$M$5:$M$1004,MATCH(H385,VENDAS!$A$5:$A$1004,0))&amp;"",""))</f>
        <v/>
      </c>
      <c r="K385" s="22">
        <f>IF(H385="","",IFERROR(INDEX(VENDAS!$J$5:$J$1004,MATCH(H385,VENDAS!$A$5:$A$1004,0))&amp;"",""))</f>
        <v/>
      </c>
      <c r="L385" s="26">
        <f>IF(H385="","",SUMIFS(VENDAS!$F$5:$F$1004,VENDAS!$A$5:$A$1004,H385))</f>
        <v/>
      </c>
      <c r="M385" s="26">
        <f>IF(H385="","",SUMIFS(VENDAS!$F$5:$F$1004,VENDAS!$A$5:$A$1004,H385,VENDAS!$D$5:$D$1004,M$4))</f>
        <v/>
      </c>
      <c r="N385" s="26">
        <f>IF(H385="","",SUMIFS(VENDAS!$F$5:$F$1004,VENDAS!$A$5:$A$1004,H385,VENDAS!$D$5:$D$1004,N$4))</f>
        <v/>
      </c>
      <c r="O385" s="26">
        <f>IF(H385="","",SUMIFS(VENDAS!$F$5:$F$1004,VENDAS!$A$5:$A$1004,H385,VENDAS!$D$5:$D$1004,O$4))</f>
        <v/>
      </c>
      <c r="P385" s="26">
        <f>IF(H385="","",SUMIFS(VENDAS!$F$5:$F$1004,VENDAS!$A$5:$A$1004,H385,VENDAS!$D$5:$D$1004,P$4))</f>
        <v/>
      </c>
      <c r="Q385" s="24">
        <f>IF(H385="","",SUMIFS(VENDAS!$H$5:$H$1004,VENDAS!$A$5:$A$1004,H385))</f>
        <v/>
      </c>
      <c r="R385" s="24">
        <f>IF(H385="","",SUMIFS(VENDAS!$K$5:$K$1004,VENDAS!$A$5:$A$1004,H385))</f>
        <v/>
      </c>
      <c r="S385" s="20" t="n"/>
      <c r="T385" s="31" t="n"/>
    </row>
    <row r="386">
      <c r="H386" s="20" t="n"/>
      <c r="I386" s="30">
        <f>IF(H386="","",IFERROR(INDEX(VENDAS!$B$5:$B$1004,MATCH(H386,VENDAS!$A$5:$A$1004,0)),"não lançado"))</f>
        <v/>
      </c>
      <c r="J386" s="22">
        <f>IF(H386="","",IFERROR(INDEX(VENDAS!$M$5:$M$1004,MATCH(H386,VENDAS!$A$5:$A$1004,0))&amp;"",""))</f>
        <v/>
      </c>
      <c r="K386" s="22">
        <f>IF(H386="","",IFERROR(INDEX(VENDAS!$J$5:$J$1004,MATCH(H386,VENDAS!$A$5:$A$1004,0))&amp;"",""))</f>
        <v/>
      </c>
      <c r="L386" s="26">
        <f>IF(H386="","",SUMIFS(VENDAS!$F$5:$F$1004,VENDAS!$A$5:$A$1004,H386))</f>
        <v/>
      </c>
      <c r="M386" s="26">
        <f>IF(H386="","",SUMIFS(VENDAS!$F$5:$F$1004,VENDAS!$A$5:$A$1004,H386,VENDAS!$D$5:$D$1004,M$4))</f>
        <v/>
      </c>
      <c r="N386" s="26">
        <f>IF(H386="","",SUMIFS(VENDAS!$F$5:$F$1004,VENDAS!$A$5:$A$1004,H386,VENDAS!$D$5:$D$1004,N$4))</f>
        <v/>
      </c>
      <c r="O386" s="26">
        <f>IF(H386="","",SUMIFS(VENDAS!$F$5:$F$1004,VENDAS!$A$5:$A$1004,H386,VENDAS!$D$5:$D$1004,O$4))</f>
        <v/>
      </c>
      <c r="P386" s="26">
        <f>IF(H386="","",SUMIFS(VENDAS!$F$5:$F$1004,VENDAS!$A$5:$A$1004,H386,VENDAS!$D$5:$D$1004,P$4))</f>
        <v/>
      </c>
      <c r="Q386" s="24">
        <f>IF(H386="","",SUMIFS(VENDAS!$H$5:$H$1004,VENDAS!$A$5:$A$1004,H386))</f>
        <v/>
      </c>
      <c r="R386" s="24">
        <f>IF(H386="","",SUMIFS(VENDAS!$K$5:$K$1004,VENDAS!$A$5:$A$1004,H386))</f>
        <v/>
      </c>
      <c r="S386" s="20" t="n"/>
      <c r="T386" s="31" t="n"/>
    </row>
    <row r="387">
      <c r="H387" s="20" t="n"/>
      <c r="I387" s="30">
        <f>IF(H387="","",IFERROR(INDEX(VENDAS!$B$5:$B$1004,MATCH(H387,VENDAS!$A$5:$A$1004,0)),"não lançado"))</f>
        <v/>
      </c>
      <c r="J387" s="22">
        <f>IF(H387="","",IFERROR(INDEX(VENDAS!$M$5:$M$1004,MATCH(H387,VENDAS!$A$5:$A$1004,0))&amp;"",""))</f>
        <v/>
      </c>
      <c r="K387" s="22">
        <f>IF(H387="","",IFERROR(INDEX(VENDAS!$J$5:$J$1004,MATCH(H387,VENDAS!$A$5:$A$1004,0))&amp;"",""))</f>
        <v/>
      </c>
      <c r="L387" s="26">
        <f>IF(H387="","",SUMIFS(VENDAS!$F$5:$F$1004,VENDAS!$A$5:$A$1004,H387))</f>
        <v/>
      </c>
      <c r="M387" s="26">
        <f>IF(H387="","",SUMIFS(VENDAS!$F$5:$F$1004,VENDAS!$A$5:$A$1004,H387,VENDAS!$D$5:$D$1004,M$4))</f>
        <v/>
      </c>
      <c r="N387" s="26">
        <f>IF(H387="","",SUMIFS(VENDAS!$F$5:$F$1004,VENDAS!$A$5:$A$1004,H387,VENDAS!$D$5:$D$1004,N$4))</f>
        <v/>
      </c>
      <c r="O387" s="26">
        <f>IF(H387="","",SUMIFS(VENDAS!$F$5:$F$1004,VENDAS!$A$5:$A$1004,H387,VENDAS!$D$5:$D$1004,O$4))</f>
        <v/>
      </c>
      <c r="P387" s="26">
        <f>IF(H387="","",SUMIFS(VENDAS!$F$5:$F$1004,VENDAS!$A$5:$A$1004,H387,VENDAS!$D$5:$D$1004,P$4))</f>
        <v/>
      </c>
      <c r="Q387" s="24">
        <f>IF(H387="","",SUMIFS(VENDAS!$H$5:$H$1004,VENDAS!$A$5:$A$1004,H387))</f>
        <v/>
      </c>
      <c r="R387" s="24">
        <f>IF(H387="","",SUMIFS(VENDAS!$K$5:$K$1004,VENDAS!$A$5:$A$1004,H387))</f>
        <v/>
      </c>
      <c r="S387" s="20" t="n"/>
      <c r="T387" s="31" t="n"/>
    </row>
    <row r="388">
      <c r="H388" s="20" t="n"/>
      <c r="I388" s="30">
        <f>IF(H388="","",IFERROR(INDEX(VENDAS!$B$5:$B$1004,MATCH(H388,VENDAS!$A$5:$A$1004,0)),"não lançado"))</f>
        <v/>
      </c>
      <c r="J388" s="22">
        <f>IF(H388="","",IFERROR(INDEX(VENDAS!$M$5:$M$1004,MATCH(H388,VENDAS!$A$5:$A$1004,0))&amp;"",""))</f>
        <v/>
      </c>
      <c r="K388" s="22">
        <f>IF(H388="","",IFERROR(INDEX(VENDAS!$J$5:$J$1004,MATCH(H388,VENDAS!$A$5:$A$1004,0))&amp;"",""))</f>
        <v/>
      </c>
      <c r="L388" s="26">
        <f>IF(H388="","",SUMIFS(VENDAS!$F$5:$F$1004,VENDAS!$A$5:$A$1004,H388))</f>
        <v/>
      </c>
      <c r="M388" s="26">
        <f>IF(H388="","",SUMIFS(VENDAS!$F$5:$F$1004,VENDAS!$A$5:$A$1004,H388,VENDAS!$D$5:$D$1004,M$4))</f>
        <v/>
      </c>
      <c r="N388" s="26">
        <f>IF(H388="","",SUMIFS(VENDAS!$F$5:$F$1004,VENDAS!$A$5:$A$1004,H388,VENDAS!$D$5:$D$1004,N$4))</f>
        <v/>
      </c>
      <c r="O388" s="26">
        <f>IF(H388="","",SUMIFS(VENDAS!$F$5:$F$1004,VENDAS!$A$5:$A$1004,H388,VENDAS!$D$5:$D$1004,O$4))</f>
        <v/>
      </c>
      <c r="P388" s="26">
        <f>IF(H388="","",SUMIFS(VENDAS!$F$5:$F$1004,VENDAS!$A$5:$A$1004,H388,VENDAS!$D$5:$D$1004,P$4))</f>
        <v/>
      </c>
      <c r="Q388" s="24">
        <f>IF(H388="","",SUMIFS(VENDAS!$H$5:$H$1004,VENDAS!$A$5:$A$1004,H388))</f>
        <v/>
      </c>
      <c r="R388" s="24">
        <f>IF(H388="","",SUMIFS(VENDAS!$K$5:$K$1004,VENDAS!$A$5:$A$1004,H388))</f>
        <v/>
      </c>
      <c r="S388" s="20" t="n"/>
      <c r="T388" s="31" t="n"/>
    </row>
    <row r="389">
      <c r="H389" s="20" t="n"/>
      <c r="I389" s="30">
        <f>IF(H389="","",IFERROR(INDEX(VENDAS!$B$5:$B$1004,MATCH(H389,VENDAS!$A$5:$A$1004,0)),"não lançado"))</f>
        <v/>
      </c>
      <c r="J389" s="22">
        <f>IF(H389="","",IFERROR(INDEX(VENDAS!$M$5:$M$1004,MATCH(H389,VENDAS!$A$5:$A$1004,0))&amp;"",""))</f>
        <v/>
      </c>
      <c r="K389" s="22">
        <f>IF(H389="","",IFERROR(INDEX(VENDAS!$J$5:$J$1004,MATCH(H389,VENDAS!$A$5:$A$1004,0))&amp;"",""))</f>
        <v/>
      </c>
      <c r="L389" s="26">
        <f>IF(H389="","",SUMIFS(VENDAS!$F$5:$F$1004,VENDAS!$A$5:$A$1004,H389))</f>
        <v/>
      </c>
      <c r="M389" s="26">
        <f>IF(H389="","",SUMIFS(VENDAS!$F$5:$F$1004,VENDAS!$A$5:$A$1004,H389,VENDAS!$D$5:$D$1004,M$4))</f>
        <v/>
      </c>
      <c r="N389" s="26">
        <f>IF(H389="","",SUMIFS(VENDAS!$F$5:$F$1004,VENDAS!$A$5:$A$1004,H389,VENDAS!$D$5:$D$1004,N$4))</f>
        <v/>
      </c>
      <c r="O389" s="26">
        <f>IF(H389="","",SUMIFS(VENDAS!$F$5:$F$1004,VENDAS!$A$5:$A$1004,H389,VENDAS!$D$5:$D$1004,O$4))</f>
        <v/>
      </c>
      <c r="P389" s="26">
        <f>IF(H389="","",SUMIFS(VENDAS!$F$5:$F$1004,VENDAS!$A$5:$A$1004,H389,VENDAS!$D$5:$D$1004,P$4))</f>
        <v/>
      </c>
      <c r="Q389" s="24">
        <f>IF(H389="","",SUMIFS(VENDAS!$H$5:$H$1004,VENDAS!$A$5:$A$1004,H389))</f>
        <v/>
      </c>
      <c r="R389" s="24">
        <f>IF(H389="","",SUMIFS(VENDAS!$K$5:$K$1004,VENDAS!$A$5:$A$1004,H389))</f>
        <v/>
      </c>
      <c r="S389" s="20" t="n"/>
      <c r="T389" s="31" t="n"/>
    </row>
    <row r="390">
      <c r="H390" s="20" t="n"/>
      <c r="I390" s="30">
        <f>IF(H390="","",IFERROR(INDEX(VENDAS!$B$5:$B$1004,MATCH(H390,VENDAS!$A$5:$A$1004,0)),"não lançado"))</f>
        <v/>
      </c>
      <c r="J390" s="22">
        <f>IF(H390="","",IFERROR(INDEX(VENDAS!$M$5:$M$1004,MATCH(H390,VENDAS!$A$5:$A$1004,0))&amp;"",""))</f>
        <v/>
      </c>
      <c r="K390" s="22">
        <f>IF(H390="","",IFERROR(INDEX(VENDAS!$J$5:$J$1004,MATCH(H390,VENDAS!$A$5:$A$1004,0))&amp;"",""))</f>
        <v/>
      </c>
      <c r="L390" s="26">
        <f>IF(H390="","",SUMIFS(VENDAS!$F$5:$F$1004,VENDAS!$A$5:$A$1004,H390))</f>
        <v/>
      </c>
      <c r="M390" s="26">
        <f>IF(H390="","",SUMIFS(VENDAS!$F$5:$F$1004,VENDAS!$A$5:$A$1004,H390,VENDAS!$D$5:$D$1004,M$4))</f>
        <v/>
      </c>
      <c r="N390" s="26">
        <f>IF(H390="","",SUMIFS(VENDAS!$F$5:$F$1004,VENDAS!$A$5:$A$1004,H390,VENDAS!$D$5:$D$1004,N$4))</f>
        <v/>
      </c>
      <c r="O390" s="26">
        <f>IF(H390="","",SUMIFS(VENDAS!$F$5:$F$1004,VENDAS!$A$5:$A$1004,H390,VENDAS!$D$5:$D$1004,O$4))</f>
        <v/>
      </c>
      <c r="P390" s="26">
        <f>IF(H390="","",SUMIFS(VENDAS!$F$5:$F$1004,VENDAS!$A$5:$A$1004,H390,VENDAS!$D$5:$D$1004,P$4))</f>
        <v/>
      </c>
      <c r="Q390" s="24">
        <f>IF(H390="","",SUMIFS(VENDAS!$H$5:$H$1004,VENDAS!$A$5:$A$1004,H390))</f>
        <v/>
      </c>
      <c r="R390" s="24">
        <f>IF(H390="","",SUMIFS(VENDAS!$K$5:$K$1004,VENDAS!$A$5:$A$1004,H390))</f>
        <v/>
      </c>
      <c r="S390" s="20" t="n"/>
      <c r="T390" s="31" t="n"/>
    </row>
    <row r="391">
      <c r="H391" s="20" t="n"/>
      <c r="I391" s="30">
        <f>IF(H391="","",IFERROR(INDEX(VENDAS!$B$5:$B$1004,MATCH(H391,VENDAS!$A$5:$A$1004,0)),"não lançado"))</f>
        <v/>
      </c>
      <c r="J391" s="22">
        <f>IF(H391="","",IFERROR(INDEX(VENDAS!$M$5:$M$1004,MATCH(H391,VENDAS!$A$5:$A$1004,0))&amp;"",""))</f>
        <v/>
      </c>
      <c r="K391" s="22">
        <f>IF(H391="","",IFERROR(INDEX(VENDAS!$J$5:$J$1004,MATCH(H391,VENDAS!$A$5:$A$1004,0))&amp;"",""))</f>
        <v/>
      </c>
      <c r="L391" s="26">
        <f>IF(H391="","",SUMIFS(VENDAS!$F$5:$F$1004,VENDAS!$A$5:$A$1004,H391))</f>
        <v/>
      </c>
      <c r="M391" s="26">
        <f>IF(H391="","",SUMIFS(VENDAS!$F$5:$F$1004,VENDAS!$A$5:$A$1004,H391,VENDAS!$D$5:$D$1004,M$4))</f>
        <v/>
      </c>
      <c r="N391" s="26">
        <f>IF(H391="","",SUMIFS(VENDAS!$F$5:$F$1004,VENDAS!$A$5:$A$1004,H391,VENDAS!$D$5:$D$1004,N$4))</f>
        <v/>
      </c>
      <c r="O391" s="26">
        <f>IF(H391="","",SUMIFS(VENDAS!$F$5:$F$1004,VENDAS!$A$5:$A$1004,H391,VENDAS!$D$5:$D$1004,O$4))</f>
        <v/>
      </c>
      <c r="P391" s="26">
        <f>IF(H391="","",SUMIFS(VENDAS!$F$5:$F$1004,VENDAS!$A$5:$A$1004,H391,VENDAS!$D$5:$D$1004,P$4))</f>
        <v/>
      </c>
      <c r="Q391" s="24">
        <f>IF(H391="","",SUMIFS(VENDAS!$H$5:$H$1004,VENDAS!$A$5:$A$1004,H391))</f>
        <v/>
      </c>
      <c r="R391" s="24">
        <f>IF(H391="","",SUMIFS(VENDAS!$K$5:$K$1004,VENDAS!$A$5:$A$1004,H391))</f>
        <v/>
      </c>
      <c r="S391" s="20" t="n"/>
      <c r="T391" s="31" t="n"/>
    </row>
    <row r="392">
      <c r="H392" s="20" t="n"/>
      <c r="I392" s="30">
        <f>IF(H392="","",IFERROR(INDEX(VENDAS!$B$5:$B$1004,MATCH(H392,VENDAS!$A$5:$A$1004,0)),"não lançado"))</f>
        <v/>
      </c>
      <c r="J392" s="22">
        <f>IF(H392="","",IFERROR(INDEX(VENDAS!$M$5:$M$1004,MATCH(H392,VENDAS!$A$5:$A$1004,0))&amp;"",""))</f>
        <v/>
      </c>
      <c r="K392" s="22">
        <f>IF(H392="","",IFERROR(INDEX(VENDAS!$J$5:$J$1004,MATCH(H392,VENDAS!$A$5:$A$1004,0))&amp;"",""))</f>
        <v/>
      </c>
      <c r="L392" s="26">
        <f>IF(H392="","",SUMIFS(VENDAS!$F$5:$F$1004,VENDAS!$A$5:$A$1004,H392))</f>
        <v/>
      </c>
      <c r="M392" s="26">
        <f>IF(H392="","",SUMIFS(VENDAS!$F$5:$F$1004,VENDAS!$A$5:$A$1004,H392,VENDAS!$D$5:$D$1004,M$4))</f>
        <v/>
      </c>
      <c r="N392" s="26">
        <f>IF(H392="","",SUMIFS(VENDAS!$F$5:$F$1004,VENDAS!$A$5:$A$1004,H392,VENDAS!$D$5:$D$1004,N$4))</f>
        <v/>
      </c>
      <c r="O392" s="26">
        <f>IF(H392="","",SUMIFS(VENDAS!$F$5:$F$1004,VENDAS!$A$5:$A$1004,H392,VENDAS!$D$5:$D$1004,O$4))</f>
        <v/>
      </c>
      <c r="P392" s="26">
        <f>IF(H392="","",SUMIFS(VENDAS!$F$5:$F$1004,VENDAS!$A$5:$A$1004,H392,VENDAS!$D$5:$D$1004,P$4))</f>
        <v/>
      </c>
      <c r="Q392" s="24">
        <f>IF(H392="","",SUMIFS(VENDAS!$H$5:$H$1004,VENDAS!$A$5:$A$1004,H392))</f>
        <v/>
      </c>
      <c r="R392" s="24">
        <f>IF(H392="","",SUMIFS(VENDAS!$K$5:$K$1004,VENDAS!$A$5:$A$1004,H392))</f>
        <v/>
      </c>
      <c r="S392" s="20" t="n"/>
      <c r="T392" s="31" t="n"/>
    </row>
    <row r="393">
      <c r="H393" s="20" t="n"/>
      <c r="I393" s="30">
        <f>IF(H393="","",IFERROR(INDEX(VENDAS!$B$5:$B$1004,MATCH(H393,VENDAS!$A$5:$A$1004,0)),"não lançado"))</f>
        <v/>
      </c>
      <c r="J393" s="22">
        <f>IF(H393="","",IFERROR(INDEX(VENDAS!$M$5:$M$1004,MATCH(H393,VENDAS!$A$5:$A$1004,0))&amp;"",""))</f>
        <v/>
      </c>
      <c r="K393" s="22">
        <f>IF(H393="","",IFERROR(INDEX(VENDAS!$J$5:$J$1004,MATCH(H393,VENDAS!$A$5:$A$1004,0))&amp;"",""))</f>
        <v/>
      </c>
      <c r="L393" s="26">
        <f>IF(H393="","",SUMIFS(VENDAS!$F$5:$F$1004,VENDAS!$A$5:$A$1004,H393))</f>
        <v/>
      </c>
      <c r="M393" s="26">
        <f>IF(H393="","",SUMIFS(VENDAS!$F$5:$F$1004,VENDAS!$A$5:$A$1004,H393,VENDAS!$D$5:$D$1004,M$4))</f>
        <v/>
      </c>
      <c r="N393" s="26">
        <f>IF(H393="","",SUMIFS(VENDAS!$F$5:$F$1004,VENDAS!$A$5:$A$1004,H393,VENDAS!$D$5:$D$1004,N$4))</f>
        <v/>
      </c>
      <c r="O393" s="26">
        <f>IF(H393="","",SUMIFS(VENDAS!$F$5:$F$1004,VENDAS!$A$5:$A$1004,H393,VENDAS!$D$5:$D$1004,O$4))</f>
        <v/>
      </c>
      <c r="P393" s="26">
        <f>IF(H393="","",SUMIFS(VENDAS!$F$5:$F$1004,VENDAS!$A$5:$A$1004,H393,VENDAS!$D$5:$D$1004,P$4))</f>
        <v/>
      </c>
      <c r="Q393" s="24">
        <f>IF(H393="","",SUMIFS(VENDAS!$H$5:$H$1004,VENDAS!$A$5:$A$1004,H393))</f>
        <v/>
      </c>
      <c r="R393" s="24">
        <f>IF(H393="","",SUMIFS(VENDAS!$K$5:$K$1004,VENDAS!$A$5:$A$1004,H393))</f>
        <v/>
      </c>
      <c r="S393" s="20" t="n"/>
      <c r="T393" s="31" t="n"/>
    </row>
    <row r="394">
      <c r="H394" s="20" t="n"/>
      <c r="I394" s="30">
        <f>IF(H394="","",IFERROR(INDEX(VENDAS!$B$5:$B$1004,MATCH(H394,VENDAS!$A$5:$A$1004,0)),"não lançado"))</f>
        <v/>
      </c>
      <c r="J394" s="22">
        <f>IF(H394="","",IFERROR(INDEX(VENDAS!$M$5:$M$1004,MATCH(H394,VENDAS!$A$5:$A$1004,0))&amp;"",""))</f>
        <v/>
      </c>
      <c r="K394" s="22">
        <f>IF(H394="","",IFERROR(INDEX(VENDAS!$J$5:$J$1004,MATCH(H394,VENDAS!$A$5:$A$1004,0))&amp;"",""))</f>
        <v/>
      </c>
      <c r="L394" s="26">
        <f>IF(H394="","",SUMIFS(VENDAS!$F$5:$F$1004,VENDAS!$A$5:$A$1004,H394))</f>
        <v/>
      </c>
      <c r="M394" s="26">
        <f>IF(H394="","",SUMIFS(VENDAS!$F$5:$F$1004,VENDAS!$A$5:$A$1004,H394,VENDAS!$D$5:$D$1004,M$4))</f>
        <v/>
      </c>
      <c r="N394" s="26">
        <f>IF(H394="","",SUMIFS(VENDAS!$F$5:$F$1004,VENDAS!$A$5:$A$1004,H394,VENDAS!$D$5:$D$1004,N$4))</f>
        <v/>
      </c>
      <c r="O394" s="26">
        <f>IF(H394="","",SUMIFS(VENDAS!$F$5:$F$1004,VENDAS!$A$5:$A$1004,H394,VENDAS!$D$5:$D$1004,O$4))</f>
        <v/>
      </c>
      <c r="P394" s="26">
        <f>IF(H394="","",SUMIFS(VENDAS!$F$5:$F$1004,VENDAS!$A$5:$A$1004,H394,VENDAS!$D$5:$D$1004,P$4))</f>
        <v/>
      </c>
      <c r="Q394" s="24">
        <f>IF(H394="","",SUMIFS(VENDAS!$H$5:$H$1004,VENDAS!$A$5:$A$1004,H394))</f>
        <v/>
      </c>
      <c r="R394" s="24">
        <f>IF(H394="","",SUMIFS(VENDAS!$K$5:$K$1004,VENDAS!$A$5:$A$1004,H394))</f>
        <v/>
      </c>
      <c r="S394" s="20" t="n"/>
      <c r="T394" s="31" t="n"/>
    </row>
    <row r="395">
      <c r="H395" s="20" t="n"/>
      <c r="I395" s="30">
        <f>IF(H395="","",IFERROR(INDEX(VENDAS!$B$5:$B$1004,MATCH(H395,VENDAS!$A$5:$A$1004,0)),"não lançado"))</f>
        <v/>
      </c>
      <c r="J395" s="22">
        <f>IF(H395="","",IFERROR(INDEX(VENDAS!$M$5:$M$1004,MATCH(H395,VENDAS!$A$5:$A$1004,0))&amp;"",""))</f>
        <v/>
      </c>
      <c r="K395" s="22">
        <f>IF(H395="","",IFERROR(INDEX(VENDAS!$J$5:$J$1004,MATCH(H395,VENDAS!$A$5:$A$1004,0))&amp;"",""))</f>
        <v/>
      </c>
      <c r="L395" s="26">
        <f>IF(H395="","",SUMIFS(VENDAS!$F$5:$F$1004,VENDAS!$A$5:$A$1004,H395))</f>
        <v/>
      </c>
      <c r="M395" s="26">
        <f>IF(H395="","",SUMIFS(VENDAS!$F$5:$F$1004,VENDAS!$A$5:$A$1004,H395,VENDAS!$D$5:$D$1004,M$4))</f>
        <v/>
      </c>
      <c r="N395" s="26">
        <f>IF(H395="","",SUMIFS(VENDAS!$F$5:$F$1004,VENDAS!$A$5:$A$1004,H395,VENDAS!$D$5:$D$1004,N$4))</f>
        <v/>
      </c>
      <c r="O395" s="26">
        <f>IF(H395="","",SUMIFS(VENDAS!$F$5:$F$1004,VENDAS!$A$5:$A$1004,H395,VENDAS!$D$5:$D$1004,O$4))</f>
        <v/>
      </c>
      <c r="P395" s="26">
        <f>IF(H395="","",SUMIFS(VENDAS!$F$5:$F$1004,VENDAS!$A$5:$A$1004,H395,VENDAS!$D$5:$D$1004,P$4))</f>
        <v/>
      </c>
      <c r="Q395" s="24">
        <f>IF(H395="","",SUMIFS(VENDAS!$H$5:$H$1004,VENDAS!$A$5:$A$1004,H395))</f>
        <v/>
      </c>
      <c r="R395" s="24">
        <f>IF(H395="","",SUMIFS(VENDAS!$K$5:$K$1004,VENDAS!$A$5:$A$1004,H395))</f>
        <v/>
      </c>
      <c r="S395" s="20" t="n"/>
      <c r="T395" s="31" t="n"/>
    </row>
    <row r="396">
      <c r="H396" s="20" t="n"/>
      <c r="I396" s="30">
        <f>IF(H396="","",IFERROR(INDEX(VENDAS!$B$5:$B$1004,MATCH(H396,VENDAS!$A$5:$A$1004,0)),"não lançado"))</f>
        <v/>
      </c>
      <c r="J396" s="22">
        <f>IF(H396="","",IFERROR(INDEX(VENDAS!$M$5:$M$1004,MATCH(H396,VENDAS!$A$5:$A$1004,0))&amp;"",""))</f>
        <v/>
      </c>
      <c r="K396" s="22">
        <f>IF(H396="","",IFERROR(INDEX(VENDAS!$J$5:$J$1004,MATCH(H396,VENDAS!$A$5:$A$1004,0))&amp;"",""))</f>
        <v/>
      </c>
      <c r="L396" s="26">
        <f>IF(H396="","",SUMIFS(VENDAS!$F$5:$F$1004,VENDAS!$A$5:$A$1004,H396))</f>
        <v/>
      </c>
      <c r="M396" s="26">
        <f>IF(H396="","",SUMIFS(VENDAS!$F$5:$F$1004,VENDAS!$A$5:$A$1004,H396,VENDAS!$D$5:$D$1004,M$4))</f>
        <v/>
      </c>
      <c r="N396" s="26">
        <f>IF(H396="","",SUMIFS(VENDAS!$F$5:$F$1004,VENDAS!$A$5:$A$1004,H396,VENDAS!$D$5:$D$1004,N$4))</f>
        <v/>
      </c>
      <c r="O396" s="26">
        <f>IF(H396="","",SUMIFS(VENDAS!$F$5:$F$1004,VENDAS!$A$5:$A$1004,H396,VENDAS!$D$5:$D$1004,O$4))</f>
        <v/>
      </c>
      <c r="P396" s="26">
        <f>IF(H396="","",SUMIFS(VENDAS!$F$5:$F$1004,VENDAS!$A$5:$A$1004,H396,VENDAS!$D$5:$D$1004,P$4))</f>
        <v/>
      </c>
      <c r="Q396" s="24">
        <f>IF(H396="","",SUMIFS(VENDAS!$H$5:$H$1004,VENDAS!$A$5:$A$1004,H396))</f>
        <v/>
      </c>
      <c r="R396" s="24">
        <f>IF(H396="","",SUMIFS(VENDAS!$K$5:$K$1004,VENDAS!$A$5:$A$1004,H396))</f>
        <v/>
      </c>
      <c r="S396" s="20" t="n"/>
      <c r="T396" s="31" t="n"/>
    </row>
    <row r="397">
      <c r="H397" s="20" t="n"/>
      <c r="I397" s="30">
        <f>IF(H397="","",IFERROR(INDEX(VENDAS!$B$5:$B$1004,MATCH(H397,VENDAS!$A$5:$A$1004,0)),"não lançado"))</f>
        <v/>
      </c>
      <c r="J397" s="22">
        <f>IF(H397="","",IFERROR(INDEX(VENDAS!$M$5:$M$1004,MATCH(H397,VENDAS!$A$5:$A$1004,0))&amp;"",""))</f>
        <v/>
      </c>
      <c r="K397" s="22">
        <f>IF(H397="","",IFERROR(INDEX(VENDAS!$J$5:$J$1004,MATCH(H397,VENDAS!$A$5:$A$1004,0))&amp;"",""))</f>
        <v/>
      </c>
      <c r="L397" s="26">
        <f>IF(H397="","",SUMIFS(VENDAS!$F$5:$F$1004,VENDAS!$A$5:$A$1004,H397))</f>
        <v/>
      </c>
      <c r="M397" s="26">
        <f>IF(H397="","",SUMIFS(VENDAS!$F$5:$F$1004,VENDAS!$A$5:$A$1004,H397,VENDAS!$D$5:$D$1004,M$4))</f>
        <v/>
      </c>
      <c r="N397" s="26">
        <f>IF(H397="","",SUMIFS(VENDAS!$F$5:$F$1004,VENDAS!$A$5:$A$1004,H397,VENDAS!$D$5:$D$1004,N$4))</f>
        <v/>
      </c>
      <c r="O397" s="26">
        <f>IF(H397="","",SUMIFS(VENDAS!$F$5:$F$1004,VENDAS!$A$5:$A$1004,H397,VENDAS!$D$5:$D$1004,O$4))</f>
        <v/>
      </c>
      <c r="P397" s="26">
        <f>IF(H397="","",SUMIFS(VENDAS!$F$5:$F$1004,VENDAS!$A$5:$A$1004,H397,VENDAS!$D$5:$D$1004,P$4))</f>
        <v/>
      </c>
      <c r="Q397" s="24">
        <f>IF(H397="","",SUMIFS(VENDAS!$H$5:$H$1004,VENDAS!$A$5:$A$1004,H397))</f>
        <v/>
      </c>
      <c r="R397" s="24">
        <f>IF(H397="","",SUMIFS(VENDAS!$K$5:$K$1004,VENDAS!$A$5:$A$1004,H397))</f>
        <v/>
      </c>
      <c r="S397" s="20" t="n"/>
      <c r="T397" s="31" t="n"/>
    </row>
    <row r="398">
      <c r="H398" s="20" t="n"/>
      <c r="I398" s="30">
        <f>IF(H398="","",IFERROR(INDEX(VENDAS!$B$5:$B$1004,MATCH(H398,VENDAS!$A$5:$A$1004,0)),"não lançado"))</f>
        <v/>
      </c>
      <c r="J398" s="22">
        <f>IF(H398="","",IFERROR(INDEX(VENDAS!$M$5:$M$1004,MATCH(H398,VENDAS!$A$5:$A$1004,0))&amp;"",""))</f>
        <v/>
      </c>
      <c r="K398" s="22">
        <f>IF(H398="","",IFERROR(INDEX(VENDAS!$J$5:$J$1004,MATCH(H398,VENDAS!$A$5:$A$1004,0))&amp;"",""))</f>
        <v/>
      </c>
      <c r="L398" s="26">
        <f>IF(H398="","",SUMIFS(VENDAS!$F$5:$F$1004,VENDAS!$A$5:$A$1004,H398))</f>
        <v/>
      </c>
      <c r="M398" s="26">
        <f>IF(H398="","",SUMIFS(VENDAS!$F$5:$F$1004,VENDAS!$A$5:$A$1004,H398,VENDAS!$D$5:$D$1004,M$4))</f>
        <v/>
      </c>
      <c r="N398" s="26">
        <f>IF(H398="","",SUMIFS(VENDAS!$F$5:$F$1004,VENDAS!$A$5:$A$1004,H398,VENDAS!$D$5:$D$1004,N$4))</f>
        <v/>
      </c>
      <c r="O398" s="26">
        <f>IF(H398="","",SUMIFS(VENDAS!$F$5:$F$1004,VENDAS!$A$5:$A$1004,H398,VENDAS!$D$5:$D$1004,O$4))</f>
        <v/>
      </c>
      <c r="P398" s="26">
        <f>IF(H398="","",SUMIFS(VENDAS!$F$5:$F$1004,VENDAS!$A$5:$A$1004,H398,VENDAS!$D$5:$D$1004,P$4))</f>
        <v/>
      </c>
      <c r="Q398" s="24">
        <f>IF(H398="","",SUMIFS(VENDAS!$H$5:$H$1004,VENDAS!$A$5:$A$1004,H398))</f>
        <v/>
      </c>
      <c r="R398" s="24">
        <f>IF(H398="","",SUMIFS(VENDAS!$K$5:$K$1004,VENDAS!$A$5:$A$1004,H398))</f>
        <v/>
      </c>
      <c r="S398" s="20" t="n"/>
      <c r="T398" s="31" t="n"/>
    </row>
    <row r="399">
      <c r="H399" s="20" t="n"/>
      <c r="I399" s="30">
        <f>IF(H399="","",IFERROR(INDEX(VENDAS!$B$5:$B$1004,MATCH(H399,VENDAS!$A$5:$A$1004,0)),"não lançado"))</f>
        <v/>
      </c>
      <c r="J399" s="22">
        <f>IF(H399="","",IFERROR(INDEX(VENDAS!$M$5:$M$1004,MATCH(H399,VENDAS!$A$5:$A$1004,0))&amp;"",""))</f>
        <v/>
      </c>
      <c r="K399" s="22">
        <f>IF(H399="","",IFERROR(INDEX(VENDAS!$J$5:$J$1004,MATCH(H399,VENDAS!$A$5:$A$1004,0))&amp;"",""))</f>
        <v/>
      </c>
      <c r="L399" s="26">
        <f>IF(H399="","",SUMIFS(VENDAS!$F$5:$F$1004,VENDAS!$A$5:$A$1004,H399))</f>
        <v/>
      </c>
      <c r="M399" s="26">
        <f>IF(H399="","",SUMIFS(VENDAS!$F$5:$F$1004,VENDAS!$A$5:$A$1004,H399,VENDAS!$D$5:$D$1004,M$4))</f>
        <v/>
      </c>
      <c r="N399" s="26">
        <f>IF(H399="","",SUMIFS(VENDAS!$F$5:$F$1004,VENDAS!$A$5:$A$1004,H399,VENDAS!$D$5:$D$1004,N$4))</f>
        <v/>
      </c>
      <c r="O399" s="26">
        <f>IF(H399="","",SUMIFS(VENDAS!$F$5:$F$1004,VENDAS!$A$5:$A$1004,H399,VENDAS!$D$5:$D$1004,O$4))</f>
        <v/>
      </c>
      <c r="P399" s="26">
        <f>IF(H399="","",SUMIFS(VENDAS!$F$5:$F$1004,VENDAS!$A$5:$A$1004,H399,VENDAS!$D$5:$D$1004,P$4))</f>
        <v/>
      </c>
      <c r="Q399" s="24">
        <f>IF(H399="","",SUMIFS(VENDAS!$H$5:$H$1004,VENDAS!$A$5:$A$1004,H399))</f>
        <v/>
      </c>
      <c r="R399" s="24">
        <f>IF(H399="","",SUMIFS(VENDAS!$K$5:$K$1004,VENDAS!$A$5:$A$1004,H399))</f>
        <v/>
      </c>
      <c r="S399" s="20" t="n"/>
      <c r="T399" s="31" t="n"/>
    </row>
    <row r="400">
      <c r="H400" s="20" t="n"/>
      <c r="I400" s="30">
        <f>IF(H400="","",IFERROR(INDEX(VENDAS!$B$5:$B$1004,MATCH(H400,VENDAS!$A$5:$A$1004,0)),"não lançado"))</f>
        <v/>
      </c>
      <c r="J400" s="22">
        <f>IF(H400="","",IFERROR(INDEX(VENDAS!$M$5:$M$1004,MATCH(H400,VENDAS!$A$5:$A$1004,0))&amp;"",""))</f>
        <v/>
      </c>
      <c r="K400" s="22">
        <f>IF(H400="","",IFERROR(INDEX(VENDAS!$J$5:$J$1004,MATCH(H400,VENDAS!$A$5:$A$1004,0))&amp;"",""))</f>
        <v/>
      </c>
      <c r="L400" s="26">
        <f>IF(H400="","",SUMIFS(VENDAS!$F$5:$F$1004,VENDAS!$A$5:$A$1004,H400))</f>
        <v/>
      </c>
      <c r="M400" s="26">
        <f>IF(H400="","",SUMIFS(VENDAS!$F$5:$F$1004,VENDAS!$A$5:$A$1004,H400,VENDAS!$D$5:$D$1004,M$4))</f>
        <v/>
      </c>
      <c r="N400" s="26">
        <f>IF(H400="","",SUMIFS(VENDAS!$F$5:$F$1004,VENDAS!$A$5:$A$1004,H400,VENDAS!$D$5:$D$1004,N$4))</f>
        <v/>
      </c>
      <c r="O400" s="26">
        <f>IF(H400="","",SUMIFS(VENDAS!$F$5:$F$1004,VENDAS!$A$5:$A$1004,H400,VENDAS!$D$5:$D$1004,O$4))</f>
        <v/>
      </c>
      <c r="P400" s="26">
        <f>IF(H400="","",SUMIFS(VENDAS!$F$5:$F$1004,VENDAS!$A$5:$A$1004,H400,VENDAS!$D$5:$D$1004,P$4))</f>
        <v/>
      </c>
      <c r="Q400" s="24">
        <f>IF(H400="","",SUMIFS(VENDAS!$H$5:$H$1004,VENDAS!$A$5:$A$1004,H400))</f>
        <v/>
      </c>
      <c r="R400" s="24">
        <f>IF(H400="","",SUMIFS(VENDAS!$K$5:$K$1004,VENDAS!$A$5:$A$1004,H400))</f>
        <v/>
      </c>
      <c r="S400" s="20" t="n"/>
      <c r="T400" s="31" t="n"/>
    </row>
    <row r="401">
      <c r="H401" s="20" t="n"/>
      <c r="I401" s="30">
        <f>IF(H401="","",IFERROR(INDEX(VENDAS!$B$5:$B$1004,MATCH(H401,VENDAS!$A$5:$A$1004,0)),"não lançado"))</f>
        <v/>
      </c>
      <c r="J401" s="22">
        <f>IF(H401="","",IFERROR(INDEX(VENDAS!$M$5:$M$1004,MATCH(H401,VENDAS!$A$5:$A$1004,0))&amp;"",""))</f>
        <v/>
      </c>
      <c r="K401" s="22">
        <f>IF(H401="","",IFERROR(INDEX(VENDAS!$J$5:$J$1004,MATCH(H401,VENDAS!$A$5:$A$1004,0))&amp;"",""))</f>
        <v/>
      </c>
      <c r="L401" s="26">
        <f>IF(H401="","",SUMIFS(VENDAS!$F$5:$F$1004,VENDAS!$A$5:$A$1004,H401))</f>
        <v/>
      </c>
      <c r="M401" s="26">
        <f>IF(H401="","",SUMIFS(VENDAS!$F$5:$F$1004,VENDAS!$A$5:$A$1004,H401,VENDAS!$D$5:$D$1004,M$4))</f>
        <v/>
      </c>
      <c r="N401" s="26">
        <f>IF(H401="","",SUMIFS(VENDAS!$F$5:$F$1004,VENDAS!$A$5:$A$1004,H401,VENDAS!$D$5:$D$1004,N$4))</f>
        <v/>
      </c>
      <c r="O401" s="26">
        <f>IF(H401="","",SUMIFS(VENDAS!$F$5:$F$1004,VENDAS!$A$5:$A$1004,H401,VENDAS!$D$5:$D$1004,O$4))</f>
        <v/>
      </c>
      <c r="P401" s="26">
        <f>IF(H401="","",SUMIFS(VENDAS!$F$5:$F$1004,VENDAS!$A$5:$A$1004,H401,VENDAS!$D$5:$D$1004,P$4))</f>
        <v/>
      </c>
      <c r="Q401" s="24">
        <f>IF(H401="","",SUMIFS(VENDAS!$H$5:$H$1004,VENDAS!$A$5:$A$1004,H401))</f>
        <v/>
      </c>
      <c r="R401" s="24">
        <f>IF(H401="","",SUMIFS(VENDAS!$K$5:$K$1004,VENDAS!$A$5:$A$1004,H401))</f>
        <v/>
      </c>
      <c r="S401" s="20" t="n"/>
      <c r="T401" s="31" t="n"/>
    </row>
    <row r="402">
      <c r="H402" s="20" t="n"/>
      <c r="I402" s="30">
        <f>IF(H402="","",IFERROR(INDEX(VENDAS!$B$5:$B$1004,MATCH(H402,VENDAS!$A$5:$A$1004,0)),"não lançado"))</f>
        <v/>
      </c>
      <c r="J402" s="22">
        <f>IF(H402="","",IFERROR(INDEX(VENDAS!$M$5:$M$1004,MATCH(H402,VENDAS!$A$5:$A$1004,0))&amp;"",""))</f>
        <v/>
      </c>
      <c r="K402" s="22">
        <f>IF(H402="","",IFERROR(INDEX(VENDAS!$J$5:$J$1004,MATCH(H402,VENDAS!$A$5:$A$1004,0))&amp;"",""))</f>
        <v/>
      </c>
      <c r="L402" s="26">
        <f>IF(H402="","",SUMIFS(VENDAS!$F$5:$F$1004,VENDAS!$A$5:$A$1004,H402))</f>
        <v/>
      </c>
      <c r="M402" s="26">
        <f>IF(H402="","",SUMIFS(VENDAS!$F$5:$F$1004,VENDAS!$A$5:$A$1004,H402,VENDAS!$D$5:$D$1004,M$4))</f>
        <v/>
      </c>
      <c r="N402" s="26">
        <f>IF(H402="","",SUMIFS(VENDAS!$F$5:$F$1004,VENDAS!$A$5:$A$1004,H402,VENDAS!$D$5:$D$1004,N$4))</f>
        <v/>
      </c>
      <c r="O402" s="26">
        <f>IF(H402="","",SUMIFS(VENDAS!$F$5:$F$1004,VENDAS!$A$5:$A$1004,H402,VENDAS!$D$5:$D$1004,O$4))</f>
        <v/>
      </c>
      <c r="P402" s="26">
        <f>IF(H402="","",SUMIFS(VENDAS!$F$5:$F$1004,VENDAS!$A$5:$A$1004,H402,VENDAS!$D$5:$D$1004,P$4))</f>
        <v/>
      </c>
      <c r="Q402" s="24">
        <f>IF(H402="","",SUMIFS(VENDAS!$H$5:$H$1004,VENDAS!$A$5:$A$1004,H402))</f>
        <v/>
      </c>
      <c r="R402" s="24">
        <f>IF(H402="","",SUMIFS(VENDAS!$K$5:$K$1004,VENDAS!$A$5:$A$1004,H402))</f>
        <v/>
      </c>
      <c r="S402" s="20" t="n"/>
      <c r="T402" s="31" t="n"/>
    </row>
    <row r="403">
      <c r="H403" s="20" t="n"/>
      <c r="I403" s="30">
        <f>IF(H403="","",IFERROR(INDEX(VENDAS!$B$5:$B$1004,MATCH(H403,VENDAS!$A$5:$A$1004,0)),"não lançado"))</f>
        <v/>
      </c>
      <c r="J403" s="22">
        <f>IF(H403="","",IFERROR(INDEX(VENDAS!$M$5:$M$1004,MATCH(H403,VENDAS!$A$5:$A$1004,0))&amp;"",""))</f>
        <v/>
      </c>
      <c r="K403" s="22">
        <f>IF(H403="","",IFERROR(INDEX(VENDAS!$J$5:$J$1004,MATCH(H403,VENDAS!$A$5:$A$1004,0))&amp;"",""))</f>
        <v/>
      </c>
      <c r="L403" s="26">
        <f>IF(H403="","",SUMIFS(VENDAS!$F$5:$F$1004,VENDAS!$A$5:$A$1004,H403))</f>
        <v/>
      </c>
      <c r="M403" s="26">
        <f>IF(H403="","",SUMIFS(VENDAS!$F$5:$F$1004,VENDAS!$A$5:$A$1004,H403,VENDAS!$D$5:$D$1004,M$4))</f>
        <v/>
      </c>
      <c r="N403" s="26">
        <f>IF(H403="","",SUMIFS(VENDAS!$F$5:$F$1004,VENDAS!$A$5:$A$1004,H403,VENDAS!$D$5:$D$1004,N$4))</f>
        <v/>
      </c>
      <c r="O403" s="26">
        <f>IF(H403="","",SUMIFS(VENDAS!$F$5:$F$1004,VENDAS!$A$5:$A$1004,H403,VENDAS!$D$5:$D$1004,O$4))</f>
        <v/>
      </c>
      <c r="P403" s="26">
        <f>IF(H403="","",SUMIFS(VENDAS!$F$5:$F$1004,VENDAS!$A$5:$A$1004,H403,VENDAS!$D$5:$D$1004,P$4))</f>
        <v/>
      </c>
      <c r="Q403" s="24">
        <f>IF(H403="","",SUMIFS(VENDAS!$H$5:$H$1004,VENDAS!$A$5:$A$1004,H403))</f>
        <v/>
      </c>
      <c r="R403" s="24">
        <f>IF(H403="","",SUMIFS(VENDAS!$K$5:$K$1004,VENDAS!$A$5:$A$1004,H403))</f>
        <v/>
      </c>
      <c r="S403" s="20" t="n"/>
      <c r="T403" s="31" t="n"/>
    </row>
    <row r="404">
      <c r="H404" s="20" t="n"/>
      <c r="I404" s="30">
        <f>IF(H404="","",IFERROR(INDEX(VENDAS!$B$5:$B$1004,MATCH(H404,VENDAS!$A$5:$A$1004,0)),"não lançado"))</f>
        <v/>
      </c>
      <c r="J404" s="22">
        <f>IF(H404="","",IFERROR(INDEX(VENDAS!$M$5:$M$1004,MATCH(H404,VENDAS!$A$5:$A$1004,0))&amp;"",""))</f>
        <v/>
      </c>
      <c r="K404" s="22">
        <f>IF(H404="","",IFERROR(INDEX(VENDAS!$J$5:$J$1004,MATCH(H404,VENDAS!$A$5:$A$1004,0))&amp;"",""))</f>
        <v/>
      </c>
      <c r="L404" s="26">
        <f>IF(H404="","",SUMIFS(VENDAS!$F$5:$F$1004,VENDAS!$A$5:$A$1004,H404))</f>
        <v/>
      </c>
      <c r="M404" s="26">
        <f>IF(H404="","",SUMIFS(VENDAS!$F$5:$F$1004,VENDAS!$A$5:$A$1004,H404,VENDAS!$D$5:$D$1004,M$4))</f>
        <v/>
      </c>
      <c r="N404" s="26">
        <f>IF(H404="","",SUMIFS(VENDAS!$F$5:$F$1004,VENDAS!$A$5:$A$1004,H404,VENDAS!$D$5:$D$1004,N$4))</f>
        <v/>
      </c>
      <c r="O404" s="26">
        <f>IF(H404="","",SUMIFS(VENDAS!$F$5:$F$1004,VENDAS!$A$5:$A$1004,H404,VENDAS!$D$5:$D$1004,O$4))</f>
        <v/>
      </c>
      <c r="P404" s="26">
        <f>IF(H404="","",SUMIFS(VENDAS!$F$5:$F$1004,VENDAS!$A$5:$A$1004,H404,VENDAS!$D$5:$D$1004,P$4))</f>
        <v/>
      </c>
      <c r="Q404" s="24">
        <f>IF(H404="","",SUMIFS(VENDAS!$H$5:$H$1004,VENDAS!$A$5:$A$1004,H404))</f>
        <v/>
      </c>
      <c r="R404" s="24">
        <f>IF(H404="","",SUMIFS(VENDAS!$K$5:$K$1004,VENDAS!$A$5:$A$1004,H404))</f>
        <v/>
      </c>
      <c r="S404" s="20" t="n"/>
      <c r="T404" s="31" t="n"/>
    </row>
    <row r="405">
      <c r="H405" s="20" t="n"/>
      <c r="I405" s="30">
        <f>IF(H405="","",IFERROR(INDEX(VENDAS!$B$5:$B$1004,MATCH(H405,VENDAS!$A$5:$A$1004,0)),"não lançado"))</f>
        <v/>
      </c>
      <c r="J405" s="22">
        <f>IF(H405="","",IFERROR(INDEX(VENDAS!$M$5:$M$1004,MATCH(H405,VENDAS!$A$5:$A$1004,0))&amp;"",""))</f>
        <v/>
      </c>
      <c r="K405" s="22">
        <f>IF(H405="","",IFERROR(INDEX(VENDAS!$J$5:$J$1004,MATCH(H405,VENDAS!$A$5:$A$1004,0))&amp;"",""))</f>
        <v/>
      </c>
      <c r="L405" s="26">
        <f>IF(H405="","",SUMIFS(VENDAS!$F$5:$F$1004,VENDAS!$A$5:$A$1004,H405))</f>
        <v/>
      </c>
      <c r="M405" s="26">
        <f>IF(H405="","",SUMIFS(VENDAS!$F$5:$F$1004,VENDAS!$A$5:$A$1004,H405,VENDAS!$D$5:$D$1004,M$4))</f>
        <v/>
      </c>
      <c r="N405" s="26">
        <f>IF(H405="","",SUMIFS(VENDAS!$F$5:$F$1004,VENDAS!$A$5:$A$1004,H405,VENDAS!$D$5:$D$1004,N$4))</f>
        <v/>
      </c>
      <c r="O405" s="26">
        <f>IF(H405="","",SUMIFS(VENDAS!$F$5:$F$1004,VENDAS!$A$5:$A$1004,H405,VENDAS!$D$5:$D$1004,O$4))</f>
        <v/>
      </c>
      <c r="P405" s="26">
        <f>IF(H405="","",SUMIFS(VENDAS!$F$5:$F$1004,VENDAS!$A$5:$A$1004,H405,VENDAS!$D$5:$D$1004,P$4))</f>
        <v/>
      </c>
      <c r="Q405" s="24">
        <f>IF(H405="","",SUMIFS(VENDAS!$H$5:$H$1004,VENDAS!$A$5:$A$1004,H405))</f>
        <v/>
      </c>
      <c r="R405" s="24">
        <f>IF(H405="","",SUMIFS(VENDAS!$K$5:$K$1004,VENDAS!$A$5:$A$1004,H405))</f>
        <v/>
      </c>
      <c r="S405" s="20" t="n"/>
      <c r="T405" s="31" t="n"/>
    </row>
    <row r="406">
      <c r="H406" s="20" t="n"/>
      <c r="I406" s="30">
        <f>IF(H406="","",IFERROR(INDEX(VENDAS!$B$5:$B$1004,MATCH(H406,VENDAS!$A$5:$A$1004,0)),"não lançado"))</f>
        <v/>
      </c>
      <c r="J406" s="22">
        <f>IF(H406="","",IFERROR(INDEX(VENDAS!$M$5:$M$1004,MATCH(H406,VENDAS!$A$5:$A$1004,0))&amp;"",""))</f>
        <v/>
      </c>
      <c r="K406" s="22">
        <f>IF(H406="","",IFERROR(INDEX(VENDAS!$J$5:$J$1004,MATCH(H406,VENDAS!$A$5:$A$1004,0))&amp;"",""))</f>
        <v/>
      </c>
      <c r="L406" s="26">
        <f>IF(H406="","",SUMIFS(VENDAS!$F$5:$F$1004,VENDAS!$A$5:$A$1004,H406))</f>
        <v/>
      </c>
      <c r="M406" s="26">
        <f>IF(H406="","",SUMIFS(VENDAS!$F$5:$F$1004,VENDAS!$A$5:$A$1004,H406,VENDAS!$D$5:$D$1004,M$4))</f>
        <v/>
      </c>
      <c r="N406" s="26">
        <f>IF(H406="","",SUMIFS(VENDAS!$F$5:$F$1004,VENDAS!$A$5:$A$1004,H406,VENDAS!$D$5:$D$1004,N$4))</f>
        <v/>
      </c>
      <c r="O406" s="26">
        <f>IF(H406="","",SUMIFS(VENDAS!$F$5:$F$1004,VENDAS!$A$5:$A$1004,H406,VENDAS!$D$5:$D$1004,O$4))</f>
        <v/>
      </c>
      <c r="P406" s="26">
        <f>IF(H406="","",SUMIFS(VENDAS!$F$5:$F$1004,VENDAS!$A$5:$A$1004,H406,VENDAS!$D$5:$D$1004,P$4))</f>
        <v/>
      </c>
      <c r="Q406" s="24">
        <f>IF(H406="","",SUMIFS(VENDAS!$H$5:$H$1004,VENDAS!$A$5:$A$1004,H406))</f>
        <v/>
      </c>
      <c r="R406" s="24">
        <f>IF(H406="","",SUMIFS(VENDAS!$K$5:$K$1004,VENDAS!$A$5:$A$1004,H406))</f>
        <v/>
      </c>
      <c r="S406" s="20" t="n"/>
      <c r="T406" s="31" t="n"/>
    </row>
    <row r="407">
      <c r="H407" s="20" t="n"/>
      <c r="I407" s="30">
        <f>IF(H407="","",IFERROR(INDEX(VENDAS!$B$5:$B$1004,MATCH(H407,VENDAS!$A$5:$A$1004,0)),"não lançado"))</f>
        <v/>
      </c>
      <c r="J407" s="22">
        <f>IF(H407="","",IFERROR(INDEX(VENDAS!$M$5:$M$1004,MATCH(H407,VENDAS!$A$5:$A$1004,0))&amp;"",""))</f>
        <v/>
      </c>
      <c r="K407" s="22">
        <f>IF(H407="","",IFERROR(INDEX(VENDAS!$J$5:$J$1004,MATCH(H407,VENDAS!$A$5:$A$1004,0))&amp;"",""))</f>
        <v/>
      </c>
      <c r="L407" s="26">
        <f>IF(H407="","",SUMIFS(VENDAS!$F$5:$F$1004,VENDAS!$A$5:$A$1004,H407))</f>
        <v/>
      </c>
      <c r="M407" s="26">
        <f>IF(H407="","",SUMIFS(VENDAS!$F$5:$F$1004,VENDAS!$A$5:$A$1004,H407,VENDAS!$D$5:$D$1004,M$4))</f>
        <v/>
      </c>
      <c r="N407" s="26">
        <f>IF(H407="","",SUMIFS(VENDAS!$F$5:$F$1004,VENDAS!$A$5:$A$1004,H407,VENDAS!$D$5:$D$1004,N$4))</f>
        <v/>
      </c>
      <c r="O407" s="26">
        <f>IF(H407="","",SUMIFS(VENDAS!$F$5:$F$1004,VENDAS!$A$5:$A$1004,H407,VENDAS!$D$5:$D$1004,O$4))</f>
        <v/>
      </c>
      <c r="P407" s="26">
        <f>IF(H407="","",SUMIFS(VENDAS!$F$5:$F$1004,VENDAS!$A$5:$A$1004,H407,VENDAS!$D$5:$D$1004,P$4))</f>
        <v/>
      </c>
      <c r="Q407" s="24">
        <f>IF(H407="","",SUMIFS(VENDAS!$H$5:$H$1004,VENDAS!$A$5:$A$1004,H407))</f>
        <v/>
      </c>
      <c r="R407" s="24">
        <f>IF(H407="","",SUMIFS(VENDAS!$K$5:$K$1004,VENDAS!$A$5:$A$1004,H407))</f>
        <v/>
      </c>
      <c r="S407" s="20" t="n"/>
      <c r="T407" s="31" t="n"/>
    </row>
    <row r="408">
      <c r="H408" s="20" t="n"/>
      <c r="I408" s="30">
        <f>IF(H408="","",IFERROR(INDEX(VENDAS!$B$5:$B$1004,MATCH(H408,VENDAS!$A$5:$A$1004,0)),"não lançado"))</f>
        <v/>
      </c>
      <c r="J408" s="22">
        <f>IF(H408="","",IFERROR(INDEX(VENDAS!$M$5:$M$1004,MATCH(H408,VENDAS!$A$5:$A$1004,0))&amp;"",""))</f>
        <v/>
      </c>
      <c r="K408" s="22">
        <f>IF(H408="","",IFERROR(INDEX(VENDAS!$J$5:$J$1004,MATCH(H408,VENDAS!$A$5:$A$1004,0))&amp;"",""))</f>
        <v/>
      </c>
      <c r="L408" s="26">
        <f>IF(H408="","",SUMIFS(VENDAS!$F$5:$F$1004,VENDAS!$A$5:$A$1004,H408))</f>
        <v/>
      </c>
      <c r="M408" s="26">
        <f>IF(H408="","",SUMIFS(VENDAS!$F$5:$F$1004,VENDAS!$A$5:$A$1004,H408,VENDAS!$D$5:$D$1004,M$4))</f>
        <v/>
      </c>
      <c r="N408" s="26">
        <f>IF(H408="","",SUMIFS(VENDAS!$F$5:$F$1004,VENDAS!$A$5:$A$1004,H408,VENDAS!$D$5:$D$1004,N$4))</f>
        <v/>
      </c>
      <c r="O408" s="26">
        <f>IF(H408="","",SUMIFS(VENDAS!$F$5:$F$1004,VENDAS!$A$5:$A$1004,H408,VENDAS!$D$5:$D$1004,O$4))</f>
        <v/>
      </c>
      <c r="P408" s="26">
        <f>IF(H408="","",SUMIFS(VENDAS!$F$5:$F$1004,VENDAS!$A$5:$A$1004,H408,VENDAS!$D$5:$D$1004,P$4))</f>
        <v/>
      </c>
      <c r="Q408" s="24">
        <f>IF(H408="","",SUMIFS(VENDAS!$H$5:$H$1004,VENDAS!$A$5:$A$1004,H408))</f>
        <v/>
      </c>
      <c r="R408" s="24">
        <f>IF(H408="","",SUMIFS(VENDAS!$K$5:$K$1004,VENDAS!$A$5:$A$1004,H408))</f>
        <v/>
      </c>
      <c r="S408" s="20" t="n"/>
      <c r="T408" s="31" t="n"/>
    </row>
    <row r="409">
      <c r="H409" s="20" t="n"/>
      <c r="I409" s="30">
        <f>IF(H409="","",IFERROR(INDEX(VENDAS!$B$5:$B$1004,MATCH(H409,VENDAS!$A$5:$A$1004,0)),"não lançado"))</f>
        <v/>
      </c>
      <c r="J409" s="22">
        <f>IF(H409="","",IFERROR(INDEX(VENDAS!$M$5:$M$1004,MATCH(H409,VENDAS!$A$5:$A$1004,0))&amp;"",""))</f>
        <v/>
      </c>
      <c r="K409" s="22">
        <f>IF(H409="","",IFERROR(INDEX(VENDAS!$J$5:$J$1004,MATCH(H409,VENDAS!$A$5:$A$1004,0))&amp;"",""))</f>
        <v/>
      </c>
      <c r="L409" s="26">
        <f>IF(H409="","",SUMIFS(VENDAS!$F$5:$F$1004,VENDAS!$A$5:$A$1004,H409))</f>
        <v/>
      </c>
      <c r="M409" s="26">
        <f>IF(H409="","",SUMIFS(VENDAS!$F$5:$F$1004,VENDAS!$A$5:$A$1004,H409,VENDAS!$D$5:$D$1004,M$4))</f>
        <v/>
      </c>
      <c r="N409" s="26">
        <f>IF(H409="","",SUMIFS(VENDAS!$F$5:$F$1004,VENDAS!$A$5:$A$1004,H409,VENDAS!$D$5:$D$1004,N$4))</f>
        <v/>
      </c>
      <c r="O409" s="26">
        <f>IF(H409="","",SUMIFS(VENDAS!$F$5:$F$1004,VENDAS!$A$5:$A$1004,H409,VENDAS!$D$5:$D$1004,O$4))</f>
        <v/>
      </c>
      <c r="P409" s="26">
        <f>IF(H409="","",SUMIFS(VENDAS!$F$5:$F$1004,VENDAS!$A$5:$A$1004,H409,VENDAS!$D$5:$D$1004,P$4))</f>
        <v/>
      </c>
      <c r="Q409" s="24">
        <f>IF(H409="","",SUMIFS(VENDAS!$H$5:$H$1004,VENDAS!$A$5:$A$1004,H409))</f>
        <v/>
      </c>
      <c r="R409" s="24">
        <f>IF(H409="","",SUMIFS(VENDAS!$K$5:$K$1004,VENDAS!$A$5:$A$1004,H409))</f>
        <v/>
      </c>
      <c r="S409" s="20" t="n"/>
      <c r="T409" s="31" t="n"/>
    </row>
    <row r="410">
      <c r="H410" s="20" t="n"/>
      <c r="I410" s="30">
        <f>IF(H410="","",IFERROR(INDEX(VENDAS!$B$5:$B$1004,MATCH(H410,VENDAS!$A$5:$A$1004,0)),"não lançado"))</f>
        <v/>
      </c>
      <c r="J410" s="22">
        <f>IF(H410="","",IFERROR(INDEX(VENDAS!$M$5:$M$1004,MATCH(H410,VENDAS!$A$5:$A$1004,0))&amp;"",""))</f>
        <v/>
      </c>
      <c r="K410" s="22">
        <f>IF(H410="","",IFERROR(INDEX(VENDAS!$J$5:$J$1004,MATCH(H410,VENDAS!$A$5:$A$1004,0))&amp;"",""))</f>
        <v/>
      </c>
      <c r="L410" s="26">
        <f>IF(H410="","",SUMIFS(VENDAS!$F$5:$F$1004,VENDAS!$A$5:$A$1004,H410))</f>
        <v/>
      </c>
      <c r="M410" s="26">
        <f>IF(H410="","",SUMIFS(VENDAS!$F$5:$F$1004,VENDAS!$A$5:$A$1004,H410,VENDAS!$D$5:$D$1004,M$4))</f>
        <v/>
      </c>
      <c r="N410" s="26">
        <f>IF(H410="","",SUMIFS(VENDAS!$F$5:$F$1004,VENDAS!$A$5:$A$1004,H410,VENDAS!$D$5:$D$1004,N$4))</f>
        <v/>
      </c>
      <c r="O410" s="26">
        <f>IF(H410="","",SUMIFS(VENDAS!$F$5:$F$1004,VENDAS!$A$5:$A$1004,H410,VENDAS!$D$5:$D$1004,O$4))</f>
        <v/>
      </c>
      <c r="P410" s="26">
        <f>IF(H410="","",SUMIFS(VENDAS!$F$5:$F$1004,VENDAS!$A$5:$A$1004,H410,VENDAS!$D$5:$D$1004,P$4))</f>
        <v/>
      </c>
      <c r="Q410" s="24">
        <f>IF(H410="","",SUMIFS(VENDAS!$H$5:$H$1004,VENDAS!$A$5:$A$1004,H410))</f>
        <v/>
      </c>
      <c r="R410" s="24">
        <f>IF(H410="","",SUMIFS(VENDAS!$K$5:$K$1004,VENDAS!$A$5:$A$1004,H410))</f>
        <v/>
      </c>
      <c r="S410" s="20" t="n"/>
      <c r="T410" s="31" t="n"/>
    </row>
    <row r="411">
      <c r="H411" s="20" t="n"/>
      <c r="I411" s="30">
        <f>IF(H411="","",IFERROR(INDEX(VENDAS!$B$5:$B$1004,MATCH(H411,VENDAS!$A$5:$A$1004,0)),"não lançado"))</f>
        <v/>
      </c>
      <c r="J411" s="22">
        <f>IF(H411="","",IFERROR(INDEX(VENDAS!$M$5:$M$1004,MATCH(H411,VENDAS!$A$5:$A$1004,0))&amp;"",""))</f>
        <v/>
      </c>
      <c r="K411" s="22">
        <f>IF(H411="","",IFERROR(INDEX(VENDAS!$J$5:$J$1004,MATCH(H411,VENDAS!$A$5:$A$1004,0))&amp;"",""))</f>
        <v/>
      </c>
      <c r="L411" s="26">
        <f>IF(H411="","",SUMIFS(VENDAS!$F$5:$F$1004,VENDAS!$A$5:$A$1004,H411))</f>
        <v/>
      </c>
      <c r="M411" s="26">
        <f>IF(H411="","",SUMIFS(VENDAS!$F$5:$F$1004,VENDAS!$A$5:$A$1004,H411,VENDAS!$D$5:$D$1004,M$4))</f>
        <v/>
      </c>
      <c r="N411" s="26">
        <f>IF(H411="","",SUMIFS(VENDAS!$F$5:$F$1004,VENDAS!$A$5:$A$1004,H411,VENDAS!$D$5:$D$1004,N$4))</f>
        <v/>
      </c>
      <c r="O411" s="26">
        <f>IF(H411="","",SUMIFS(VENDAS!$F$5:$F$1004,VENDAS!$A$5:$A$1004,H411,VENDAS!$D$5:$D$1004,O$4))</f>
        <v/>
      </c>
      <c r="P411" s="26">
        <f>IF(H411="","",SUMIFS(VENDAS!$F$5:$F$1004,VENDAS!$A$5:$A$1004,H411,VENDAS!$D$5:$D$1004,P$4))</f>
        <v/>
      </c>
      <c r="Q411" s="24">
        <f>IF(H411="","",SUMIFS(VENDAS!$H$5:$H$1004,VENDAS!$A$5:$A$1004,H411))</f>
        <v/>
      </c>
      <c r="R411" s="24">
        <f>IF(H411="","",SUMIFS(VENDAS!$K$5:$K$1004,VENDAS!$A$5:$A$1004,H411))</f>
        <v/>
      </c>
      <c r="S411" s="20" t="n"/>
      <c r="T411" s="31" t="n"/>
    </row>
    <row r="412">
      <c r="H412" s="20" t="n"/>
      <c r="I412" s="30">
        <f>IF(H412="","",IFERROR(INDEX(VENDAS!$B$5:$B$1004,MATCH(H412,VENDAS!$A$5:$A$1004,0)),"não lançado"))</f>
        <v/>
      </c>
      <c r="J412" s="22">
        <f>IF(H412="","",IFERROR(INDEX(VENDAS!$M$5:$M$1004,MATCH(H412,VENDAS!$A$5:$A$1004,0))&amp;"",""))</f>
        <v/>
      </c>
      <c r="K412" s="22">
        <f>IF(H412="","",IFERROR(INDEX(VENDAS!$J$5:$J$1004,MATCH(H412,VENDAS!$A$5:$A$1004,0))&amp;"",""))</f>
        <v/>
      </c>
      <c r="L412" s="26">
        <f>IF(H412="","",SUMIFS(VENDAS!$F$5:$F$1004,VENDAS!$A$5:$A$1004,H412))</f>
        <v/>
      </c>
      <c r="M412" s="26">
        <f>IF(H412="","",SUMIFS(VENDAS!$F$5:$F$1004,VENDAS!$A$5:$A$1004,H412,VENDAS!$D$5:$D$1004,M$4))</f>
        <v/>
      </c>
      <c r="N412" s="26">
        <f>IF(H412="","",SUMIFS(VENDAS!$F$5:$F$1004,VENDAS!$A$5:$A$1004,H412,VENDAS!$D$5:$D$1004,N$4))</f>
        <v/>
      </c>
      <c r="O412" s="26">
        <f>IF(H412="","",SUMIFS(VENDAS!$F$5:$F$1004,VENDAS!$A$5:$A$1004,H412,VENDAS!$D$5:$D$1004,O$4))</f>
        <v/>
      </c>
      <c r="P412" s="26">
        <f>IF(H412="","",SUMIFS(VENDAS!$F$5:$F$1004,VENDAS!$A$5:$A$1004,H412,VENDAS!$D$5:$D$1004,P$4))</f>
        <v/>
      </c>
      <c r="Q412" s="24">
        <f>IF(H412="","",SUMIFS(VENDAS!$H$5:$H$1004,VENDAS!$A$5:$A$1004,H412))</f>
        <v/>
      </c>
      <c r="R412" s="24">
        <f>IF(H412="","",SUMIFS(VENDAS!$K$5:$K$1004,VENDAS!$A$5:$A$1004,H412))</f>
        <v/>
      </c>
      <c r="S412" s="20" t="n"/>
      <c r="T412" s="31" t="n"/>
    </row>
    <row r="413">
      <c r="H413" s="20" t="n"/>
      <c r="I413" s="30">
        <f>IF(H413="","",IFERROR(INDEX(VENDAS!$B$5:$B$1004,MATCH(H413,VENDAS!$A$5:$A$1004,0)),"não lançado"))</f>
        <v/>
      </c>
      <c r="J413" s="22">
        <f>IF(H413="","",IFERROR(INDEX(VENDAS!$M$5:$M$1004,MATCH(H413,VENDAS!$A$5:$A$1004,0))&amp;"",""))</f>
        <v/>
      </c>
      <c r="K413" s="22">
        <f>IF(H413="","",IFERROR(INDEX(VENDAS!$J$5:$J$1004,MATCH(H413,VENDAS!$A$5:$A$1004,0))&amp;"",""))</f>
        <v/>
      </c>
      <c r="L413" s="26">
        <f>IF(H413="","",SUMIFS(VENDAS!$F$5:$F$1004,VENDAS!$A$5:$A$1004,H413))</f>
        <v/>
      </c>
      <c r="M413" s="26">
        <f>IF(H413="","",SUMIFS(VENDAS!$F$5:$F$1004,VENDAS!$A$5:$A$1004,H413,VENDAS!$D$5:$D$1004,M$4))</f>
        <v/>
      </c>
      <c r="N413" s="26">
        <f>IF(H413="","",SUMIFS(VENDAS!$F$5:$F$1004,VENDAS!$A$5:$A$1004,H413,VENDAS!$D$5:$D$1004,N$4))</f>
        <v/>
      </c>
      <c r="O413" s="26">
        <f>IF(H413="","",SUMIFS(VENDAS!$F$5:$F$1004,VENDAS!$A$5:$A$1004,H413,VENDAS!$D$5:$D$1004,O$4))</f>
        <v/>
      </c>
      <c r="P413" s="26">
        <f>IF(H413="","",SUMIFS(VENDAS!$F$5:$F$1004,VENDAS!$A$5:$A$1004,H413,VENDAS!$D$5:$D$1004,P$4))</f>
        <v/>
      </c>
      <c r="Q413" s="24">
        <f>IF(H413="","",SUMIFS(VENDAS!$H$5:$H$1004,VENDAS!$A$5:$A$1004,H413))</f>
        <v/>
      </c>
      <c r="R413" s="24">
        <f>IF(H413="","",SUMIFS(VENDAS!$K$5:$K$1004,VENDAS!$A$5:$A$1004,H413))</f>
        <v/>
      </c>
      <c r="S413" s="20" t="n"/>
      <c r="T413" s="31" t="n"/>
    </row>
    <row r="414">
      <c r="H414" s="20" t="n"/>
      <c r="I414" s="30">
        <f>IF(H414="","",IFERROR(INDEX(VENDAS!$B$5:$B$1004,MATCH(H414,VENDAS!$A$5:$A$1004,0)),"não lançado"))</f>
        <v/>
      </c>
      <c r="J414" s="22">
        <f>IF(H414="","",IFERROR(INDEX(VENDAS!$M$5:$M$1004,MATCH(H414,VENDAS!$A$5:$A$1004,0))&amp;"",""))</f>
        <v/>
      </c>
      <c r="K414" s="22">
        <f>IF(H414="","",IFERROR(INDEX(VENDAS!$J$5:$J$1004,MATCH(H414,VENDAS!$A$5:$A$1004,0))&amp;"",""))</f>
        <v/>
      </c>
      <c r="L414" s="26">
        <f>IF(H414="","",SUMIFS(VENDAS!$F$5:$F$1004,VENDAS!$A$5:$A$1004,H414))</f>
        <v/>
      </c>
      <c r="M414" s="26">
        <f>IF(H414="","",SUMIFS(VENDAS!$F$5:$F$1004,VENDAS!$A$5:$A$1004,H414,VENDAS!$D$5:$D$1004,M$4))</f>
        <v/>
      </c>
      <c r="N414" s="26">
        <f>IF(H414="","",SUMIFS(VENDAS!$F$5:$F$1004,VENDAS!$A$5:$A$1004,H414,VENDAS!$D$5:$D$1004,N$4))</f>
        <v/>
      </c>
      <c r="O414" s="26">
        <f>IF(H414="","",SUMIFS(VENDAS!$F$5:$F$1004,VENDAS!$A$5:$A$1004,H414,VENDAS!$D$5:$D$1004,O$4))</f>
        <v/>
      </c>
      <c r="P414" s="26">
        <f>IF(H414="","",SUMIFS(VENDAS!$F$5:$F$1004,VENDAS!$A$5:$A$1004,H414,VENDAS!$D$5:$D$1004,P$4))</f>
        <v/>
      </c>
      <c r="Q414" s="24">
        <f>IF(H414="","",SUMIFS(VENDAS!$H$5:$H$1004,VENDAS!$A$5:$A$1004,H414))</f>
        <v/>
      </c>
      <c r="R414" s="24">
        <f>IF(H414="","",SUMIFS(VENDAS!$K$5:$K$1004,VENDAS!$A$5:$A$1004,H414))</f>
        <v/>
      </c>
      <c r="S414" s="20" t="n"/>
      <c r="T414" s="31" t="n"/>
    </row>
    <row r="415">
      <c r="H415" s="20" t="n"/>
      <c r="I415" s="30">
        <f>IF(H415="","",IFERROR(INDEX(VENDAS!$B$5:$B$1004,MATCH(H415,VENDAS!$A$5:$A$1004,0)),"não lançado"))</f>
        <v/>
      </c>
      <c r="J415" s="22">
        <f>IF(H415="","",IFERROR(INDEX(VENDAS!$M$5:$M$1004,MATCH(H415,VENDAS!$A$5:$A$1004,0))&amp;"",""))</f>
        <v/>
      </c>
      <c r="K415" s="22">
        <f>IF(H415="","",IFERROR(INDEX(VENDAS!$J$5:$J$1004,MATCH(H415,VENDAS!$A$5:$A$1004,0))&amp;"",""))</f>
        <v/>
      </c>
      <c r="L415" s="26">
        <f>IF(H415="","",SUMIFS(VENDAS!$F$5:$F$1004,VENDAS!$A$5:$A$1004,H415))</f>
        <v/>
      </c>
      <c r="M415" s="26">
        <f>IF(H415="","",SUMIFS(VENDAS!$F$5:$F$1004,VENDAS!$A$5:$A$1004,H415,VENDAS!$D$5:$D$1004,M$4))</f>
        <v/>
      </c>
      <c r="N415" s="26">
        <f>IF(H415="","",SUMIFS(VENDAS!$F$5:$F$1004,VENDAS!$A$5:$A$1004,H415,VENDAS!$D$5:$D$1004,N$4))</f>
        <v/>
      </c>
      <c r="O415" s="26">
        <f>IF(H415="","",SUMIFS(VENDAS!$F$5:$F$1004,VENDAS!$A$5:$A$1004,H415,VENDAS!$D$5:$D$1004,O$4))</f>
        <v/>
      </c>
      <c r="P415" s="26">
        <f>IF(H415="","",SUMIFS(VENDAS!$F$5:$F$1004,VENDAS!$A$5:$A$1004,H415,VENDAS!$D$5:$D$1004,P$4))</f>
        <v/>
      </c>
      <c r="Q415" s="24">
        <f>IF(H415="","",SUMIFS(VENDAS!$H$5:$H$1004,VENDAS!$A$5:$A$1004,H415))</f>
        <v/>
      </c>
      <c r="R415" s="24">
        <f>IF(H415="","",SUMIFS(VENDAS!$K$5:$K$1004,VENDAS!$A$5:$A$1004,H415))</f>
        <v/>
      </c>
      <c r="S415" s="20" t="n"/>
      <c r="T415" s="31" t="n"/>
    </row>
    <row r="416">
      <c r="H416" s="20" t="n"/>
      <c r="I416" s="30">
        <f>IF(H416="","",IFERROR(INDEX(VENDAS!$B$5:$B$1004,MATCH(H416,VENDAS!$A$5:$A$1004,0)),"não lançado"))</f>
        <v/>
      </c>
      <c r="J416" s="22">
        <f>IF(H416="","",IFERROR(INDEX(VENDAS!$M$5:$M$1004,MATCH(H416,VENDAS!$A$5:$A$1004,0))&amp;"",""))</f>
        <v/>
      </c>
      <c r="K416" s="22">
        <f>IF(H416="","",IFERROR(INDEX(VENDAS!$J$5:$J$1004,MATCH(H416,VENDAS!$A$5:$A$1004,0))&amp;"",""))</f>
        <v/>
      </c>
      <c r="L416" s="26">
        <f>IF(H416="","",SUMIFS(VENDAS!$F$5:$F$1004,VENDAS!$A$5:$A$1004,H416))</f>
        <v/>
      </c>
      <c r="M416" s="26">
        <f>IF(H416="","",SUMIFS(VENDAS!$F$5:$F$1004,VENDAS!$A$5:$A$1004,H416,VENDAS!$D$5:$D$1004,M$4))</f>
        <v/>
      </c>
      <c r="N416" s="26">
        <f>IF(H416="","",SUMIFS(VENDAS!$F$5:$F$1004,VENDAS!$A$5:$A$1004,H416,VENDAS!$D$5:$D$1004,N$4))</f>
        <v/>
      </c>
      <c r="O416" s="26">
        <f>IF(H416="","",SUMIFS(VENDAS!$F$5:$F$1004,VENDAS!$A$5:$A$1004,H416,VENDAS!$D$5:$D$1004,O$4))</f>
        <v/>
      </c>
      <c r="P416" s="26">
        <f>IF(H416="","",SUMIFS(VENDAS!$F$5:$F$1004,VENDAS!$A$5:$A$1004,H416,VENDAS!$D$5:$D$1004,P$4))</f>
        <v/>
      </c>
      <c r="Q416" s="24">
        <f>IF(H416="","",SUMIFS(VENDAS!$H$5:$H$1004,VENDAS!$A$5:$A$1004,H416))</f>
        <v/>
      </c>
      <c r="R416" s="24">
        <f>IF(H416="","",SUMIFS(VENDAS!$K$5:$K$1004,VENDAS!$A$5:$A$1004,H416))</f>
        <v/>
      </c>
      <c r="S416" s="20" t="n"/>
      <c r="T416" s="31" t="n"/>
    </row>
    <row r="417">
      <c r="H417" s="20" t="n"/>
      <c r="I417" s="30">
        <f>IF(H417="","",IFERROR(INDEX(VENDAS!$B$5:$B$1004,MATCH(H417,VENDAS!$A$5:$A$1004,0)),"não lançado"))</f>
        <v/>
      </c>
      <c r="J417" s="22">
        <f>IF(H417="","",IFERROR(INDEX(VENDAS!$M$5:$M$1004,MATCH(H417,VENDAS!$A$5:$A$1004,0))&amp;"",""))</f>
        <v/>
      </c>
      <c r="K417" s="22">
        <f>IF(H417="","",IFERROR(INDEX(VENDAS!$J$5:$J$1004,MATCH(H417,VENDAS!$A$5:$A$1004,0))&amp;"",""))</f>
        <v/>
      </c>
      <c r="L417" s="26">
        <f>IF(H417="","",SUMIFS(VENDAS!$F$5:$F$1004,VENDAS!$A$5:$A$1004,H417))</f>
        <v/>
      </c>
      <c r="M417" s="26">
        <f>IF(H417="","",SUMIFS(VENDAS!$F$5:$F$1004,VENDAS!$A$5:$A$1004,H417,VENDAS!$D$5:$D$1004,M$4))</f>
        <v/>
      </c>
      <c r="N417" s="26">
        <f>IF(H417="","",SUMIFS(VENDAS!$F$5:$F$1004,VENDAS!$A$5:$A$1004,H417,VENDAS!$D$5:$D$1004,N$4))</f>
        <v/>
      </c>
      <c r="O417" s="26">
        <f>IF(H417="","",SUMIFS(VENDAS!$F$5:$F$1004,VENDAS!$A$5:$A$1004,H417,VENDAS!$D$5:$D$1004,O$4))</f>
        <v/>
      </c>
      <c r="P417" s="26">
        <f>IF(H417="","",SUMIFS(VENDAS!$F$5:$F$1004,VENDAS!$A$5:$A$1004,H417,VENDAS!$D$5:$D$1004,P$4))</f>
        <v/>
      </c>
      <c r="Q417" s="24">
        <f>IF(H417="","",SUMIFS(VENDAS!$H$5:$H$1004,VENDAS!$A$5:$A$1004,H417))</f>
        <v/>
      </c>
      <c r="R417" s="24">
        <f>IF(H417="","",SUMIFS(VENDAS!$K$5:$K$1004,VENDAS!$A$5:$A$1004,H417))</f>
        <v/>
      </c>
      <c r="S417" s="20" t="n"/>
      <c r="T417" s="31" t="n"/>
    </row>
    <row r="418">
      <c r="H418" s="20" t="n"/>
      <c r="I418" s="30">
        <f>IF(H418="","",IFERROR(INDEX(VENDAS!$B$5:$B$1004,MATCH(H418,VENDAS!$A$5:$A$1004,0)),"não lançado"))</f>
        <v/>
      </c>
      <c r="J418" s="22">
        <f>IF(H418="","",IFERROR(INDEX(VENDAS!$M$5:$M$1004,MATCH(H418,VENDAS!$A$5:$A$1004,0))&amp;"",""))</f>
        <v/>
      </c>
      <c r="K418" s="22">
        <f>IF(H418="","",IFERROR(INDEX(VENDAS!$J$5:$J$1004,MATCH(H418,VENDAS!$A$5:$A$1004,0))&amp;"",""))</f>
        <v/>
      </c>
      <c r="L418" s="26">
        <f>IF(H418="","",SUMIFS(VENDAS!$F$5:$F$1004,VENDAS!$A$5:$A$1004,H418))</f>
        <v/>
      </c>
      <c r="M418" s="26">
        <f>IF(H418="","",SUMIFS(VENDAS!$F$5:$F$1004,VENDAS!$A$5:$A$1004,H418,VENDAS!$D$5:$D$1004,M$4))</f>
        <v/>
      </c>
      <c r="N418" s="26">
        <f>IF(H418="","",SUMIFS(VENDAS!$F$5:$F$1004,VENDAS!$A$5:$A$1004,H418,VENDAS!$D$5:$D$1004,N$4))</f>
        <v/>
      </c>
      <c r="O418" s="26">
        <f>IF(H418="","",SUMIFS(VENDAS!$F$5:$F$1004,VENDAS!$A$5:$A$1004,H418,VENDAS!$D$5:$D$1004,O$4))</f>
        <v/>
      </c>
      <c r="P418" s="26">
        <f>IF(H418="","",SUMIFS(VENDAS!$F$5:$F$1004,VENDAS!$A$5:$A$1004,H418,VENDAS!$D$5:$D$1004,P$4))</f>
        <v/>
      </c>
      <c r="Q418" s="24">
        <f>IF(H418="","",SUMIFS(VENDAS!$H$5:$H$1004,VENDAS!$A$5:$A$1004,H418))</f>
        <v/>
      </c>
      <c r="R418" s="24">
        <f>IF(H418="","",SUMIFS(VENDAS!$K$5:$K$1004,VENDAS!$A$5:$A$1004,H418))</f>
        <v/>
      </c>
      <c r="S418" s="20" t="n"/>
      <c r="T418" s="31" t="n"/>
    </row>
    <row r="419">
      <c r="H419" s="20" t="n"/>
      <c r="I419" s="30">
        <f>IF(H419="","",IFERROR(INDEX(VENDAS!$B$5:$B$1004,MATCH(H419,VENDAS!$A$5:$A$1004,0)),"não lançado"))</f>
        <v/>
      </c>
      <c r="J419" s="22">
        <f>IF(H419="","",IFERROR(INDEX(VENDAS!$M$5:$M$1004,MATCH(H419,VENDAS!$A$5:$A$1004,0))&amp;"",""))</f>
        <v/>
      </c>
      <c r="K419" s="22">
        <f>IF(H419="","",IFERROR(INDEX(VENDAS!$J$5:$J$1004,MATCH(H419,VENDAS!$A$5:$A$1004,0))&amp;"",""))</f>
        <v/>
      </c>
      <c r="L419" s="26">
        <f>IF(H419="","",SUMIFS(VENDAS!$F$5:$F$1004,VENDAS!$A$5:$A$1004,H419))</f>
        <v/>
      </c>
      <c r="M419" s="26">
        <f>IF(H419="","",SUMIFS(VENDAS!$F$5:$F$1004,VENDAS!$A$5:$A$1004,H419,VENDAS!$D$5:$D$1004,M$4))</f>
        <v/>
      </c>
      <c r="N419" s="26">
        <f>IF(H419="","",SUMIFS(VENDAS!$F$5:$F$1004,VENDAS!$A$5:$A$1004,H419,VENDAS!$D$5:$D$1004,N$4))</f>
        <v/>
      </c>
      <c r="O419" s="26">
        <f>IF(H419="","",SUMIFS(VENDAS!$F$5:$F$1004,VENDAS!$A$5:$A$1004,H419,VENDAS!$D$5:$D$1004,O$4))</f>
        <v/>
      </c>
      <c r="P419" s="26">
        <f>IF(H419="","",SUMIFS(VENDAS!$F$5:$F$1004,VENDAS!$A$5:$A$1004,H419,VENDAS!$D$5:$D$1004,P$4))</f>
        <v/>
      </c>
      <c r="Q419" s="24">
        <f>IF(H419="","",SUMIFS(VENDAS!$H$5:$H$1004,VENDAS!$A$5:$A$1004,H419))</f>
        <v/>
      </c>
      <c r="R419" s="24">
        <f>IF(H419="","",SUMIFS(VENDAS!$K$5:$K$1004,VENDAS!$A$5:$A$1004,H419))</f>
        <v/>
      </c>
      <c r="S419" s="20" t="n"/>
      <c r="T419" s="31" t="n"/>
    </row>
    <row r="420">
      <c r="H420" s="20" t="n"/>
      <c r="I420" s="30">
        <f>IF(H420="","",IFERROR(INDEX(VENDAS!$B$5:$B$1004,MATCH(H420,VENDAS!$A$5:$A$1004,0)),"não lançado"))</f>
        <v/>
      </c>
      <c r="J420" s="22">
        <f>IF(H420="","",IFERROR(INDEX(VENDAS!$M$5:$M$1004,MATCH(H420,VENDAS!$A$5:$A$1004,0))&amp;"",""))</f>
        <v/>
      </c>
      <c r="K420" s="22">
        <f>IF(H420="","",IFERROR(INDEX(VENDAS!$J$5:$J$1004,MATCH(H420,VENDAS!$A$5:$A$1004,0))&amp;"",""))</f>
        <v/>
      </c>
      <c r="L420" s="26">
        <f>IF(H420="","",SUMIFS(VENDAS!$F$5:$F$1004,VENDAS!$A$5:$A$1004,H420))</f>
        <v/>
      </c>
      <c r="M420" s="26">
        <f>IF(H420="","",SUMIFS(VENDAS!$F$5:$F$1004,VENDAS!$A$5:$A$1004,H420,VENDAS!$D$5:$D$1004,M$4))</f>
        <v/>
      </c>
      <c r="N420" s="26">
        <f>IF(H420="","",SUMIFS(VENDAS!$F$5:$F$1004,VENDAS!$A$5:$A$1004,H420,VENDAS!$D$5:$D$1004,N$4))</f>
        <v/>
      </c>
      <c r="O420" s="26">
        <f>IF(H420="","",SUMIFS(VENDAS!$F$5:$F$1004,VENDAS!$A$5:$A$1004,H420,VENDAS!$D$5:$D$1004,O$4))</f>
        <v/>
      </c>
      <c r="P420" s="26">
        <f>IF(H420="","",SUMIFS(VENDAS!$F$5:$F$1004,VENDAS!$A$5:$A$1004,H420,VENDAS!$D$5:$D$1004,P$4))</f>
        <v/>
      </c>
      <c r="Q420" s="24">
        <f>IF(H420="","",SUMIFS(VENDAS!$H$5:$H$1004,VENDAS!$A$5:$A$1004,H420))</f>
        <v/>
      </c>
      <c r="R420" s="24">
        <f>IF(H420="","",SUMIFS(VENDAS!$K$5:$K$1004,VENDAS!$A$5:$A$1004,H420))</f>
        <v/>
      </c>
      <c r="S420" s="20" t="n"/>
      <c r="T420" s="31" t="n"/>
    </row>
    <row r="421">
      <c r="H421" s="20" t="n"/>
      <c r="I421" s="30">
        <f>IF(H421="","",IFERROR(INDEX(VENDAS!$B$5:$B$1004,MATCH(H421,VENDAS!$A$5:$A$1004,0)),"não lançado"))</f>
        <v/>
      </c>
      <c r="J421" s="22">
        <f>IF(H421="","",IFERROR(INDEX(VENDAS!$M$5:$M$1004,MATCH(H421,VENDAS!$A$5:$A$1004,0))&amp;"",""))</f>
        <v/>
      </c>
      <c r="K421" s="22">
        <f>IF(H421="","",IFERROR(INDEX(VENDAS!$J$5:$J$1004,MATCH(H421,VENDAS!$A$5:$A$1004,0))&amp;"",""))</f>
        <v/>
      </c>
      <c r="L421" s="26">
        <f>IF(H421="","",SUMIFS(VENDAS!$F$5:$F$1004,VENDAS!$A$5:$A$1004,H421))</f>
        <v/>
      </c>
      <c r="M421" s="26">
        <f>IF(H421="","",SUMIFS(VENDAS!$F$5:$F$1004,VENDAS!$A$5:$A$1004,H421,VENDAS!$D$5:$D$1004,M$4))</f>
        <v/>
      </c>
      <c r="N421" s="26">
        <f>IF(H421="","",SUMIFS(VENDAS!$F$5:$F$1004,VENDAS!$A$5:$A$1004,H421,VENDAS!$D$5:$D$1004,N$4))</f>
        <v/>
      </c>
      <c r="O421" s="26">
        <f>IF(H421="","",SUMIFS(VENDAS!$F$5:$F$1004,VENDAS!$A$5:$A$1004,H421,VENDAS!$D$5:$D$1004,O$4))</f>
        <v/>
      </c>
      <c r="P421" s="26">
        <f>IF(H421="","",SUMIFS(VENDAS!$F$5:$F$1004,VENDAS!$A$5:$A$1004,H421,VENDAS!$D$5:$D$1004,P$4))</f>
        <v/>
      </c>
      <c r="Q421" s="24">
        <f>IF(H421="","",SUMIFS(VENDAS!$H$5:$H$1004,VENDAS!$A$5:$A$1004,H421))</f>
        <v/>
      </c>
      <c r="R421" s="24">
        <f>IF(H421="","",SUMIFS(VENDAS!$K$5:$K$1004,VENDAS!$A$5:$A$1004,H421))</f>
        <v/>
      </c>
      <c r="S421" s="20" t="n"/>
      <c r="T421" s="31" t="n"/>
    </row>
    <row r="422">
      <c r="H422" s="20" t="n"/>
      <c r="I422" s="30">
        <f>IF(H422="","",IFERROR(INDEX(VENDAS!$B$5:$B$1004,MATCH(H422,VENDAS!$A$5:$A$1004,0)),"não lançado"))</f>
        <v/>
      </c>
      <c r="J422" s="22">
        <f>IF(H422="","",IFERROR(INDEX(VENDAS!$M$5:$M$1004,MATCH(H422,VENDAS!$A$5:$A$1004,0))&amp;"",""))</f>
        <v/>
      </c>
      <c r="K422" s="22">
        <f>IF(H422="","",IFERROR(INDEX(VENDAS!$J$5:$J$1004,MATCH(H422,VENDAS!$A$5:$A$1004,0))&amp;"",""))</f>
        <v/>
      </c>
      <c r="L422" s="26">
        <f>IF(H422="","",SUMIFS(VENDAS!$F$5:$F$1004,VENDAS!$A$5:$A$1004,H422))</f>
        <v/>
      </c>
      <c r="M422" s="26">
        <f>IF(H422="","",SUMIFS(VENDAS!$F$5:$F$1004,VENDAS!$A$5:$A$1004,H422,VENDAS!$D$5:$D$1004,M$4))</f>
        <v/>
      </c>
      <c r="N422" s="26">
        <f>IF(H422="","",SUMIFS(VENDAS!$F$5:$F$1004,VENDAS!$A$5:$A$1004,H422,VENDAS!$D$5:$D$1004,N$4))</f>
        <v/>
      </c>
      <c r="O422" s="26">
        <f>IF(H422="","",SUMIFS(VENDAS!$F$5:$F$1004,VENDAS!$A$5:$A$1004,H422,VENDAS!$D$5:$D$1004,O$4))</f>
        <v/>
      </c>
      <c r="P422" s="26">
        <f>IF(H422="","",SUMIFS(VENDAS!$F$5:$F$1004,VENDAS!$A$5:$A$1004,H422,VENDAS!$D$5:$D$1004,P$4))</f>
        <v/>
      </c>
      <c r="Q422" s="24">
        <f>IF(H422="","",SUMIFS(VENDAS!$H$5:$H$1004,VENDAS!$A$5:$A$1004,H422))</f>
        <v/>
      </c>
      <c r="R422" s="24">
        <f>IF(H422="","",SUMIFS(VENDAS!$K$5:$K$1004,VENDAS!$A$5:$A$1004,H422))</f>
        <v/>
      </c>
      <c r="S422" s="20" t="n"/>
      <c r="T422" s="31" t="n"/>
    </row>
    <row r="423">
      <c r="H423" s="20" t="n"/>
      <c r="I423" s="30">
        <f>IF(H423="","",IFERROR(INDEX(VENDAS!$B$5:$B$1004,MATCH(H423,VENDAS!$A$5:$A$1004,0)),"não lançado"))</f>
        <v/>
      </c>
      <c r="J423" s="22">
        <f>IF(H423="","",IFERROR(INDEX(VENDAS!$M$5:$M$1004,MATCH(H423,VENDAS!$A$5:$A$1004,0))&amp;"",""))</f>
        <v/>
      </c>
      <c r="K423" s="22">
        <f>IF(H423="","",IFERROR(INDEX(VENDAS!$J$5:$J$1004,MATCH(H423,VENDAS!$A$5:$A$1004,0))&amp;"",""))</f>
        <v/>
      </c>
      <c r="L423" s="26">
        <f>IF(H423="","",SUMIFS(VENDAS!$F$5:$F$1004,VENDAS!$A$5:$A$1004,H423))</f>
        <v/>
      </c>
      <c r="M423" s="26">
        <f>IF(H423="","",SUMIFS(VENDAS!$F$5:$F$1004,VENDAS!$A$5:$A$1004,H423,VENDAS!$D$5:$D$1004,M$4))</f>
        <v/>
      </c>
      <c r="N423" s="26">
        <f>IF(H423="","",SUMIFS(VENDAS!$F$5:$F$1004,VENDAS!$A$5:$A$1004,H423,VENDAS!$D$5:$D$1004,N$4))</f>
        <v/>
      </c>
      <c r="O423" s="26">
        <f>IF(H423="","",SUMIFS(VENDAS!$F$5:$F$1004,VENDAS!$A$5:$A$1004,H423,VENDAS!$D$5:$D$1004,O$4))</f>
        <v/>
      </c>
      <c r="P423" s="26">
        <f>IF(H423="","",SUMIFS(VENDAS!$F$5:$F$1004,VENDAS!$A$5:$A$1004,H423,VENDAS!$D$5:$D$1004,P$4))</f>
        <v/>
      </c>
      <c r="Q423" s="24">
        <f>IF(H423="","",SUMIFS(VENDAS!$H$5:$H$1004,VENDAS!$A$5:$A$1004,H423))</f>
        <v/>
      </c>
      <c r="R423" s="24">
        <f>IF(H423="","",SUMIFS(VENDAS!$K$5:$K$1004,VENDAS!$A$5:$A$1004,H423))</f>
        <v/>
      </c>
      <c r="S423" s="20" t="n"/>
      <c r="T423" s="31" t="n"/>
    </row>
    <row r="424">
      <c r="H424" s="20" t="n"/>
      <c r="I424" s="30">
        <f>IF(H424="","",IFERROR(INDEX(VENDAS!$B$5:$B$1004,MATCH(H424,VENDAS!$A$5:$A$1004,0)),"não lançado"))</f>
        <v/>
      </c>
      <c r="J424" s="22">
        <f>IF(H424="","",IFERROR(INDEX(VENDAS!$M$5:$M$1004,MATCH(H424,VENDAS!$A$5:$A$1004,0))&amp;"",""))</f>
        <v/>
      </c>
      <c r="K424" s="22">
        <f>IF(H424="","",IFERROR(INDEX(VENDAS!$J$5:$J$1004,MATCH(H424,VENDAS!$A$5:$A$1004,0))&amp;"",""))</f>
        <v/>
      </c>
      <c r="L424" s="26">
        <f>IF(H424="","",SUMIFS(VENDAS!$F$5:$F$1004,VENDAS!$A$5:$A$1004,H424))</f>
        <v/>
      </c>
      <c r="M424" s="26">
        <f>IF(H424="","",SUMIFS(VENDAS!$F$5:$F$1004,VENDAS!$A$5:$A$1004,H424,VENDAS!$D$5:$D$1004,M$4))</f>
        <v/>
      </c>
      <c r="N424" s="26">
        <f>IF(H424="","",SUMIFS(VENDAS!$F$5:$F$1004,VENDAS!$A$5:$A$1004,H424,VENDAS!$D$5:$D$1004,N$4))</f>
        <v/>
      </c>
      <c r="O424" s="26">
        <f>IF(H424="","",SUMIFS(VENDAS!$F$5:$F$1004,VENDAS!$A$5:$A$1004,H424,VENDAS!$D$5:$D$1004,O$4))</f>
        <v/>
      </c>
      <c r="P424" s="26">
        <f>IF(H424="","",SUMIFS(VENDAS!$F$5:$F$1004,VENDAS!$A$5:$A$1004,H424,VENDAS!$D$5:$D$1004,P$4))</f>
        <v/>
      </c>
      <c r="Q424" s="24">
        <f>IF(H424="","",SUMIFS(VENDAS!$H$5:$H$1004,VENDAS!$A$5:$A$1004,H424))</f>
        <v/>
      </c>
      <c r="R424" s="24">
        <f>IF(H424="","",SUMIFS(VENDAS!$K$5:$K$1004,VENDAS!$A$5:$A$1004,H424))</f>
        <v/>
      </c>
      <c r="S424" s="20" t="n"/>
      <c r="T424" s="31" t="n"/>
    </row>
    <row r="425">
      <c r="H425" s="20" t="n"/>
      <c r="I425" s="30">
        <f>IF(H425="","",IFERROR(INDEX(VENDAS!$B$5:$B$1004,MATCH(H425,VENDAS!$A$5:$A$1004,0)),"não lançado"))</f>
        <v/>
      </c>
      <c r="J425" s="22">
        <f>IF(H425="","",IFERROR(INDEX(VENDAS!$M$5:$M$1004,MATCH(H425,VENDAS!$A$5:$A$1004,0))&amp;"",""))</f>
        <v/>
      </c>
      <c r="K425" s="22">
        <f>IF(H425="","",IFERROR(INDEX(VENDAS!$J$5:$J$1004,MATCH(H425,VENDAS!$A$5:$A$1004,0))&amp;"",""))</f>
        <v/>
      </c>
      <c r="L425" s="26">
        <f>IF(H425="","",SUMIFS(VENDAS!$F$5:$F$1004,VENDAS!$A$5:$A$1004,H425))</f>
        <v/>
      </c>
      <c r="M425" s="26">
        <f>IF(H425="","",SUMIFS(VENDAS!$F$5:$F$1004,VENDAS!$A$5:$A$1004,H425,VENDAS!$D$5:$D$1004,M$4))</f>
        <v/>
      </c>
      <c r="N425" s="26">
        <f>IF(H425="","",SUMIFS(VENDAS!$F$5:$F$1004,VENDAS!$A$5:$A$1004,H425,VENDAS!$D$5:$D$1004,N$4))</f>
        <v/>
      </c>
      <c r="O425" s="26">
        <f>IF(H425="","",SUMIFS(VENDAS!$F$5:$F$1004,VENDAS!$A$5:$A$1004,H425,VENDAS!$D$5:$D$1004,O$4))</f>
        <v/>
      </c>
      <c r="P425" s="26">
        <f>IF(H425="","",SUMIFS(VENDAS!$F$5:$F$1004,VENDAS!$A$5:$A$1004,H425,VENDAS!$D$5:$D$1004,P$4))</f>
        <v/>
      </c>
      <c r="Q425" s="24">
        <f>IF(H425="","",SUMIFS(VENDAS!$H$5:$H$1004,VENDAS!$A$5:$A$1004,H425))</f>
        <v/>
      </c>
      <c r="R425" s="24">
        <f>IF(H425="","",SUMIFS(VENDAS!$K$5:$K$1004,VENDAS!$A$5:$A$1004,H425))</f>
        <v/>
      </c>
      <c r="S425" s="20" t="n"/>
      <c r="T425" s="31" t="n"/>
    </row>
    <row r="426">
      <c r="H426" s="20" t="n"/>
      <c r="I426" s="30">
        <f>IF(H426="","",IFERROR(INDEX(VENDAS!$B$5:$B$1004,MATCH(H426,VENDAS!$A$5:$A$1004,0)),"não lançado"))</f>
        <v/>
      </c>
      <c r="J426" s="22">
        <f>IF(H426="","",IFERROR(INDEX(VENDAS!$M$5:$M$1004,MATCH(H426,VENDAS!$A$5:$A$1004,0))&amp;"",""))</f>
        <v/>
      </c>
      <c r="K426" s="22">
        <f>IF(H426="","",IFERROR(INDEX(VENDAS!$J$5:$J$1004,MATCH(H426,VENDAS!$A$5:$A$1004,0))&amp;"",""))</f>
        <v/>
      </c>
      <c r="L426" s="26">
        <f>IF(H426="","",SUMIFS(VENDAS!$F$5:$F$1004,VENDAS!$A$5:$A$1004,H426))</f>
        <v/>
      </c>
      <c r="M426" s="26">
        <f>IF(H426="","",SUMIFS(VENDAS!$F$5:$F$1004,VENDAS!$A$5:$A$1004,H426,VENDAS!$D$5:$D$1004,M$4))</f>
        <v/>
      </c>
      <c r="N426" s="26">
        <f>IF(H426="","",SUMIFS(VENDAS!$F$5:$F$1004,VENDAS!$A$5:$A$1004,H426,VENDAS!$D$5:$D$1004,N$4))</f>
        <v/>
      </c>
      <c r="O426" s="26">
        <f>IF(H426="","",SUMIFS(VENDAS!$F$5:$F$1004,VENDAS!$A$5:$A$1004,H426,VENDAS!$D$5:$D$1004,O$4))</f>
        <v/>
      </c>
      <c r="P426" s="26">
        <f>IF(H426="","",SUMIFS(VENDAS!$F$5:$F$1004,VENDAS!$A$5:$A$1004,H426,VENDAS!$D$5:$D$1004,P$4))</f>
        <v/>
      </c>
      <c r="Q426" s="24">
        <f>IF(H426="","",SUMIFS(VENDAS!$H$5:$H$1004,VENDAS!$A$5:$A$1004,H426))</f>
        <v/>
      </c>
      <c r="R426" s="24">
        <f>IF(H426="","",SUMIFS(VENDAS!$K$5:$K$1004,VENDAS!$A$5:$A$1004,H426))</f>
        <v/>
      </c>
      <c r="S426" s="20" t="n"/>
      <c r="T426" s="31" t="n"/>
    </row>
    <row r="427">
      <c r="H427" s="20" t="n"/>
      <c r="I427" s="30">
        <f>IF(H427="","",IFERROR(INDEX(VENDAS!$B$5:$B$1004,MATCH(H427,VENDAS!$A$5:$A$1004,0)),"não lançado"))</f>
        <v/>
      </c>
      <c r="J427" s="22">
        <f>IF(H427="","",IFERROR(INDEX(VENDAS!$M$5:$M$1004,MATCH(H427,VENDAS!$A$5:$A$1004,0))&amp;"",""))</f>
        <v/>
      </c>
      <c r="K427" s="22">
        <f>IF(H427="","",IFERROR(INDEX(VENDAS!$J$5:$J$1004,MATCH(H427,VENDAS!$A$5:$A$1004,0))&amp;"",""))</f>
        <v/>
      </c>
      <c r="L427" s="26">
        <f>IF(H427="","",SUMIFS(VENDAS!$F$5:$F$1004,VENDAS!$A$5:$A$1004,H427))</f>
        <v/>
      </c>
      <c r="M427" s="26">
        <f>IF(H427="","",SUMIFS(VENDAS!$F$5:$F$1004,VENDAS!$A$5:$A$1004,H427,VENDAS!$D$5:$D$1004,M$4))</f>
        <v/>
      </c>
      <c r="N427" s="26">
        <f>IF(H427="","",SUMIFS(VENDAS!$F$5:$F$1004,VENDAS!$A$5:$A$1004,H427,VENDAS!$D$5:$D$1004,N$4))</f>
        <v/>
      </c>
      <c r="O427" s="26">
        <f>IF(H427="","",SUMIFS(VENDAS!$F$5:$F$1004,VENDAS!$A$5:$A$1004,H427,VENDAS!$D$5:$D$1004,O$4))</f>
        <v/>
      </c>
      <c r="P427" s="26">
        <f>IF(H427="","",SUMIFS(VENDAS!$F$5:$F$1004,VENDAS!$A$5:$A$1004,H427,VENDAS!$D$5:$D$1004,P$4))</f>
        <v/>
      </c>
      <c r="Q427" s="24">
        <f>IF(H427="","",SUMIFS(VENDAS!$H$5:$H$1004,VENDAS!$A$5:$A$1004,H427))</f>
        <v/>
      </c>
      <c r="R427" s="24">
        <f>IF(H427="","",SUMIFS(VENDAS!$K$5:$K$1004,VENDAS!$A$5:$A$1004,H427))</f>
        <v/>
      </c>
      <c r="S427" s="20" t="n"/>
      <c r="T427" s="31" t="n"/>
    </row>
    <row r="428">
      <c r="H428" s="20" t="n"/>
      <c r="I428" s="30">
        <f>IF(H428="","",IFERROR(INDEX(VENDAS!$B$5:$B$1004,MATCH(H428,VENDAS!$A$5:$A$1004,0)),"não lançado"))</f>
        <v/>
      </c>
      <c r="J428" s="22">
        <f>IF(H428="","",IFERROR(INDEX(VENDAS!$M$5:$M$1004,MATCH(H428,VENDAS!$A$5:$A$1004,0))&amp;"",""))</f>
        <v/>
      </c>
      <c r="K428" s="22">
        <f>IF(H428="","",IFERROR(INDEX(VENDAS!$J$5:$J$1004,MATCH(H428,VENDAS!$A$5:$A$1004,0))&amp;"",""))</f>
        <v/>
      </c>
      <c r="L428" s="26">
        <f>IF(H428="","",SUMIFS(VENDAS!$F$5:$F$1004,VENDAS!$A$5:$A$1004,H428))</f>
        <v/>
      </c>
      <c r="M428" s="26">
        <f>IF(H428="","",SUMIFS(VENDAS!$F$5:$F$1004,VENDAS!$A$5:$A$1004,H428,VENDAS!$D$5:$D$1004,M$4))</f>
        <v/>
      </c>
      <c r="N428" s="26">
        <f>IF(H428="","",SUMIFS(VENDAS!$F$5:$F$1004,VENDAS!$A$5:$A$1004,H428,VENDAS!$D$5:$D$1004,N$4))</f>
        <v/>
      </c>
      <c r="O428" s="26">
        <f>IF(H428="","",SUMIFS(VENDAS!$F$5:$F$1004,VENDAS!$A$5:$A$1004,H428,VENDAS!$D$5:$D$1004,O$4))</f>
        <v/>
      </c>
      <c r="P428" s="26">
        <f>IF(H428="","",SUMIFS(VENDAS!$F$5:$F$1004,VENDAS!$A$5:$A$1004,H428,VENDAS!$D$5:$D$1004,P$4))</f>
        <v/>
      </c>
      <c r="Q428" s="24">
        <f>IF(H428="","",SUMIFS(VENDAS!$H$5:$H$1004,VENDAS!$A$5:$A$1004,H428))</f>
        <v/>
      </c>
      <c r="R428" s="24">
        <f>IF(H428="","",SUMIFS(VENDAS!$K$5:$K$1004,VENDAS!$A$5:$A$1004,H428))</f>
        <v/>
      </c>
      <c r="S428" s="20" t="n"/>
      <c r="T428" s="31" t="n"/>
    </row>
    <row r="429">
      <c r="H429" s="20" t="n"/>
      <c r="I429" s="30">
        <f>IF(H429="","",IFERROR(INDEX(VENDAS!$B$5:$B$1004,MATCH(H429,VENDAS!$A$5:$A$1004,0)),"não lançado"))</f>
        <v/>
      </c>
      <c r="J429" s="22">
        <f>IF(H429="","",IFERROR(INDEX(VENDAS!$M$5:$M$1004,MATCH(H429,VENDAS!$A$5:$A$1004,0))&amp;"",""))</f>
        <v/>
      </c>
      <c r="K429" s="22">
        <f>IF(H429="","",IFERROR(INDEX(VENDAS!$J$5:$J$1004,MATCH(H429,VENDAS!$A$5:$A$1004,0))&amp;"",""))</f>
        <v/>
      </c>
      <c r="L429" s="26">
        <f>IF(H429="","",SUMIFS(VENDAS!$F$5:$F$1004,VENDAS!$A$5:$A$1004,H429))</f>
        <v/>
      </c>
      <c r="M429" s="26">
        <f>IF(H429="","",SUMIFS(VENDAS!$F$5:$F$1004,VENDAS!$A$5:$A$1004,H429,VENDAS!$D$5:$D$1004,M$4))</f>
        <v/>
      </c>
      <c r="N429" s="26">
        <f>IF(H429="","",SUMIFS(VENDAS!$F$5:$F$1004,VENDAS!$A$5:$A$1004,H429,VENDAS!$D$5:$D$1004,N$4))</f>
        <v/>
      </c>
      <c r="O429" s="26">
        <f>IF(H429="","",SUMIFS(VENDAS!$F$5:$F$1004,VENDAS!$A$5:$A$1004,H429,VENDAS!$D$5:$D$1004,O$4))</f>
        <v/>
      </c>
      <c r="P429" s="26">
        <f>IF(H429="","",SUMIFS(VENDAS!$F$5:$F$1004,VENDAS!$A$5:$A$1004,H429,VENDAS!$D$5:$D$1004,P$4))</f>
        <v/>
      </c>
      <c r="Q429" s="24">
        <f>IF(H429="","",SUMIFS(VENDAS!$H$5:$H$1004,VENDAS!$A$5:$A$1004,H429))</f>
        <v/>
      </c>
      <c r="R429" s="24">
        <f>IF(H429="","",SUMIFS(VENDAS!$K$5:$K$1004,VENDAS!$A$5:$A$1004,H429))</f>
        <v/>
      </c>
      <c r="S429" s="20" t="n"/>
      <c r="T429" s="31" t="n"/>
    </row>
    <row r="430">
      <c r="H430" s="20" t="n"/>
      <c r="I430" s="30">
        <f>IF(H430="","",IFERROR(INDEX(VENDAS!$B$5:$B$1004,MATCH(H430,VENDAS!$A$5:$A$1004,0)),"não lançado"))</f>
        <v/>
      </c>
      <c r="J430" s="22">
        <f>IF(H430="","",IFERROR(INDEX(VENDAS!$M$5:$M$1004,MATCH(H430,VENDAS!$A$5:$A$1004,0))&amp;"",""))</f>
        <v/>
      </c>
      <c r="K430" s="22">
        <f>IF(H430="","",IFERROR(INDEX(VENDAS!$J$5:$J$1004,MATCH(H430,VENDAS!$A$5:$A$1004,0))&amp;"",""))</f>
        <v/>
      </c>
      <c r="L430" s="26">
        <f>IF(H430="","",SUMIFS(VENDAS!$F$5:$F$1004,VENDAS!$A$5:$A$1004,H430))</f>
        <v/>
      </c>
      <c r="M430" s="26">
        <f>IF(H430="","",SUMIFS(VENDAS!$F$5:$F$1004,VENDAS!$A$5:$A$1004,H430,VENDAS!$D$5:$D$1004,M$4))</f>
        <v/>
      </c>
      <c r="N430" s="26">
        <f>IF(H430="","",SUMIFS(VENDAS!$F$5:$F$1004,VENDAS!$A$5:$A$1004,H430,VENDAS!$D$5:$D$1004,N$4))</f>
        <v/>
      </c>
      <c r="O430" s="26">
        <f>IF(H430="","",SUMIFS(VENDAS!$F$5:$F$1004,VENDAS!$A$5:$A$1004,H430,VENDAS!$D$5:$D$1004,O$4))</f>
        <v/>
      </c>
      <c r="P430" s="26">
        <f>IF(H430="","",SUMIFS(VENDAS!$F$5:$F$1004,VENDAS!$A$5:$A$1004,H430,VENDAS!$D$5:$D$1004,P$4))</f>
        <v/>
      </c>
      <c r="Q430" s="24">
        <f>IF(H430="","",SUMIFS(VENDAS!$H$5:$H$1004,VENDAS!$A$5:$A$1004,H430))</f>
        <v/>
      </c>
      <c r="R430" s="24">
        <f>IF(H430="","",SUMIFS(VENDAS!$K$5:$K$1004,VENDAS!$A$5:$A$1004,H430))</f>
        <v/>
      </c>
      <c r="S430" s="20" t="n"/>
      <c r="T430" s="31" t="n"/>
    </row>
    <row r="431">
      <c r="H431" s="20" t="n"/>
      <c r="I431" s="30">
        <f>IF(H431="","",IFERROR(INDEX(VENDAS!$B$5:$B$1004,MATCH(H431,VENDAS!$A$5:$A$1004,0)),"não lançado"))</f>
        <v/>
      </c>
      <c r="J431" s="22">
        <f>IF(H431="","",IFERROR(INDEX(VENDAS!$M$5:$M$1004,MATCH(H431,VENDAS!$A$5:$A$1004,0))&amp;"",""))</f>
        <v/>
      </c>
      <c r="K431" s="22">
        <f>IF(H431="","",IFERROR(INDEX(VENDAS!$J$5:$J$1004,MATCH(H431,VENDAS!$A$5:$A$1004,0))&amp;"",""))</f>
        <v/>
      </c>
      <c r="L431" s="26">
        <f>IF(H431="","",SUMIFS(VENDAS!$F$5:$F$1004,VENDAS!$A$5:$A$1004,H431))</f>
        <v/>
      </c>
      <c r="M431" s="26">
        <f>IF(H431="","",SUMIFS(VENDAS!$F$5:$F$1004,VENDAS!$A$5:$A$1004,H431,VENDAS!$D$5:$D$1004,M$4))</f>
        <v/>
      </c>
      <c r="N431" s="26">
        <f>IF(H431="","",SUMIFS(VENDAS!$F$5:$F$1004,VENDAS!$A$5:$A$1004,H431,VENDAS!$D$5:$D$1004,N$4))</f>
        <v/>
      </c>
      <c r="O431" s="26">
        <f>IF(H431="","",SUMIFS(VENDAS!$F$5:$F$1004,VENDAS!$A$5:$A$1004,H431,VENDAS!$D$5:$D$1004,O$4))</f>
        <v/>
      </c>
      <c r="P431" s="26">
        <f>IF(H431="","",SUMIFS(VENDAS!$F$5:$F$1004,VENDAS!$A$5:$A$1004,H431,VENDAS!$D$5:$D$1004,P$4))</f>
        <v/>
      </c>
      <c r="Q431" s="24">
        <f>IF(H431="","",SUMIFS(VENDAS!$H$5:$H$1004,VENDAS!$A$5:$A$1004,H431))</f>
        <v/>
      </c>
      <c r="R431" s="24">
        <f>IF(H431="","",SUMIFS(VENDAS!$K$5:$K$1004,VENDAS!$A$5:$A$1004,H431))</f>
        <v/>
      </c>
      <c r="S431" s="20" t="n"/>
      <c r="T431" s="31" t="n"/>
    </row>
    <row r="432">
      <c r="H432" s="20" t="n"/>
      <c r="I432" s="30">
        <f>IF(H432="","",IFERROR(INDEX(VENDAS!$B$5:$B$1004,MATCH(H432,VENDAS!$A$5:$A$1004,0)),"não lançado"))</f>
        <v/>
      </c>
      <c r="J432" s="22">
        <f>IF(H432="","",IFERROR(INDEX(VENDAS!$M$5:$M$1004,MATCH(H432,VENDAS!$A$5:$A$1004,0))&amp;"",""))</f>
        <v/>
      </c>
      <c r="K432" s="22">
        <f>IF(H432="","",IFERROR(INDEX(VENDAS!$J$5:$J$1004,MATCH(H432,VENDAS!$A$5:$A$1004,0))&amp;"",""))</f>
        <v/>
      </c>
      <c r="L432" s="26">
        <f>IF(H432="","",SUMIFS(VENDAS!$F$5:$F$1004,VENDAS!$A$5:$A$1004,H432))</f>
        <v/>
      </c>
      <c r="M432" s="26">
        <f>IF(H432="","",SUMIFS(VENDAS!$F$5:$F$1004,VENDAS!$A$5:$A$1004,H432,VENDAS!$D$5:$D$1004,M$4))</f>
        <v/>
      </c>
      <c r="N432" s="26">
        <f>IF(H432="","",SUMIFS(VENDAS!$F$5:$F$1004,VENDAS!$A$5:$A$1004,H432,VENDAS!$D$5:$D$1004,N$4))</f>
        <v/>
      </c>
      <c r="O432" s="26">
        <f>IF(H432="","",SUMIFS(VENDAS!$F$5:$F$1004,VENDAS!$A$5:$A$1004,H432,VENDAS!$D$5:$D$1004,O$4))</f>
        <v/>
      </c>
      <c r="P432" s="26">
        <f>IF(H432="","",SUMIFS(VENDAS!$F$5:$F$1004,VENDAS!$A$5:$A$1004,H432,VENDAS!$D$5:$D$1004,P$4))</f>
        <v/>
      </c>
      <c r="Q432" s="24">
        <f>IF(H432="","",SUMIFS(VENDAS!$H$5:$H$1004,VENDAS!$A$5:$A$1004,H432))</f>
        <v/>
      </c>
      <c r="R432" s="24">
        <f>IF(H432="","",SUMIFS(VENDAS!$K$5:$K$1004,VENDAS!$A$5:$A$1004,H432))</f>
        <v/>
      </c>
      <c r="S432" s="20" t="n"/>
      <c r="T432" s="31" t="n"/>
    </row>
    <row r="433">
      <c r="H433" s="20" t="n"/>
      <c r="I433" s="30">
        <f>IF(H433="","",IFERROR(INDEX(VENDAS!$B$5:$B$1004,MATCH(H433,VENDAS!$A$5:$A$1004,0)),"não lançado"))</f>
        <v/>
      </c>
      <c r="J433" s="22">
        <f>IF(H433="","",IFERROR(INDEX(VENDAS!$M$5:$M$1004,MATCH(H433,VENDAS!$A$5:$A$1004,0))&amp;"",""))</f>
        <v/>
      </c>
      <c r="K433" s="22">
        <f>IF(H433="","",IFERROR(INDEX(VENDAS!$J$5:$J$1004,MATCH(H433,VENDAS!$A$5:$A$1004,0))&amp;"",""))</f>
        <v/>
      </c>
      <c r="L433" s="26">
        <f>IF(H433="","",SUMIFS(VENDAS!$F$5:$F$1004,VENDAS!$A$5:$A$1004,H433))</f>
        <v/>
      </c>
      <c r="M433" s="26">
        <f>IF(H433="","",SUMIFS(VENDAS!$F$5:$F$1004,VENDAS!$A$5:$A$1004,H433,VENDAS!$D$5:$D$1004,M$4))</f>
        <v/>
      </c>
      <c r="N433" s="26">
        <f>IF(H433="","",SUMIFS(VENDAS!$F$5:$F$1004,VENDAS!$A$5:$A$1004,H433,VENDAS!$D$5:$D$1004,N$4))</f>
        <v/>
      </c>
      <c r="O433" s="26">
        <f>IF(H433="","",SUMIFS(VENDAS!$F$5:$F$1004,VENDAS!$A$5:$A$1004,H433,VENDAS!$D$5:$D$1004,O$4))</f>
        <v/>
      </c>
      <c r="P433" s="26">
        <f>IF(H433="","",SUMIFS(VENDAS!$F$5:$F$1004,VENDAS!$A$5:$A$1004,H433,VENDAS!$D$5:$D$1004,P$4))</f>
        <v/>
      </c>
      <c r="Q433" s="24">
        <f>IF(H433="","",SUMIFS(VENDAS!$H$5:$H$1004,VENDAS!$A$5:$A$1004,H433))</f>
        <v/>
      </c>
      <c r="R433" s="24">
        <f>IF(H433="","",SUMIFS(VENDAS!$K$5:$K$1004,VENDAS!$A$5:$A$1004,H433))</f>
        <v/>
      </c>
      <c r="S433" s="20" t="n"/>
      <c r="T433" s="31" t="n"/>
    </row>
    <row r="434">
      <c r="H434" s="20" t="n"/>
      <c r="I434" s="30">
        <f>IF(H434="","",IFERROR(INDEX(VENDAS!$B$5:$B$1004,MATCH(H434,VENDAS!$A$5:$A$1004,0)),"não lançado"))</f>
        <v/>
      </c>
      <c r="J434" s="22">
        <f>IF(H434="","",IFERROR(INDEX(VENDAS!$M$5:$M$1004,MATCH(H434,VENDAS!$A$5:$A$1004,0))&amp;"",""))</f>
        <v/>
      </c>
      <c r="K434" s="22">
        <f>IF(H434="","",IFERROR(INDEX(VENDAS!$J$5:$J$1004,MATCH(H434,VENDAS!$A$5:$A$1004,0))&amp;"",""))</f>
        <v/>
      </c>
      <c r="L434" s="26">
        <f>IF(H434="","",SUMIFS(VENDAS!$F$5:$F$1004,VENDAS!$A$5:$A$1004,H434))</f>
        <v/>
      </c>
      <c r="M434" s="26">
        <f>IF(H434="","",SUMIFS(VENDAS!$F$5:$F$1004,VENDAS!$A$5:$A$1004,H434,VENDAS!$D$5:$D$1004,M$4))</f>
        <v/>
      </c>
      <c r="N434" s="26">
        <f>IF(H434="","",SUMIFS(VENDAS!$F$5:$F$1004,VENDAS!$A$5:$A$1004,H434,VENDAS!$D$5:$D$1004,N$4))</f>
        <v/>
      </c>
      <c r="O434" s="26">
        <f>IF(H434="","",SUMIFS(VENDAS!$F$5:$F$1004,VENDAS!$A$5:$A$1004,H434,VENDAS!$D$5:$D$1004,O$4))</f>
        <v/>
      </c>
      <c r="P434" s="26">
        <f>IF(H434="","",SUMIFS(VENDAS!$F$5:$F$1004,VENDAS!$A$5:$A$1004,H434,VENDAS!$D$5:$D$1004,P$4))</f>
        <v/>
      </c>
      <c r="Q434" s="24">
        <f>IF(H434="","",SUMIFS(VENDAS!$H$5:$H$1004,VENDAS!$A$5:$A$1004,H434))</f>
        <v/>
      </c>
      <c r="R434" s="24">
        <f>IF(H434="","",SUMIFS(VENDAS!$K$5:$K$1004,VENDAS!$A$5:$A$1004,H434))</f>
        <v/>
      </c>
      <c r="S434" s="20" t="n"/>
      <c r="T434" s="31" t="n"/>
    </row>
    <row r="435">
      <c r="H435" s="20" t="n"/>
      <c r="I435" s="30">
        <f>IF(H435="","",IFERROR(INDEX(VENDAS!$B$5:$B$1004,MATCH(H435,VENDAS!$A$5:$A$1004,0)),"não lançado"))</f>
        <v/>
      </c>
      <c r="J435" s="22">
        <f>IF(H435="","",IFERROR(INDEX(VENDAS!$M$5:$M$1004,MATCH(H435,VENDAS!$A$5:$A$1004,0))&amp;"",""))</f>
        <v/>
      </c>
      <c r="K435" s="22">
        <f>IF(H435="","",IFERROR(INDEX(VENDAS!$J$5:$J$1004,MATCH(H435,VENDAS!$A$5:$A$1004,0))&amp;"",""))</f>
        <v/>
      </c>
      <c r="L435" s="26">
        <f>IF(H435="","",SUMIFS(VENDAS!$F$5:$F$1004,VENDAS!$A$5:$A$1004,H435))</f>
        <v/>
      </c>
      <c r="M435" s="26">
        <f>IF(H435="","",SUMIFS(VENDAS!$F$5:$F$1004,VENDAS!$A$5:$A$1004,H435,VENDAS!$D$5:$D$1004,M$4))</f>
        <v/>
      </c>
      <c r="N435" s="26">
        <f>IF(H435="","",SUMIFS(VENDAS!$F$5:$F$1004,VENDAS!$A$5:$A$1004,H435,VENDAS!$D$5:$D$1004,N$4))</f>
        <v/>
      </c>
      <c r="O435" s="26">
        <f>IF(H435="","",SUMIFS(VENDAS!$F$5:$F$1004,VENDAS!$A$5:$A$1004,H435,VENDAS!$D$5:$D$1004,O$4))</f>
        <v/>
      </c>
      <c r="P435" s="26">
        <f>IF(H435="","",SUMIFS(VENDAS!$F$5:$F$1004,VENDAS!$A$5:$A$1004,H435,VENDAS!$D$5:$D$1004,P$4))</f>
        <v/>
      </c>
      <c r="Q435" s="24">
        <f>IF(H435="","",SUMIFS(VENDAS!$H$5:$H$1004,VENDAS!$A$5:$A$1004,H435))</f>
        <v/>
      </c>
      <c r="R435" s="24">
        <f>IF(H435="","",SUMIFS(VENDAS!$K$5:$K$1004,VENDAS!$A$5:$A$1004,H435))</f>
        <v/>
      </c>
      <c r="S435" s="20" t="n"/>
      <c r="T435" s="31" t="n"/>
    </row>
    <row r="436">
      <c r="H436" s="20" t="n"/>
      <c r="I436" s="30">
        <f>IF(H436="","",IFERROR(INDEX(VENDAS!$B$5:$B$1004,MATCH(H436,VENDAS!$A$5:$A$1004,0)),"não lançado"))</f>
        <v/>
      </c>
      <c r="J436" s="22">
        <f>IF(H436="","",IFERROR(INDEX(VENDAS!$M$5:$M$1004,MATCH(H436,VENDAS!$A$5:$A$1004,0))&amp;"",""))</f>
        <v/>
      </c>
      <c r="K436" s="22">
        <f>IF(H436="","",IFERROR(INDEX(VENDAS!$J$5:$J$1004,MATCH(H436,VENDAS!$A$5:$A$1004,0))&amp;"",""))</f>
        <v/>
      </c>
      <c r="L436" s="26">
        <f>IF(H436="","",SUMIFS(VENDAS!$F$5:$F$1004,VENDAS!$A$5:$A$1004,H436))</f>
        <v/>
      </c>
      <c r="M436" s="26">
        <f>IF(H436="","",SUMIFS(VENDAS!$F$5:$F$1004,VENDAS!$A$5:$A$1004,H436,VENDAS!$D$5:$D$1004,M$4))</f>
        <v/>
      </c>
      <c r="N436" s="26">
        <f>IF(H436="","",SUMIFS(VENDAS!$F$5:$F$1004,VENDAS!$A$5:$A$1004,H436,VENDAS!$D$5:$D$1004,N$4))</f>
        <v/>
      </c>
      <c r="O436" s="26">
        <f>IF(H436="","",SUMIFS(VENDAS!$F$5:$F$1004,VENDAS!$A$5:$A$1004,H436,VENDAS!$D$5:$D$1004,O$4))</f>
        <v/>
      </c>
      <c r="P436" s="26">
        <f>IF(H436="","",SUMIFS(VENDAS!$F$5:$F$1004,VENDAS!$A$5:$A$1004,H436,VENDAS!$D$5:$D$1004,P$4))</f>
        <v/>
      </c>
      <c r="Q436" s="24">
        <f>IF(H436="","",SUMIFS(VENDAS!$H$5:$H$1004,VENDAS!$A$5:$A$1004,H436))</f>
        <v/>
      </c>
      <c r="R436" s="24">
        <f>IF(H436="","",SUMIFS(VENDAS!$K$5:$K$1004,VENDAS!$A$5:$A$1004,H436))</f>
        <v/>
      </c>
      <c r="S436" s="20" t="n"/>
      <c r="T436" s="31" t="n"/>
    </row>
    <row r="437">
      <c r="H437" s="20" t="n"/>
      <c r="I437" s="30">
        <f>IF(H437="","",IFERROR(INDEX(VENDAS!$B$5:$B$1004,MATCH(H437,VENDAS!$A$5:$A$1004,0)),"não lançado"))</f>
        <v/>
      </c>
      <c r="J437" s="22">
        <f>IF(H437="","",IFERROR(INDEX(VENDAS!$M$5:$M$1004,MATCH(H437,VENDAS!$A$5:$A$1004,0))&amp;"",""))</f>
        <v/>
      </c>
      <c r="K437" s="22">
        <f>IF(H437="","",IFERROR(INDEX(VENDAS!$J$5:$J$1004,MATCH(H437,VENDAS!$A$5:$A$1004,0))&amp;"",""))</f>
        <v/>
      </c>
      <c r="L437" s="26">
        <f>IF(H437="","",SUMIFS(VENDAS!$F$5:$F$1004,VENDAS!$A$5:$A$1004,H437))</f>
        <v/>
      </c>
      <c r="M437" s="26">
        <f>IF(H437="","",SUMIFS(VENDAS!$F$5:$F$1004,VENDAS!$A$5:$A$1004,H437,VENDAS!$D$5:$D$1004,M$4))</f>
        <v/>
      </c>
      <c r="N437" s="26">
        <f>IF(H437="","",SUMIFS(VENDAS!$F$5:$F$1004,VENDAS!$A$5:$A$1004,H437,VENDAS!$D$5:$D$1004,N$4))</f>
        <v/>
      </c>
      <c r="O437" s="26">
        <f>IF(H437="","",SUMIFS(VENDAS!$F$5:$F$1004,VENDAS!$A$5:$A$1004,H437,VENDAS!$D$5:$D$1004,O$4))</f>
        <v/>
      </c>
      <c r="P437" s="26">
        <f>IF(H437="","",SUMIFS(VENDAS!$F$5:$F$1004,VENDAS!$A$5:$A$1004,H437,VENDAS!$D$5:$D$1004,P$4))</f>
        <v/>
      </c>
      <c r="Q437" s="24">
        <f>IF(H437="","",SUMIFS(VENDAS!$H$5:$H$1004,VENDAS!$A$5:$A$1004,H437))</f>
        <v/>
      </c>
      <c r="R437" s="24">
        <f>IF(H437="","",SUMIFS(VENDAS!$K$5:$K$1004,VENDAS!$A$5:$A$1004,H437))</f>
        <v/>
      </c>
      <c r="S437" s="20" t="n"/>
      <c r="T437" s="31" t="n"/>
    </row>
    <row r="438">
      <c r="H438" s="20" t="n"/>
      <c r="I438" s="30">
        <f>IF(H438="","",IFERROR(INDEX(VENDAS!$B$5:$B$1004,MATCH(H438,VENDAS!$A$5:$A$1004,0)),"não lançado"))</f>
        <v/>
      </c>
      <c r="J438" s="22">
        <f>IF(H438="","",IFERROR(INDEX(VENDAS!$M$5:$M$1004,MATCH(H438,VENDAS!$A$5:$A$1004,0))&amp;"",""))</f>
        <v/>
      </c>
      <c r="K438" s="22">
        <f>IF(H438="","",IFERROR(INDEX(VENDAS!$J$5:$J$1004,MATCH(H438,VENDAS!$A$5:$A$1004,0))&amp;"",""))</f>
        <v/>
      </c>
      <c r="L438" s="26">
        <f>IF(H438="","",SUMIFS(VENDAS!$F$5:$F$1004,VENDAS!$A$5:$A$1004,H438))</f>
        <v/>
      </c>
      <c r="M438" s="26">
        <f>IF(H438="","",SUMIFS(VENDAS!$F$5:$F$1004,VENDAS!$A$5:$A$1004,H438,VENDAS!$D$5:$D$1004,M$4))</f>
        <v/>
      </c>
      <c r="N438" s="26">
        <f>IF(H438="","",SUMIFS(VENDAS!$F$5:$F$1004,VENDAS!$A$5:$A$1004,H438,VENDAS!$D$5:$D$1004,N$4))</f>
        <v/>
      </c>
      <c r="O438" s="26">
        <f>IF(H438="","",SUMIFS(VENDAS!$F$5:$F$1004,VENDAS!$A$5:$A$1004,H438,VENDAS!$D$5:$D$1004,O$4))</f>
        <v/>
      </c>
      <c r="P438" s="26">
        <f>IF(H438="","",SUMIFS(VENDAS!$F$5:$F$1004,VENDAS!$A$5:$A$1004,H438,VENDAS!$D$5:$D$1004,P$4))</f>
        <v/>
      </c>
      <c r="Q438" s="24">
        <f>IF(H438="","",SUMIFS(VENDAS!$H$5:$H$1004,VENDAS!$A$5:$A$1004,H438))</f>
        <v/>
      </c>
      <c r="R438" s="24">
        <f>IF(H438="","",SUMIFS(VENDAS!$K$5:$K$1004,VENDAS!$A$5:$A$1004,H438))</f>
        <v/>
      </c>
      <c r="S438" s="20" t="n"/>
      <c r="T438" s="31" t="n"/>
    </row>
    <row r="439">
      <c r="H439" s="20" t="n"/>
      <c r="I439" s="30">
        <f>IF(H439="","",IFERROR(INDEX(VENDAS!$B$5:$B$1004,MATCH(H439,VENDAS!$A$5:$A$1004,0)),"não lançado"))</f>
        <v/>
      </c>
      <c r="J439" s="22">
        <f>IF(H439="","",IFERROR(INDEX(VENDAS!$M$5:$M$1004,MATCH(H439,VENDAS!$A$5:$A$1004,0))&amp;"",""))</f>
        <v/>
      </c>
      <c r="K439" s="22">
        <f>IF(H439="","",IFERROR(INDEX(VENDAS!$J$5:$J$1004,MATCH(H439,VENDAS!$A$5:$A$1004,0))&amp;"",""))</f>
        <v/>
      </c>
      <c r="L439" s="26">
        <f>IF(H439="","",SUMIFS(VENDAS!$F$5:$F$1004,VENDAS!$A$5:$A$1004,H439))</f>
        <v/>
      </c>
      <c r="M439" s="26">
        <f>IF(H439="","",SUMIFS(VENDAS!$F$5:$F$1004,VENDAS!$A$5:$A$1004,H439,VENDAS!$D$5:$D$1004,M$4))</f>
        <v/>
      </c>
      <c r="N439" s="26">
        <f>IF(H439="","",SUMIFS(VENDAS!$F$5:$F$1004,VENDAS!$A$5:$A$1004,H439,VENDAS!$D$5:$D$1004,N$4))</f>
        <v/>
      </c>
      <c r="O439" s="26">
        <f>IF(H439="","",SUMIFS(VENDAS!$F$5:$F$1004,VENDAS!$A$5:$A$1004,H439,VENDAS!$D$5:$D$1004,O$4))</f>
        <v/>
      </c>
      <c r="P439" s="26">
        <f>IF(H439="","",SUMIFS(VENDAS!$F$5:$F$1004,VENDAS!$A$5:$A$1004,H439,VENDAS!$D$5:$D$1004,P$4))</f>
        <v/>
      </c>
      <c r="Q439" s="24">
        <f>IF(H439="","",SUMIFS(VENDAS!$H$5:$H$1004,VENDAS!$A$5:$A$1004,H439))</f>
        <v/>
      </c>
      <c r="R439" s="24">
        <f>IF(H439="","",SUMIFS(VENDAS!$K$5:$K$1004,VENDAS!$A$5:$A$1004,H439))</f>
        <v/>
      </c>
      <c r="S439" s="20" t="n"/>
      <c r="T439" s="31" t="n"/>
    </row>
    <row r="440">
      <c r="H440" s="20" t="n"/>
      <c r="I440" s="30">
        <f>IF(H440="","",IFERROR(INDEX(VENDAS!$B$5:$B$1004,MATCH(H440,VENDAS!$A$5:$A$1004,0)),"não lançado"))</f>
        <v/>
      </c>
      <c r="J440" s="22">
        <f>IF(H440="","",IFERROR(INDEX(VENDAS!$M$5:$M$1004,MATCH(H440,VENDAS!$A$5:$A$1004,0))&amp;"",""))</f>
        <v/>
      </c>
      <c r="K440" s="22">
        <f>IF(H440="","",IFERROR(INDEX(VENDAS!$J$5:$J$1004,MATCH(H440,VENDAS!$A$5:$A$1004,0))&amp;"",""))</f>
        <v/>
      </c>
      <c r="L440" s="26">
        <f>IF(H440="","",SUMIFS(VENDAS!$F$5:$F$1004,VENDAS!$A$5:$A$1004,H440))</f>
        <v/>
      </c>
      <c r="M440" s="26">
        <f>IF(H440="","",SUMIFS(VENDAS!$F$5:$F$1004,VENDAS!$A$5:$A$1004,H440,VENDAS!$D$5:$D$1004,M$4))</f>
        <v/>
      </c>
      <c r="N440" s="26">
        <f>IF(H440="","",SUMIFS(VENDAS!$F$5:$F$1004,VENDAS!$A$5:$A$1004,H440,VENDAS!$D$5:$D$1004,N$4))</f>
        <v/>
      </c>
      <c r="O440" s="26">
        <f>IF(H440="","",SUMIFS(VENDAS!$F$5:$F$1004,VENDAS!$A$5:$A$1004,H440,VENDAS!$D$5:$D$1004,O$4))</f>
        <v/>
      </c>
      <c r="P440" s="26">
        <f>IF(H440="","",SUMIFS(VENDAS!$F$5:$F$1004,VENDAS!$A$5:$A$1004,H440,VENDAS!$D$5:$D$1004,P$4))</f>
        <v/>
      </c>
      <c r="Q440" s="24">
        <f>IF(H440="","",SUMIFS(VENDAS!$H$5:$H$1004,VENDAS!$A$5:$A$1004,H440))</f>
        <v/>
      </c>
      <c r="R440" s="24">
        <f>IF(H440="","",SUMIFS(VENDAS!$K$5:$K$1004,VENDAS!$A$5:$A$1004,H440))</f>
        <v/>
      </c>
      <c r="S440" s="20" t="n"/>
      <c r="T440" s="31" t="n"/>
    </row>
    <row r="441">
      <c r="H441" s="20" t="n"/>
      <c r="I441" s="30">
        <f>IF(H441="","",IFERROR(INDEX(VENDAS!$B$5:$B$1004,MATCH(H441,VENDAS!$A$5:$A$1004,0)),"não lançado"))</f>
        <v/>
      </c>
      <c r="J441" s="22">
        <f>IF(H441="","",IFERROR(INDEX(VENDAS!$M$5:$M$1004,MATCH(H441,VENDAS!$A$5:$A$1004,0))&amp;"",""))</f>
        <v/>
      </c>
      <c r="K441" s="22">
        <f>IF(H441="","",IFERROR(INDEX(VENDAS!$J$5:$J$1004,MATCH(H441,VENDAS!$A$5:$A$1004,0))&amp;"",""))</f>
        <v/>
      </c>
      <c r="L441" s="26">
        <f>IF(H441="","",SUMIFS(VENDAS!$F$5:$F$1004,VENDAS!$A$5:$A$1004,H441))</f>
        <v/>
      </c>
      <c r="M441" s="26">
        <f>IF(H441="","",SUMIFS(VENDAS!$F$5:$F$1004,VENDAS!$A$5:$A$1004,H441,VENDAS!$D$5:$D$1004,M$4))</f>
        <v/>
      </c>
      <c r="N441" s="26">
        <f>IF(H441="","",SUMIFS(VENDAS!$F$5:$F$1004,VENDAS!$A$5:$A$1004,H441,VENDAS!$D$5:$D$1004,N$4))</f>
        <v/>
      </c>
      <c r="O441" s="26">
        <f>IF(H441="","",SUMIFS(VENDAS!$F$5:$F$1004,VENDAS!$A$5:$A$1004,H441,VENDAS!$D$5:$D$1004,O$4))</f>
        <v/>
      </c>
      <c r="P441" s="26">
        <f>IF(H441="","",SUMIFS(VENDAS!$F$5:$F$1004,VENDAS!$A$5:$A$1004,H441,VENDAS!$D$5:$D$1004,P$4))</f>
        <v/>
      </c>
      <c r="Q441" s="24">
        <f>IF(H441="","",SUMIFS(VENDAS!$H$5:$H$1004,VENDAS!$A$5:$A$1004,H441))</f>
        <v/>
      </c>
      <c r="R441" s="24">
        <f>IF(H441="","",SUMIFS(VENDAS!$K$5:$K$1004,VENDAS!$A$5:$A$1004,H441))</f>
        <v/>
      </c>
      <c r="S441" s="20" t="n"/>
      <c r="T441" s="31" t="n"/>
    </row>
    <row r="442">
      <c r="H442" s="20" t="n"/>
      <c r="I442" s="30">
        <f>IF(H442="","",IFERROR(INDEX(VENDAS!$B$5:$B$1004,MATCH(H442,VENDAS!$A$5:$A$1004,0)),"não lançado"))</f>
        <v/>
      </c>
      <c r="J442" s="22">
        <f>IF(H442="","",IFERROR(INDEX(VENDAS!$M$5:$M$1004,MATCH(H442,VENDAS!$A$5:$A$1004,0))&amp;"",""))</f>
        <v/>
      </c>
      <c r="K442" s="22">
        <f>IF(H442="","",IFERROR(INDEX(VENDAS!$J$5:$J$1004,MATCH(H442,VENDAS!$A$5:$A$1004,0))&amp;"",""))</f>
        <v/>
      </c>
      <c r="L442" s="26">
        <f>IF(H442="","",SUMIFS(VENDAS!$F$5:$F$1004,VENDAS!$A$5:$A$1004,H442))</f>
        <v/>
      </c>
      <c r="M442" s="26">
        <f>IF(H442="","",SUMIFS(VENDAS!$F$5:$F$1004,VENDAS!$A$5:$A$1004,H442,VENDAS!$D$5:$D$1004,M$4))</f>
        <v/>
      </c>
      <c r="N442" s="26">
        <f>IF(H442="","",SUMIFS(VENDAS!$F$5:$F$1004,VENDAS!$A$5:$A$1004,H442,VENDAS!$D$5:$D$1004,N$4))</f>
        <v/>
      </c>
      <c r="O442" s="26">
        <f>IF(H442="","",SUMIFS(VENDAS!$F$5:$F$1004,VENDAS!$A$5:$A$1004,H442,VENDAS!$D$5:$D$1004,O$4))</f>
        <v/>
      </c>
      <c r="P442" s="26">
        <f>IF(H442="","",SUMIFS(VENDAS!$F$5:$F$1004,VENDAS!$A$5:$A$1004,H442,VENDAS!$D$5:$D$1004,P$4))</f>
        <v/>
      </c>
      <c r="Q442" s="24">
        <f>IF(H442="","",SUMIFS(VENDAS!$H$5:$H$1004,VENDAS!$A$5:$A$1004,H442))</f>
        <v/>
      </c>
      <c r="R442" s="24">
        <f>IF(H442="","",SUMIFS(VENDAS!$K$5:$K$1004,VENDAS!$A$5:$A$1004,H442))</f>
        <v/>
      </c>
      <c r="S442" s="20" t="n"/>
      <c r="T442" s="31" t="n"/>
    </row>
    <row r="443">
      <c r="H443" s="20" t="n"/>
      <c r="I443" s="30">
        <f>IF(H443="","",IFERROR(INDEX(VENDAS!$B$5:$B$1004,MATCH(H443,VENDAS!$A$5:$A$1004,0)),"não lançado"))</f>
        <v/>
      </c>
      <c r="J443" s="22">
        <f>IF(H443="","",IFERROR(INDEX(VENDAS!$M$5:$M$1004,MATCH(H443,VENDAS!$A$5:$A$1004,0))&amp;"",""))</f>
        <v/>
      </c>
      <c r="K443" s="22">
        <f>IF(H443="","",IFERROR(INDEX(VENDAS!$J$5:$J$1004,MATCH(H443,VENDAS!$A$5:$A$1004,0))&amp;"",""))</f>
        <v/>
      </c>
      <c r="L443" s="26">
        <f>IF(H443="","",SUMIFS(VENDAS!$F$5:$F$1004,VENDAS!$A$5:$A$1004,H443))</f>
        <v/>
      </c>
      <c r="M443" s="26">
        <f>IF(H443="","",SUMIFS(VENDAS!$F$5:$F$1004,VENDAS!$A$5:$A$1004,H443,VENDAS!$D$5:$D$1004,M$4))</f>
        <v/>
      </c>
      <c r="N443" s="26">
        <f>IF(H443="","",SUMIFS(VENDAS!$F$5:$F$1004,VENDAS!$A$5:$A$1004,H443,VENDAS!$D$5:$D$1004,N$4))</f>
        <v/>
      </c>
      <c r="O443" s="26">
        <f>IF(H443="","",SUMIFS(VENDAS!$F$5:$F$1004,VENDAS!$A$5:$A$1004,H443,VENDAS!$D$5:$D$1004,O$4))</f>
        <v/>
      </c>
      <c r="P443" s="26">
        <f>IF(H443="","",SUMIFS(VENDAS!$F$5:$F$1004,VENDAS!$A$5:$A$1004,H443,VENDAS!$D$5:$D$1004,P$4))</f>
        <v/>
      </c>
      <c r="Q443" s="24">
        <f>IF(H443="","",SUMIFS(VENDAS!$H$5:$H$1004,VENDAS!$A$5:$A$1004,H443))</f>
        <v/>
      </c>
      <c r="R443" s="24">
        <f>IF(H443="","",SUMIFS(VENDAS!$K$5:$K$1004,VENDAS!$A$5:$A$1004,H443))</f>
        <v/>
      </c>
      <c r="S443" s="20" t="n"/>
      <c r="T443" s="31" t="n"/>
    </row>
    <row r="444">
      <c r="H444" s="20" t="n"/>
      <c r="I444" s="30">
        <f>IF(H444="","",IFERROR(INDEX(VENDAS!$B$5:$B$1004,MATCH(H444,VENDAS!$A$5:$A$1004,0)),"não lançado"))</f>
        <v/>
      </c>
      <c r="J444" s="22">
        <f>IF(H444="","",IFERROR(INDEX(VENDAS!$M$5:$M$1004,MATCH(H444,VENDAS!$A$5:$A$1004,0))&amp;"",""))</f>
        <v/>
      </c>
      <c r="K444" s="22">
        <f>IF(H444="","",IFERROR(INDEX(VENDAS!$J$5:$J$1004,MATCH(H444,VENDAS!$A$5:$A$1004,0))&amp;"",""))</f>
        <v/>
      </c>
      <c r="L444" s="26">
        <f>IF(H444="","",SUMIFS(VENDAS!$F$5:$F$1004,VENDAS!$A$5:$A$1004,H444))</f>
        <v/>
      </c>
      <c r="M444" s="26">
        <f>IF(H444="","",SUMIFS(VENDAS!$F$5:$F$1004,VENDAS!$A$5:$A$1004,H444,VENDAS!$D$5:$D$1004,M$4))</f>
        <v/>
      </c>
      <c r="N444" s="26">
        <f>IF(H444="","",SUMIFS(VENDAS!$F$5:$F$1004,VENDAS!$A$5:$A$1004,H444,VENDAS!$D$5:$D$1004,N$4))</f>
        <v/>
      </c>
      <c r="O444" s="26">
        <f>IF(H444="","",SUMIFS(VENDAS!$F$5:$F$1004,VENDAS!$A$5:$A$1004,H444,VENDAS!$D$5:$D$1004,O$4))</f>
        <v/>
      </c>
      <c r="P444" s="26">
        <f>IF(H444="","",SUMIFS(VENDAS!$F$5:$F$1004,VENDAS!$A$5:$A$1004,H444,VENDAS!$D$5:$D$1004,P$4))</f>
        <v/>
      </c>
      <c r="Q444" s="24">
        <f>IF(H444="","",SUMIFS(VENDAS!$H$5:$H$1004,VENDAS!$A$5:$A$1004,H444))</f>
        <v/>
      </c>
      <c r="R444" s="24">
        <f>IF(H444="","",SUMIFS(VENDAS!$K$5:$K$1004,VENDAS!$A$5:$A$1004,H444))</f>
        <v/>
      </c>
      <c r="S444" s="20" t="n"/>
      <c r="T444" s="31" t="n"/>
    </row>
    <row r="445">
      <c r="H445" s="20" t="n"/>
      <c r="I445" s="30">
        <f>IF(H445="","",IFERROR(INDEX(VENDAS!$B$5:$B$1004,MATCH(H445,VENDAS!$A$5:$A$1004,0)),"não lançado"))</f>
        <v/>
      </c>
      <c r="J445" s="22">
        <f>IF(H445="","",IFERROR(INDEX(VENDAS!$M$5:$M$1004,MATCH(H445,VENDAS!$A$5:$A$1004,0))&amp;"",""))</f>
        <v/>
      </c>
      <c r="K445" s="22">
        <f>IF(H445="","",IFERROR(INDEX(VENDAS!$J$5:$J$1004,MATCH(H445,VENDAS!$A$5:$A$1004,0))&amp;"",""))</f>
        <v/>
      </c>
      <c r="L445" s="26">
        <f>IF(H445="","",SUMIFS(VENDAS!$F$5:$F$1004,VENDAS!$A$5:$A$1004,H445))</f>
        <v/>
      </c>
      <c r="M445" s="26">
        <f>IF(H445="","",SUMIFS(VENDAS!$F$5:$F$1004,VENDAS!$A$5:$A$1004,H445,VENDAS!$D$5:$D$1004,M$4))</f>
        <v/>
      </c>
      <c r="N445" s="26">
        <f>IF(H445="","",SUMIFS(VENDAS!$F$5:$F$1004,VENDAS!$A$5:$A$1004,H445,VENDAS!$D$5:$D$1004,N$4))</f>
        <v/>
      </c>
      <c r="O445" s="26">
        <f>IF(H445="","",SUMIFS(VENDAS!$F$5:$F$1004,VENDAS!$A$5:$A$1004,H445,VENDAS!$D$5:$D$1004,O$4))</f>
        <v/>
      </c>
      <c r="P445" s="26">
        <f>IF(H445="","",SUMIFS(VENDAS!$F$5:$F$1004,VENDAS!$A$5:$A$1004,H445,VENDAS!$D$5:$D$1004,P$4))</f>
        <v/>
      </c>
      <c r="Q445" s="24">
        <f>IF(H445="","",SUMIFS(VENDAS!$H$5:$H$1004,VENDAS!$A$5:$A$1004,H445))</f>
        <v/>
      </c>
      <c r="R445" s="24">
        <f>IF(H445="","",SUMIFS(VENDAS!$K$5:$K$1004,VENDAS!$A$5:$A$1004,H445))</f>
        <v/>
      </c>
      <c r="S445" s="20" t="n"/>
      <c r="T445" s="31" t="n"/>
    </row>
    <row r="446">
      <c r="H446" s="20" t="n"/>
      <c r="I446" s="30">
        <f>IF(H446="","",IFERROR(INDEX(VENDAS!$B$5:$B$1004,MATCH(H446,VENDAS!$A$5:$A$1004,0)),"não lançado"))</f>
        <v/>
      </c>
      <c r="J446" s="22">
        <f>IF(H446="","",IFERROR(INDEX(VENDAS!$M$5:$M$1004,MATCH(H446,VENDAS!$A$5:$A$1004,0))&amp;"",""))</f>
        <v/>
      </c>
      <c r="K446" s="22">
        <f>IF(H446="","",IFERROR(INDEX(VENDAS!$J$5:$J$1004,MATCH(H446,VENDAS!$A$5:$A$1004,0))&amp;"",""))</f>
        <v/>
      </c>
      <c r="L446" s="26">
        <f>IF(H446="","",SUMIFS(VENDAS!$F$5:$F$1004,VENDAS!$A$5:$A$1004,H446))</f>
        <v/>
      </c>
      <c r="M446" s="26">
        <f>IF(H446="","",SUMIFS(VENDAS!$F$5:$F$1004,VENDAS!$A$5:$A$1004,H446,VENDAS!$D$5:$D$1004,M$4))</f>
        <v/>
      </c>
      <c r="N446" s="26">
        <f>IF(H446="","",SUMIFS(VENDAS!$F$5:$F$1004,VENDAS!$A$5:$A$1004,H446,VENDAS!$D$5:$D$1004,N$4))</f>
        <v/>
      </c>
      <c r="O446" s="26">
        <f>IF(H446="","",SUMIFS(VENDAS!$F$5:$F$1004,VENDAS!$A$5:$A$1004,H446,VENDAS!$D$5:$D$1004,O$4))</f>
        <v/>
      </c>
      <c r="P446" s="26">
        <f>IF(H446="","",SUMIFS(VENDAS!$F$5:$F$1004,VENDAS!$A$5:$A$1004,H446,VENDAS!$D$5:$D$1004,P$4))</f>
        <v/>
      </c>
      <c r="Q446" s="24">
        <f>IF(H446="","",SUMIFS(VENDAS!$H$5:$H$1004,VENDAS!$A$5:$A$1004,H446))</f>
        <v/>
      </c>
      <c r="R446" s="24">
        <f>IF(H446="","",SUMIFS(VENDAS!$K$5:$K$1004,VENDAS!$A$5:$A$1004,H446))</f>
        <v/>
      </c>
      <c r="S446" s="20" t="n"/>
      <c r="T446" s="31" t="n"/>
    </row>
    <row r="447">
      <c r="H447" s="20" t="n"/>
      <c r="I447" s="30">
        <f>IF(H447="","",IFERROR(INDEX(VENDAS!$B$5:$B$1004,MATCH(H447,VENDAS!$A$5:$A$1004,0)),"não lançado"))</f>
        <v/>
      </c>
      <c r="J447" s="22">
        <f>IF(H447="","",IFERROR(INDEX(VENDAS!$M$5:$M$1004,MATCH(H447,VENDAS!$A$5:$A$1004,0))&amp;"",""))</f>
        <v/>
      </c>
      <c r="K447" s="22">
        <f>IF(H447="","",IFERROR(INDEX(VENDAS!$J$5:$J$1004,MATCH(H447,VENDAS!$A$5:$A$1004,0))&amp;"",""))</f>
        <v/>
      </c>
      <c r="L447" s="26">
        <f>IF(H447="","",SUMIFS(VENDAS!$F$5:$F$1004,VENDAS!$A$5:$A$1004,H447))</f>
        <v/>
      </c>
      <c r="M447" s="26">
        <f>IF(H447="","",SUMIFS(VENDAS!$F$5:$F$1004,VENDAS!$A$5:$A$1004,H447,VENDAS!$D$5:$D$1004,M$4))</f>
        <v/>
      </c>
      <c r="N447" s="26">
        <f>IF(H447="","",SUMIFS(VENDAS!$F$5:$F$1004,VENDAS!$A$5:$A$1004,H447,VENDAS!$D$5:$D$1004,N$4))</f>
        <v/>
      </c>
      <c r="O447" s="26">
        <f>IF(H447="","",SUMIFS(VENDAS!$F$5:$F$1004,VENDAS!$A$5:$A$1004,H447,VENDAS!$D$5:$D$1004,O$4))</f>
        <v/>
      </c>
      <c r="P447" s="26">
        <f>IF(H447="","",SUMIFS(VENDAS!$F$5:$F$1004,VENDAS!$A$5:$A$1004,H447,VENDAS!$D$5:$D$1004,P$4))</f>
        <v/>
      </c>
      <c r="Q447" s="24">
        <f>IF(H447="","",SUMIFS(VENDAS!$H$5:$H$1004,VENDAS!$A$5:$A$1004,H447))</f>
        <v/>
      </c>
      <c r="R447" s="24">
        <f>IF(H447="","",SUMIFS(VENDAS!$K$5:$K$1004,VENDAS!$A$5:$A$1004,H447))</f>
        <v/>
      </c>
      <c r="S447" s="20" t="n"/>
      <c r="T447" s="31" t="n"/>
    </row>
    <row r="448">
      <c r="H448" s="20" t="n"/>
      <c r="I448" s="30">
        <f>IF(H448="","",IFERROR(INDEX(VENDAS!$B$5:$B$1004,MATCH(H448,VENDAS!$A$5:$A$1004,0)),"não lançado"))</f>
        <v/>
      </c>
      <c r="J448" s="22">
        <f>IF(H448="","",IFERROR(INDEX(VENDAS!$M$5:$M$1004,MATCH(H448,VENDAS!$A$5:$A$1004,0))&amp;"",""))</f>
        <v/>
      </c>
      <c r="K448" s="22">
        <f>IF(H448="","",IFERROR(INDEX(VENDAS!$J$5:$J$1004,MATCH(H448,VENDAS!$A$5:$A$1004,0))&amp;"",""))</f>
        <v/>
      </c>
      <c r="L448" s="26">
        <f>IF(H448="","",SUMIFS(VENDAS!$F$5:$F$1004,VENDAS!$A$5:$A$1004,H448))</f>
        <v/>
      </c>
      <c r="M448" s="26">
        <f>IF(H448="","",SUMIFS(VENDAS!$F$5:$F$1004,VENDAS!$A$5:$A$1004,H448,VENDAS!$D$5:$D$1004,M$4))</f>
        <v/>
      </c>
      <c r="N448" s="26">
        <f>IF(H448="","",SUMIFS(VENDAS!$F$5:$F$1004,VENDAS!$A$5:$A$1004,H448,VENDAS!$D$5:$D$1004,N$4))</f>
        <v/>
      </c>
      <c r="O448" s="26">
        <f>IF(H448="","",SUMIFS(VENDAS!$F$5:$F$1004,VENDAS!$A$5:$A$1004,H448,VENDAS!$D$5:$D$1004,O$4))</f>
        <v/>
      </c>
      <c r="P448" s="26">
        <f>IF(H448="","",SUMIFS(VENDAS!$F$5:$F$1004,VENDAS!$A$5:$A$1004,H448,VENDAS!$D$5:$D$1004,P$4))</f>
        <v/>
      </c>
      <c r="Q448" s="24">
        <f>IF(H448="","",SUMIFS(VENDAS!$H$5:$H$1004,VENDAS!$A$5:$A$1004,H448))</f>
        <v/>
      </c>
      <c r="R448" s="24">
        <f>IF(H448="","",SUMIFS(VENDAS!$K$5:$K$1004,VENDAS!$A$5:$A$1004,H448))</f>
        <v/>
      </c>
      <c r="S448" s="20" t="n"/>
      <c r="T448" s="31" t="n"/>
    </row>
    <row r="449">
      <c r="H449" s="20" t="n"/>
      <c r="I449" s="30">
        <f>IF(H449="","",IFERROR(INDEX(VENDAS!$B$5:$B$1004,MATCH(H449,VENDAS!$A$5:$A$1004,0)),"não lançado"))</f>
        <v/>
      </c>
      <c r="J449" s="22">
        <f>IF(H449="","",IFERROR(INDEX(VENDAS!$M$5:$M$1004,MATCH(H449,VENDAS!$A$5:$A$1004,0))&amp;"",""))</f>
        <v/>
      </c>
      <c r="K449" s="22">
        <f>IF(H449="","",IFERROR(INDEX(VENDAS!$J$5:$J$1004,MATCH(H449,VENDAS!$A$5:$A$1004,0))&amp;"",""))</f>
        <v/>
      </c>
      <c r="L449" s="26">
        <f>IF(H449="","",SUMIFS(VENDAS!$F$5:$F$1004,VENDAS!$A$5:$A$1004,H449))</f>
        <v/>
      </c>
      <c r="M449" s="26">
        <f>IF(H449="","",SUMIFS(VENDAS!$F$5:$F$1004,VENDAS!$A$5:$A$1004,H449,VENDAS!$D$5:$D$1004,M$4))</f>
        <v/>
      </c>
      <c r="N449" s="26">
        <f>IF(H449="","",SUMIFS(VENDAS!$F$5:$F$1004,VENDAS!$A$5:$A$1004,H449,VENDAS!$D$5:$D$1004,N$4))</f>
        <v/>
      </c>
      <c r="O449" s="26">
        <f>IF(H449="","",SUMIFS(VENDAS!$F$5:$F$1004,VENDAS!$A$5:$A$1004,H449,VENDAS!$D$5:$D$1004,O$4))</f>
        <v/>
      </c>
      <c r="P449" s="26">
        <f>IF(H449="","",SUMIFS(VENDAS!$F$5:$F$1004,VENDAS!$A$5:$A$1004,H449,VENDAS!$D$5:$D$1004,P$4))</f>
        <v/>
      </c>
      <c r="Q449" s="24">
        <f>IF(H449="","",SUMIFS(VENDAS!$H$5:$H$1004,VENDAS!$A$5:$A$1004,H449))</f>
        <v/>
      </c>
      <c r="R449" s="24">
        <f>IF(H449="","",SUMIFS(VENDAS!$K$5:$K$1004,VENDAS!$A$5:$A$1004,H449))</f>
        <v/>
      </c>
      <c r="S449" s="20" t="n"/>
      <c r="T449" s="31" t="n"/>
    </row>
    <row r="450">
      <c r="H450" s="20" t="n"/>
      <c r="I450" s="30">
        <f>IF(H450="","",IFERROR(INDEX(VENDAS!$B$5:$B$1004,MATCH(H450,VENDAS!$A$5:$A$1004,0)),"não lançado"))</f>
        <v/>
      </c>
      <c r="J450" s="22">
        <f>IF(H450="","",IFERROR(INDEX(VENDAS!$M$5:$M$1004,MATCH(H450,VENDAS!$A$5:$A$1004,0))&amp;"",""))</f>
        <v/>
      </c>
      <c r="K450" s="22">
        <f>IF(H450="","",IFERROR(INDEX(VENDAS!$J$5:$J$1004,MATCH(H450,VENDAS!$A$5:$A$1004,0))&amp;"",""))</f>
        <v/>
      </c>
      <c r="L450" s="26">
        <f>IF(H450="","",SUMIFS(VENDAS!$F$5:$F$1004,VENDAS!$A$5:$A$1004,H450))</f>
        <v/>
      </c>
      <c r="M450" s="26">
        <f>IF(H450="","",SUMIFS(VENDAS!$F$5:$F$1004,VENDAS!$A$5:$A$1004,H450,VENDAS!$D$5:$D$1004,M$4))</f>
        <v/>
      </c>
      <c r="N450" s="26">
        <f>IF(H450="","",SUMIFS(VENDAS!$F$5:$F$1004,VENDAS!$A$5:$A$1004,H450,VENDAS!$D$5:$D$1004,N$4))</f>
        <v/>
      </c>
      <c r="O450" s="26">
        <f>IF(H450="","",SUMIFS(VENDAS!$F$5:$F$1004,VENDAS!$A$5:$A$1004,H450,VENDAS!$D$5:$D$1004,O$4))</f>
        <v/>
      </c>
      <c r="P450" s="26">
        <f>IF(H450="","",SUMIFS(VENDAS!$F$5:$F$1004,VENDAS!$A$5:$A$1004,H450,VENDAS!$D$5:$D$1004,P$4))</f>
        <v/>
      </c>
      <c r="Q450" s="24">
        <f>IF(H450="","",SUMIFS(VENDAS!$H$5:$H$1004,VENDAS!$A$5:$A$1004,H450))</f>
        <v/>
      </c>
      <c r="R450" s="24">
        <f>IF(H450="","",SUMIFS(VENDAS!$K$5:$K$1004,VENDAS!$A$5:$A$1004,H450))</f>
        <v/>
      </c>
      <c r="S450" s="20" t="n"/>
      <c r="T450" s="31" t="n"/>
    </row>
    <row r="451">
      <c r="H451" s="20" t="n"/>
      <c r="I451" s="30">
        <f>IF(H451="","",IFERROR(INDEX(VENDAS!$B$5:$B$1004,MATCH(H451,VENDAS!$A$5:$A$1004,0)),"não lançado"))</f>
        <v/>
      </c>
      <c r="J451" s="22">
        <f>IF(H451="","",IFERROR(INDEX(VENDAS!$M$5:$M$1004,MATCH(H451,VENDAS!$A$5:$A$1004,0))&amp;"",""))</f>
        <v/>
      </c>
      <c r="K451" s="22">
        <f>IF(H451="","",IFERROR(INDEX(VENDAS!$J$5:$J$1004,MATCH(H451,VENDAS!$A$5:$A$1004,0))&amp;"",""))</f>
        <v/>
      </c>
      <c r="L451" s="26">
        <f>IF(H451="","",SUMIFS(VENDAS!$F$5:$F$1004,VENDAS!$A$5:$A$1004,H451))</f>
        <v/>
      </c>
      <c r="M451" s="26">
        <f>IF(H451="","",SUMIFS(VENDAS!$F$5:$F$1004,VENDAS!$A$5:$A$1004,H451,VENDAS!$D$5:$D$1004,M$4))</f>
        <v/>
      </c>
      <c r="N451" s="26">
        <f>IF(H451="","",SUMIFS(VENDAS!$F$5:$F$1004,VENDAS!$A$5:$A$1004,H451,VENDAS!$D$5:$D$1004,N$4))</f>
        <v/>
      </c>
      <c r="O451" s="26">
        <f>IF(H451="","",SUMIFS(VENDAS!$F$5:$F$1004,VENDAS!$A$5:$A$1004,H451,VENDAS!$D$5:$D$1004,O$4))</f>
        <v/>
      </c>
      <c r="P451" s="26">
        <f>IF(H451="","",SUMIFS(VENDAS!$F$5:$F$1004,VENDAS!$A$5:$A$1004,H451,VENDAS!$D$5:$D$1004,P$4))</f>
        <v/>
      </c>
      <c r="Q451" s="24">
        <f>IF(H451="","",SUMIFS(VENDAS!$H$5:$H$1004,VENDAS!$A$5:$A$1004,H451))</f>
        <v/>
      </c>
      <c r="R451" s="24">
        <f>IF(H451="","",SUMIFS(VENDAS!$K$5:$K$1004,VENDAS!$A$5:$A$1004,H451))</f>
        <v/>
      </c>
      <c r="S451" s="20" t="n"/>
      <c r="T451" s="31" t="n"/>
    </row>
    <row r="452">
      <c r="H452" s="20" t="n"/>
      <c r="I452" s="30">
        <f>IF(H452="","",IFERROR(INDEX(VENDAS!$B$5:$B$1004,MATCH(H452,VENDAS!$A$5:$A$1004,0)),"não lançado"))</f>
        <v/>
      </c>
      <c r="J452" s="22">
        <f>IF(H452="","",IFERROR(INDEX(VENDAS!$M$5:$M$1004,MATCH(H452,VENDAS!$A$5:$A$1004,0))&amp;"",""))</f>
        <v/>
      </c>
      <c r="K452" s="22">
        <f>IF(H452="","",IFERROR(INDEX(VENDAS!$J$5:$J$1004,MATCH(H452,VENDAS!$A$5:$A$1004,0))&amp;"",""))</f>
        <v/>
      </c>
      <c r="L452" s="26">
        <f>IF(H452="","",SUMIFS(VENDAS!$F$5:$F$1004,VENDAS!$A$5:$A$1004,H452))</f>
        <v/>
      </c>
      <c r="M452" s="26">
        <f>IF(H452="","",SUMIFS(VENDAS!$F$5:$F$1004,VENDAS!$A$5:$A$1004,H452,VENDAS!$D$5:$D$1004,M$4))</f>
        <v/>
      </c>
      <c r="N452" s="26">
        <f>IF(H452="","",SUMIFS(VENDAS!$F$5:$F$1004,VENDAS!$A$5:$A$1004,H452,VENDAS!$D$5:$D$1004,N$4))</f>
        <v/>
      </c>
      <c r="O452" s="26">
        <f>IF(H452="","",SUMIFS(VENDAS!$F$5:$F$1004,VENDAS!$A$5:$A$1004,H452,VENDAS!$D$5:$D$1004,O$4))</f>
        <v/>
      </c>
      <c r="P452" s="26">
        <f>IF(H452="","",SUMIFS(VENDAS!$F$5:$F$1004,VENDAS!$A$5:$A$1004,H452,VENDAS!$D$5:$D$1004,P$4))</f>
        <v/>
      </c>
      <c r="Q452" s="24">
        <f>IF(H452="","",SUMIFS(VENDAS!$H$5:$H$1004,VENDAS!$A$5:$A$1004,H452))</f>
        <v/>
      </c>
      <c r="R452" s="24">
        <f>IF(H452="","",SUMIFS(VENDAS!$K$5:$K$1004,VENDAS!$A$5:$A$1004,H452))</f>
        <v/>
      </c>
      <c r="S452" s="20" t="n"/>
      <c r="T452" s="31" t="n"/>
    </row>
    <row r="453">
      <c r="H453" s="20" t="n"/>
      <c r="I453" s="30">
        <f>IF(H453="","",IFERROR(INDEX(VENDAS!$B$5:$B$1004,MATCH(H453,VENDAS!$A$5:$A$1004,0)),"não lançado"))</f>
        <v/>
      </c>
      <c r="J453" s="22">
        <f>IF(H453="","",IFERROR(INDEX(VENDAS!$M$5:$M$1004,MATCH(H453,VENDAS!$A$5:$A$1004,0))&amp;"",""))</f>
        <v/>
      </c>
      <c r="K453" s="22">
        <f>IF(H453="","",IFERROR(INDEX(VENDAS!$J$5:$J$1004,MATCH(H453,VENDAS!$A$5:$A$1004,0))&amp;"",""))</f>
        <v/>
      </c>
      <c r="L453" s="26">
        <f>IF(H453="","",SUMIFS(VENDAS!$F$5:$F$1004,VENDAS!$A$5:$A$1004,H453))</f>
        <v/>
      </c>
      <c r="M453" s="26">
        <f>IF(H453="","",SUMIFS(VENDAS!$F$5:$F$1004,VENDAS!$A$5:$A$1004,H453,VENDAS!$D$5:$D$1004,M$4))</f>
        <v/>
      </c>
      <c r="N453" s="26">
        <f>IF(H453="","",SUMIFS(VENDAS!$F$5:$F$1004,VENDAS!$A$5:$A$1004,H453,VENDAS!$D$5:$D$1004,N$4))</f>
        <v/>
      </c>
      <c r="O453" s="26">
        <f>IF(H453="","",SUMIFS(VENDAS!$F$5:$F$1004,VENDAS!$A$5:$A$1004,H453,VENDAS!$D$5:$D$1004,O$4))</f>
        <v/>
      </c>
      <c r="P453" s="26">
        <f>IF(H453="","",SUMIFS(VENDAS!$F$5:$F$1004,VENDAS!$A$5:$A$1004,H453,VENDAS!$D$5:$D$1004,P$4))</f>
        <v/>
      </c>
      <c r="Q453" s="24">
        <f>IF(H453="","",SUMIFS(VENDAS!$H$5:$H$1004,VENDAS!$A$5:$A$1004,H453))</f>
        <v/>
      </c>
      <c r="R453" s="24">
        <f>IF(H453="","",SUMIFS(VENDAS!$K$5:$K$1004,VENDAS!$A$5:$A$1004,H453))</f>
        <v/>
      </c>
      <c r="S453" s="20" t="n"/>
      <c r="T453" s="31" t="n"/>
    </row>
    <row r="454">
      <c r="H454" s="20" t="n"/>
      <c r="I454" s="30">
        <f>IF(H454="","",IFERROR(INDEX(VENDAS!$B$5:$B$1004,MATCH(H454,VENDAS!$A$5:$A$1004,0)),"não lançado"))</f>
        <v/>
      </c>
      <c r="J454" s="22">
        <f>IF(H454="","",IFERROR(INDEX(VENDAS!$M$5:$M$1004,MATCH(H454,VENDAS!$A$5:$A$1004,0))&amp;"",""))</f>
        <v/>
      </c>
      <c r="K454" s="22">
        <f>IF(H454="","",IFERROR(INDEX(VENDAS!$J$5:$J$1004,MATCH(H454,VENDAS!$A$5:$A$1004,0))&amp;"",""))</f>
        <v/>
      </c>
      <c r="L454" s="26">
        <f>IF(H454="","",SUMIFS(VENDAS!$F$5:$F$1004,VENDAS!$A$5:$A$1004,H454))</f>
        <v/>
      </c>
      <c r="M454" s="26">
        <f>IF(H454="","",SUMIFS(VENDAS!$F$5:$F$1004,VENDAS!$A$5:$A$1004,H454,VENDAS!$D$5:$D$1004,M$4))</f>
        <v/>
      </c>
      <c r="N454" s="26">
        <f>IF(H454="","",SUMIFS(VENDAS!$F$5:$F$1004,VENDAS!$A$5:$A$1004,H454,VENDAS!$D$5:$D$1004,N$4))</f>
        <v/>
      </c>
      <c r="O454" s="26">
        <f>IF(H454="","",SUMIFS(VENDAS!$F$5:$F$1004,VENDAS!$A$5:$A$1004,H454,VENDAS!$D$5:$D$1004,O$4))</f>
        <v/>
      </c>
      <c r="P454" s="26">
        <f>IF(H454="","",SUMIFS(VENDAS!$F$5:$F$1004,VENDAS!$A$5:$A$1004,H454,VENDAS!$D$5:$D$1004,P$4))</f>
        <v/>
      </c>
      <c r="Q454" s="24">
        <f>IF(H454="","",SUMIFS(VENDAS!$H$5:$H$1004,VENDAS!$A$5:$A$1004,H454))</f>
        <v/>
      </c>
      <c r="R454" s="24">
        <f>IF(H454="","",SUMIFS(VENDAS!$K$5:$K$1004,VENDAS!$A$5:$A$1004,H454))</f>
        <v/>
      </c>
      <c r="S454" s="20" t="n"/>
      <c r="T454" s="31" t="n"/>
    </row>
    <row r="455">
      <c r="H455" s="20" t="n"/>
      <c r="I455" s="30">
        <f>IF(H455="","",IFERROR(INDEX(VENDAS!$B$5:$B$1004,MATCH(H455,VENDAS!$A$5:$A$1004,0)),"não lançado"))</f>
        <v/>
      </c>
      <c r="J455" s="22">
        <f>IF(H455="","",IFERROR(INDEX(VENDAS!$M$5:$M$1004,MATCH(H455,VENDAS!$A$5:$A$1004,0))&amp;"",""))</f>
        <v/>
      </c>
      <c r="K455" s="22">
        <f>IF(H455="","",IFERROR(INDEX(VENDAS!$J$5:$J$1004,MATCH(H455,VENDAS!$A$5:$A$1004,0))&amp;"",""))</f>
        <v/>
      </c>
      <c r="L455" s="26">
        <f>IF(H455="","",SUMIFS(VENDAS!$F$5:$F$1004,VENDAS!$A$5:$A$1004,H455))</f>
        <v/>
      </c>
      <c r="M455" s="26">
        <f>IF(H455="","",SUMIFS(VENDAS!$F$5:$F$1004,VENDAS!$A$5:$A$1004,H455,VENDAS!$D$5:$D$1004,M$4))</f>
        <v/>
      </c>
      <c r="N455" s="26">
        <f>IF(H455="","",SUMIFS(VENDAS!$F$5:$F$1004,VENDAS!$A$5:$A$1004,H455,VENDAS!$D$5:$D$1004,N$4))</f>
        <v/>
      </c>
      <c r="O455" s="26">
        <f>IF(H455="","",SUMIFS(VENDAS!$F$5:$F$1004,VENDAS!$A$5:$A$1004,H455,VENDAS!$D$5:$D$1004,O$4))</f>
        <v/>
      </c>
      <c r="P455" s="26">
        <f>IF(H455="","",SUMIFS(VENDAS!$F$5:$F$1004,VENDAS!$A$5:$A$1004,H455,VENDAS!$D$5:$D$1004,P$4))</f>
        <v/>
      </c>
      <c r="Q455" s="24">
        <f>IF(H455="","",SUMIFS(VENDAS!$H$5:$H$1004,VENDAS!$A$5:$A$1004,H455))</f>
        <v/>
      </c>
      <c r="R455" s="24">
        <f>IF(H455="","",SUMIFS(VENDAS!$K$5:$K$1004,VENDAS!$A$5:$A$1004,H455))</f>
        <v/>
      </c>
      <c r="S455" s="20" t="n"/>
      <c r="T455" s="31" t="n"/>
    </row>
    <row r="456">
      <c r="H456" s="20" t="n"/>
      <c r="I456" s="30">
        <f>IF(H456="","",IFERROR(INDEX(VENDAS!$B$5:$B$1004,MATCH(H456,VENDAS!$A$5:$A$1004,0)),"não lançado"))</f>
        <v/>
      </c>
      <c r="J456" s="22">
        <f>IF(H456="","",IFERROR(INDEX(VENDAS!$M$5:$M$1004,MATCH(H456,VENDAS!$A$5:$A$1004,0))&amp;"",""))</f>
        <v/>
      </c>
      <c r="K456" s="22">
        <f>IF(H456="","",IFERROR(INDEX(VENDAS!$J$5:$J$1004,MATCH(H456,VENDAS!$A$5:$A$1004,0))&amp;"",""))</f>
        <v/>
      </c>
      <c r="L456" s="26">
        <f>IF(H456="","",SUMIFS(VENDAS!$F$5:$F$1004,VENDAS!$A$5:$A$1004,H456))</f>
        <v/>
      </c>
      <c r="M456" s="26">
        <f>IF(H456="","",SUMIFS(VENDAS!$F$5:$F$1004,VENDAS!$A$5:$A$1004,H456,VENDAS!$D$5:$D$1004,M$4))</f>
        <v/>
      </c>
      <c r="N456" s="26">
        <f>IF(H456="","",SUMIFS(VENDAS!$F$5:$F$1004,VENDAS!$A$5:$A$1004,H456,VENDAS!$D$5:$D$1004,N$4))</f>
        <v/>
      </c>
      <c r="O456" s="26">
        <f>IF(H456="","",SUMIFS(VENDAS!$F$5:$F$1004,VENDAS!$A$5:$A$1004,H456,VENDAS!$D$5:$D$1004,O$4))</f>
        <v/>
      </c>
      <c r="P456" s="26">
        <f>IF(H456="","",SUMIFS(VENDAS!$F$5:$F$1004,VENDAS!$A$5:$A$1004,H456,VENDAS!$D$5:$D$1004,P$4))</f>
        <v/>
      </c>
      <c r="Q456" s="24">
        <f>IF(H456="","",SUMIFS(VENDAS!$H$5:$H$1004,VENDAS!$A$5:$A$1004,H456))</f>
        <v/>
      </c>
      <c r="R456" s="24">
        <f>IF(H456="","",SUMIFS(VENDAS!$K$5:$K$1004,VENDAS!$A$5:$A$1004,H456))</f>
        <v/>
      </c>
      <c r="S456" s="20" t="n"/>
      <c r="T456" s="31" t="n"/>
    </row>
    <row r="457">
      <c r="H457" s="20" t="n"/>
      <c r="I457" s="30">
        <f>IF(H457="","",IFERROR(INDEX(VENDAS!$B$5:$B$1004,MATCH(H457,VENDAS!$A$5:$A$1004,0)),"não lançado"))</f>
        <v/>
      </c>
      <c r="J457" s="22">
        <f>IF(H457="","",IFERROR(INDEX(VENDAS!$M$5:$M$1004,MATCH(H457,VENDAS!$A$5:$A$1004,0))&amp;"",""))</f>
        <v/>
      </c>
      <c r="K457" s="22">
        <f>IF(H457="","",IFERROR(INDEX(VENDAS!$J$5:$J$1004,MATCH(H457,VENDAS!$A$5:$A$1004,0))&amp;"",""))</f>
        <v/>
      </c>
      <c r="L457" s="26">
        <f>IF(H457="","",SUMIFS(VENDAS!$F$5:$F$1004,VENDAS!$A$5:$A$1004,H457))</f>
        <v/>
      </c>
      <c r="M457" s="26">
        <f>IF(H457="","",SUMIFS(VENDAS!$F$5:$F$1004,VENDAS!$A$5:$A$1004,H457,VENDAS!$D$5:$D$1004,M$4))</f>
        <v/>
      </c>
      <c r="N457" s="26">
        <f>IF(H457="","",SUMIFS(VENDAS!$F$5:$F$1004,VENDAS!$A$5:$A$1004,H457,VENDAS!$D$5:$D$1004,N$4))</f>
        <v/>
      </c>
      <c r="O457" s="26">
        <f>IF(H457="","",SUMIFS(VENDAS!$F$5:$F$1004,VENDAS!$A$5:$A$1004,H457,VENDAS!$D$5:$D$1004,O$4))</f>
        <v/>
      </c>
      <c r="P457" s="26">
        <f>IF(H457="","",SUMIFS(VENDAS!$F$5:$F$1004,VENDAS!$A$5:$A$1004,H457,VENDAS!$D$5:$D$1004,P$4))</f>
        <v/>
      </c>
      <c r="Q457" s="24">
        <f>IF(H457="","",SUMIFS(VENDAS!$H$5:$H$1004,VENDAS!$A$5:$A$1004,H457))</f>
        <v/>
      </c>
      <c r="R457" s="24">
        <f>IF(H457="","",SUMIFS(VENDAS!$K$5:$K$1004,VENDAS!$A$5:$A$1004,H457))</f>
        <v/>
      </c>
      <c r="S457" s="20" t="n"/>
      <c r="T457" s="31" t="n"/>
    </row>
    <row r="458">
      <c r="H458" s="20" t="n"/>
      <c r="I458" s="30">
        <f>IF(H458="","",IFERROR(INDEX(VENDAS!$B$5:$B$1004,MATCH(H458,VENDAS!$A$5:$A$1004,0)),"não lançado"))</f>
        <v/>
      </c>
      <c r="J458" s="22">
        <f>IF(H458="","",IFERROR(INDEX(VENDAS!$M$5:$M$1004,MATCH(H458,VENDAS!$A$5:$A$1004,0))&amp;"",""))</f>
        <v/>
      </c>
      <c r="K458" s="22">
        <f>IF(H458="","",IFERROR(INDEX(VENDAS!$J$5:$J$1004,MATCH(H458,VENDAS!$A$5:$A$1004,0))&amp;"",""))</f>
        <v/>
      </c>
      <c r="L458" s="26">
        <f>IF(H458="","",SUMIFS(VENDAS!$F$5:$F$1004,VENDAS!$A$5:$A$1004,H458))</f>
        <v/>
      </c>
      <c r="M458" s="26">
        <f>IF(H458="","",SUMIFS(VENDAS!$F$5:$F$1004,VENDAS!$A$5:$A$1004,H458,VENDAS!$D$5:$D$1004,M$4))</f>
        <v/>
      </c>
      <c r="N458" s="26">
        <f>IF(H458="","",SUMIFS(VENDAS!$F$5:$F$1004,VENDAS!$A$5:$A$1004,H458,VENDAS!$D$5:$D$1004,N$4))</f>
        <v/>
      </c>
      <c r="O458" s="26">
        <f>IF(H458="","",SUMIFS(VENDAS!$F$5:$F$1004,VENDAS!$A$5:$A$1004,H458,VENDAS!$D$5:$D$1004,O$4))</f>
        <v/>
      </c>
      <c r="P458" s="26">
        <f>IF(H458="","",SUMIFS(VENDAS!$F$5:$F$1004,VENDAS!$A$5:$A$1004,H458,VENDAS!$D$5:$D$1004,P$4))</f>
        <v/>
      </c>
      <c r="Q458" s="24">
        <f>IF(H458="","",SUMIFS(VENDAS!$H$5:$H$1004,VENDAS!$A$5:$A$1004,H458))</f>
        <v/>
      </c>
      <c r="R458" s="24">
        <f>IF(H458="","",SUMIFS(VENDAS!$K$5:$K$1004,VENDAS!$A$5:$A$1004,H458))</f>
        <v/>
      </c>
      <c r="S458" s="20" t="n"/>
      <c r="T458" s="31" t="n"/>
    </row>
    <row r="459">
      <c r="H459" s="20" t="n"/>
      <c r="I459" s="30">
        <f>IF(H459="","",IFERROR(INDEX(VENDAS!$B$5:$B$1004,MATCH(H459,VENDAS!$A$5:$A$1004,0)),"não lançado"))</f>
        <v/>
      </c>
      <c r="J459" s="22">
        <f>IF(H459="","",IFERROR(INDEX(VENDAS!$M$5:$M$1004,MATCH(H459,VENDAS!$A$5:$A$1004,0))&amp;"",""))</f>
        <v/>
      </c>
      <c r="K459" s="22">
        <f>IF(H459="","",IFERROR(INDEX(VENDAS!$J$5:$J$1004,MATCH(H459,VENDAS!$A$5:$A$1004,0))&amp;"",""))</f>
        <v/>
      </c>
      <c r="L459" s="26">
        <f>IF(H459="","",SUMIFS(VENDAS!$F$5:$F$1004,VENDAS!$A$5:$A$1004,H459))</f>
        <v/>
      </c>
      <c r="M459" s="26">
        <f>IF(H459="","",SUMIFS(VENDAS!$F$5:$F$1004,VENDAS!$A$5:$A$1004,H459,VENDAS!$D$5:$D$1004,M$4))</f>
        <v/>
      </c>
      <c r="N459" s="26">
        <f>IF(H459="","",SUMIFS(VENDAS!$F$5:$F$1004,VENDAS!$A$5:$A$1004,H459,VENDAS!$D$5:$D$1004,N$4))</f>
        <v/>
      </c>
      <c r="O459" s="26">
        <f>IF(H459="","",SUMIFS(VENDAS!$F$5:$F$1004,VENDAS!$A$5:$A$1004,H459,VENDAS!$D$5:$D$1004,O$4))</f>
        <v/>
      </c>
      <c r="P459" s="26">
        <f>IF(H459="","",SUMIFS(VENDAS!$F$5:$F$1004,VENDAS!$A$5:$A$1004,H459,VENDAS!$D$5:$D$1004,P$4))</f>
        <v/>
      </c>
      <c r="Q459" s="24">
        <f>IF(H459="","",SUMIFS(VENDAS!$H$5:$H$1004,VENDAS!$A$5:$A$1004,H459))</f>
        <v/>
      </c>
      <c r="R459" s="24">
        <f>IF(H459="","",SUMIFS(VENDAS!$K$5:$K$1004,VENDAS!$A$5:$A$1004,H459))</f>
        <v/>
      </c>
      <c r="S459" s="20" t="n"/>
      <c r="T459" s="31" t="n"/>
    </row>
    <row r="460">
      <c r="H460" s="20" t="n"/>
      <c r="I460" s="30">
        <f>IF(H460="","",IFERROR(INDEX(VENDAS!$B$5:$B$1004,MATCH(H460,VENDAS!$A$5:$A$1004,0)),"não lançado"))</f>
        <v/>
      </c>
      <c r="J460" s="22">
        <f>IF(H460="","",IFERROR(INDEX(VENDAS!$M$5:$M$1004,MATCH(H460,VENDAS!$A$5:$A$1004,0))&amp;"",""))</f>
        <v/>
      </c>
      <c r="K460" s="22">
        <f>IF(H460="","",IFERROR(INDEX(VENDAS!$J$5:$J$1004,MATCH(H460,VENDAS!$A$5:$A$1004,0))&amp;"",""))</f>
        <v/>
      </c>
      <c r="L460" s="26">
        <f>IF(H460="","",SUMIFS(VENDAS!$F$5:$F$1004,VENDAS!$A$5:$A$1004,H460))</f>
        <v/>
      </c>
      <c r="M460" s="26">
        <f>IF(H460="","",SUMIFS(VENDAS!$F$5:$F$1004,VENDAS!$A$5:$A$1004,H460,VENDAS!$D$5:$D$1004,M$4))</f>
        <v/>
      </c>
      <c r="N460" s="26">
        <f>IF(H460="","",SUMIFS(VENDAS!$F$5:$F$1004,VENDAS!$A$5:$A$1004,H460,VENDAS!$D$5:$D$1004,N$4))</f>
        <v/>
      </c>
      <c r="O460" s="26">
        <f>IF(H460="","",SUMIFS(VENDAS!$F$5:$F$1004,VENDAS!$A$5:$A$1004,H460,VENDAS!$D$5:$D$1004,O$4))</f>
        <v/>
      </c>
      <c r="P460" s="26">
        <f>IF(H460="","",SUMIFS(VENDAS!$F$5:$F$1004,VENDAS!$A$5:$A$1004,H460,VENDAS!$D$5:$D$1004,P$4))</f>
        <v/>
      </c>
      <c r="Q460" s="24">
        <f>IF(H460="","",SUMIFS(VENDAS!$H$5:$H$1004,VENDAS!$A$5:$A$1004,H460))</f>
        <v/>
      </c>
      <c r="R460" s="24">
        <f>IF(H460="","",SUMIFS(VENDAS!$K$5:$K$1004,VENDAS!$A$5:$A$1004,H460))</f>
        <v/>
      </c>
      <c r="S460" s="20" t="n"/>
      <c r="T460" s="31" t="n"/>
    </row>
    <row r="461">
      <c r="H461" s="20" t="n"/>
      <c r="I461" s="30">
        <f>IF(H461="","",IFERROR(INDEX(VENDAS!$B$5:$B$1004,MATCH(H461,VENDAS!$A$5:$A$1004,0)),"não lançado"))</f>
        <v/>
      </c>
      <c r="J461" s="22">
        <f>IF(H461="","",IFERROR(INDEX(VENDAS!$M$5:$M$1004,MATCH(H461,VENDAS!$A$5:$A$1004,0))&amp;"",""))</f>
        <v/>
      </c>
      <c r="K461" s="22">
        <f>IF(H461="","",IFERROR(INDEX(VENDAS!$J$5:$J$1004,MATCH(H461,VENDAS!$A$5:$A$1004,0))&amp;"",""))</f>
        <v/>
      </c>
      <c r="L461" s="26">
        <f>IF(H461="","",SUMIFS(VENDAS!$F$5:$F$1004,VENDAS!$A$5:$A$1004,H461))</f>
        <v/>
      </c>
      <c r="M461" s="26">
        <f>IF(H461="","",SUMIFS(VENDAS!$F$5:$F$1004,VENDAS!$A$5:$A$1004,H461,VENDAS!$D$5:$D$1004,M$4))</f>
        <v/>
      </c>
      <c r="N461" s="26">
        <f>IF(H461="","",SUMIFS(VENDAS!$F$5:$F$1004,VENDAS!$A$5:$A$1004,H461,VENDAS!$D$5:$D$1004,N$4))</f>
        <v/>
      </c>
      <c r="O461" s="26">
        <f>IF(H461="","",SUMIFS(VENDAS!$F$5:$F$1004,VENDAS!$A$5:$A$1004,H461,VENDAS!$D$5:$D$1004,O$4))</f>
        <v/>
      </c>
      <c r="P461" s="26">
        <f>IF(H461="","",SUMIFS(VENDAS!$F$5:$F$1004,VENDAS!$A$5:$A$1004,H461,VENDAS!$D$5:$D$1004,P$4))</f>
        <v/>
      </c>
      <c r="Q461" s="24">
        <f>IF(H461="","",SUMIFS(VENDAS!$H$5:$H$1004,VENDAS!$A$5:$A$1004,H461))</f>
        <v/>
      </c>
      <c r="R461" s="24">
        <f>IF(H461="","",SUMIFS(VENDAS!$K$5:$K$1004,VENDAS!$A$5:$A$1004,H461))</f>
        <v/>
      </c>
      <c r="S461" s="20" t="n"/>
      <c r="T461" s="31" t="n"/>
    </row>
    <row r="462">
      <c r="H462" s="20" t="n"/>
      <c r="I462" s="30">
        <f>IF(H462="","",IFERROR(INDEX(VENDAS!$B$5:$B$1004,MATCH(H462,VENDAS!$A$5:$A$1004,0)),"não lançado"))</f>
        <v/>
      </c>
      <c r="J462" s="22">
        <f>IF(H462="","",IFERROR(INDEX(VENDAS!$M$5:$M$1004,MATCH(H462,VENDAS!$A$5:$A$1004,0))&amp;"",""))</f>
        <v/>
      </c>
      <c r="K462" s="22">
        <f>IF(H462="","",IFERROR(INDEX(VENDAS!$J$5:$J$1004,MATCH(H462,VENDAS!$A$5:$A$1004,0))&amp;"",""))</f>
        <v/>
      </c>
      <c r="L462" s="26">
        <f>IF(H462="","",SUMIFS(VENDAS!$F$5:$F$1004,VENDAS!$A$5:$A$1004,H462))</f>
        <v/>
      </c>
      <c r="M462" s="26">
        <f>IF(H462="","",SUMIFS(VENDAS!$F$5:$F$1004,VENDAS!$A$5:$A$1004,H462,VENDAS!$D$5:$D$1004,M$4))</f>
        <v/>
      </c>
      <c r="N462" s="26">
        <f>IF(H462="","",SUMIFS(VENDAS!$F$5:$F$1004,VENDAS!$A$5:$A$1004,H462,VENDAS!$D$5:$D$1004,N$4))</f>
        <v/>
      </c>
      <c r="O462" s="26">
        <f>IF(H462="","",SUMIFS(VENDAS!$F$5:$F$1004,VENDAS!$A$5:$A$1004,H462,VENDAS!$D$5:$D$1004,O$4))</f>
        <v/>
      </c>
      <c r="P462" s="26">
        <f>IF(H462="","",SUMIFS(VENDAS!$F$5:$F$1004,VENDAS!$A$5:$A$1004,H462,VENDAS!$D$5:$D$1004,P$4))</f>
        <v/>
      </c>
      <c r="Q462" s="24">
        <f>IF(H462="","",SUMIFS(VENDAS!$H$5:$H$1004,VENDAS!$A$5:$A$1004,H462))</f>
        <v/>
      </c>
      <c r="R462" s="24">
        <f>IF(H462="","",SUMIFS(VENDAS!$K$5:$K$1004,VENDAS!$A$5:$A$1004,H462))</f>
        <v/>
      </c>
      <c r="S462" s="20" t="n"/>
      <c r="T462" s="31" t="n"/>
    </row>
    <row r="463">
      <c r="H463" s="20" t="n"/>
      <c r="I463" s="30">
        <f>IF(H463="","",IFERROR(INDEX(VENDAS!$B$5:$B$1004,MATCH(H463,VENDAS!$A$5:$A$1004,0)),"não lançado"))</f>
        <v/>
      </c>
      <c r="J463" s="22">
        <f>IF(H463="","",IFERROR(INDEX(VENDAS!$M$5:$M$1004,MATCH(H463,VENDAS!$A$5:$A$1004,0))&amp;"",""))</f>
        <v/>
      </c>
      <c r="K463" s="22">
        <f>IF(H463="","",IFERROR(INDEX(VENDAS!$J$5:$J$1004,MATCH(H463,VENDAS!$A$5:$A$1004,0))&amp;"",""))</f>
        <v/>
      </c>
      <c r="L463" s="26">
        <f>IF(H463="","",SUMIFS(VENDAS!$F$5:$F$1004,VENDAS!$A$5:$A$1004,H463))</f>
        <v/>
      </c>
      <c r="M463" s="26">
        <f>IF(H463="","",SUMIFS(VENDAS!$F$5:$F$1004,VENDAS!$A$5:$A$1004,H463,VENDAS!$D$5:$D$1004,M$4))</f>
        <v/>
      </c>
      <c r="N463" s="26">
        <f>IF(H463="","",SUMIFS(VENDAS!$F$5:$F$1004,VENDAS!$A$5:$A$1004,H463,VENDAS!$D$5:$D$1004,N$4))</f>
        <v/>
      </c>
      <c r="O463" s="26">
        <f>IF(H463="","",SUMIFS(VENDAS!$F$5:$F$1004,VENDAS!$A$5:$A$1004,H463,VENDAS!$D$5:$D$1004,O$4))</f>
        <v/>
      </c>
      <c r="P463" s="26">
        <f>IF(H463="","",SUMIFS(VENDAS!$F$5:$F$1004,VENDAS!$A$5:$A$1004,H463,VENDAS!$D$5:$D$1004,P$4))</f>
        <v/>
      </c>
      <c r="Q463" s="24">
        <f>IF(H463="","",SUMIFS(VENDAS!$H$5:$H$1004,VENDAS!$A$5:$A$1004,H463))</f>
        <v/>
      </c>
      <c r="R463" s="24">
        <f>IF(H463="","",SUMIFS(VENDAS!$K$5:$K$1004,VENDAS!$A$5:$A$1004,H463))</f>
        <v/>
      </c>
      <c r="S463" s="20" t="n"/>
      <c r="T463" s="31" t="n"/>
    </row>
    <row r="464">
      <c r="H464" s="20" t="n"/>
      <c r="I464" s="30">
        <f>IF(H464="","",IFERROR(INDEX(VENDAS!$B$5:$B$1004,MATCH(H464,VENDAS!$A$5:$A$1004,0)),"não lançado"))</f>
        <v/>
      </c>
      <c r="J464" s="22">
        <f>IF(H464="","",IFERROR(INDEX(VENDAS!$M$5:$M$1004,MATCH(H464,VENDAS!$A$5:$A$1004,0))&amp;"",""))</f>
        <v/>
      </c>
      <c r="K464" s="22">
        <f>IF(H464="","",IFERROR(INDEX(VENDAS!$J$5:$J$1004,MATCH(H464,VENDAS!$A$5:$A$1004,0))&amp;"",""))</f>
        <v/>
      </c>
      <c r="L464" s="26">
        <f>IF(H464="","",SUMIFS(VENDAS!$F$5:$F$1004,VENDAS!$A$5:$A$1004,H464))</f>
        <v/>
      </c>
      <c r="M464" s="26">
        <f>IF(H464="","",SUMIFS(VENDAS!$F$5:$F$1004,VENDAS!$A$5:$A$1004,H464,VENDAS!$D$5:$D$1004,M$4))</f>
        <v/>
      </c>
      <c r="N464" s="26">
        <f>IF(H464="","",SUMIFS(VENDAS!$F$5:$F$1004,VENDAS!$A$5:$A$1004,H464,VENDAS!$D$5:$D$1004,N$4))</f>
        <v/>
      </c>
      <c r="O464" s="26">
        <f>IF(H464="","",SUMIFS(VENDAS!$F$5:$F$1004,VENDAS!$A$5:$A$1004,H464,VENDAS!$D$5:$D$1004,O$4))</f>
        <v/>
      </c>
      <c r="P464" s="26">
        <f>IF(H464="","",SUMIFS(VENDAS!$F$5:$F$1004,VENDAS!$A$5:$A$1004,H464,VENDAS!$D$5:$D$1004,P$4))</f>
        <v/>
      </c>
      <c r="Q464" s="24">
        <f>IF(H464="","",SUMIFS(VENDAS!$H$5:$H$1004,VENDAS!$A$5:$A$1004,H464))</f>
        <v/>
      </c>
      <c r="R464" s="24">
        <f>IF(H464="","",SUMIFS(VENDAS!$K$5:$K$1004,VENDAS!$A$5:$A$1004,H464))</f>
        <v/>
      </c>
      <c r="S464" s="20" t="n"/>
      <c r="T464" s="31" t="n"/>
    </row>
    <row r="465">
      <c r="H465" s="20" t="n"/>
      <c r="I465" s="30">
        <f>IF(H465="","",IFERROR(INDEX(VENDAS!$B$5:$B$1004,MATCH(H465,VENDAS!$A$5:$A$1004,0)),"não lançado"))</f>
        <v/>
      </c>
      <c r="J465" s="22">
        <f>IF(H465="","",IFERROR(INDEX(VENDAS!$M$5:$M$1004,MATCH(H465,VENDAS!$A$5:$A$1004,0))&amp;"",""))</f>
        <v/>
      </c>
      <c r="K465" s="22">
        <f>IF(H465="","",IFERROR(INDEX(VENDAS!$J$5:$J$1004,MATCH(H465,VENDAS!$A$5:$A$1004,0))&amp;"",""))</f>
        <v/>
      </c>
      <c r="L465" s="26">
        <f>IF(H465="","",SUMIFS(VENDAS!$F$5:$F$1004,VENDAS!$A$5:$A$1004,H465))</f>
        <v/>
      </c>
      <c r="M465" s="26">
        <f>IF(H465="","",SUMIFS(VENDAS!$F$5:$F$1004,VENDAS!$A$5:$A$1004,H465,VENDAS!$D$5:$D$1004,M$4))</f>
        <v/>
      </c>
      <c r="N465" s="26">
        <f>IF(H465="","",SUMIFS(VENDAS!$F$5:$F$1004,VENDAS!$A$5:$A$1004,H465,VENDAS!$D$5:$D$1004,N$4))</f>
        <v/>
      </c>
      <c r="O465" s="26">
        <f>IF(H465="","",SUMIFS(VENDAS!$F$5:$F$1004,VENDAS!$A$5:$A$1004,H465,VENDAS!$D$5:$D$1004,O$4))</f>
        <v/>
      </c>
      <c r="P465" s="26">
        <f>IF(H465="","",SUMIFS(VENDAS!$F$5:$F$1004,VENDAS!$A$5:$A$1004,H465,VENDAS!$D$5:$D$1004,P$4))</f>
        <v/>
      </c>
      <c r="Q465" s="24">
        <f>IF(H465="","",SUMIFS(VENDAS!$H$5:$H$1004,VENDAS!$A$5:$A$1004,H465))</f>
        <v/>
      </c>
      <c r="R465" s="24">
        <f>IF(H465="","",SUMIFS(VENDAS!$K$5:$K$1004,VENDAS!$A$5:$A$1004,H465))</f>
        <v/>
      </c>
      <c r="S465" s="20" t="n"/>
      <c r="T465" s="31" t="n"/>
    </row>
    <row r="466">
      <c r="H466" s="20" t="n"/>
      <c r="I466" s="30">
        <f>IF(H466="","",IFERROR(INDEX(VENDAS!$B$5:$B$1004,MATCH(H466,VENDAS!$A$5:$A$1004,0)),"não lançado"))</f>
        <v/>
      </c>
      <c r="J466" s="22">
        <f>IF(H466="","",IFERROR(INDEX(VENDAS!$M$5:$M$1004,MATCH(H466,VENDAS!$A$5:$A$1004,0))&amp;"",""))</f>
        <v/>
      </c>
      <c r="K466" s="22">
        <f>IF(H466="","",IFERROR(INDEX(VENDAS!$J$5:$J$1004,MATCH(H466,VENDAS!$A$5:$A$1004,0))&amp;"",""))</f>
        <v/>
      </c>
      <c r="L466" s="26">
        <f>IF(H466="","",SUMIFS(VENDAS!$F$5:$F$1004,VENDAS!$A$5:$A$1004,H466))</f>
        <v/>
      </c>
      <c r="M466" s="26">
        <f>IF(H466="","",SUMIFS(VENDAS!$F$5:$F$1004,VENDAS!$A$5:$A$1004,H466,VENDAS!$D$5:$D$1004,M$4))</f>
        <v/>
      </c>
      <c r="N466" s="26">
        <f>IF(H466="","",SUMIFS(VENDAS!$F$5:$F$1004,VENDAS!$A$5:$A$1004,H466,VENDAS!$D$5:$D$1004,N$4))</f>
        <v/>
      </c>
      <c r="O466" s="26">
        <f>IF(H466="","",SUMIFS(VENDAS!$F$5:$F$1004,VENDAS!$A$5:$A$1004,H466,VENDAS!$D$5:$D$1004,O$4))</f>
        <v/>
      </c>
      <c r="P466" s="26">
        <f>IF(H466="","",SUMIFS(VENDAS!$F$5:$F$1004,VENDAS!$A$5:$A$1004,H466,VENDAS!$D$5:$D$1004,P$4))</f>
        <v/>
      </c>
      <c r="Q466" s="24">
        <f>IF(H466="","",SUMIFS(VENDAS!$H$5:$H$1004,VENDAS!$A$5:$A$1004,H466))</f>
        <v/>
      </c>
      <c r="R466" s="24">
        <f>IF(H466="","",SUMIFS(VENDAS!$K$5:$K$1004,VENDAS!$A$5:$A$1004,H466))</f>
        <v/>
      </c>
      <c r="S466" s="20" t="n"/>
      <c r="T466" s="31" t="n"/>
    </row>
    <row r="467">
      <c r="H467" s="20" t="n"/>
      <c r="I467" s="30">
        <f>IF(H467="","",IFERROR(INDEX(VENDAS!$B$5:$B$1004,MATCH(H467,VENDAS!$A$5:$A$1004,0)),"não lançado"))</f>
        <v/>
      </c>
      <c r="J467" s="22">
        <f>IF(H467="","",IFERROR(INDEX(VENDAS!$M$5:$M$1004,MATCH(H467,VENDAS!$A$5:$A$1004,0))&amp;"",""))</f>
        <v/>
      </c>
      <c r="K467" s="22">
        <f>IF(H467="","",IFERROR(INDEX(VENDAS!$J$5:$J$1004,MATCH(H467,VENDAS!$A$5:$A$1004,0))&amp;"",""))</f>
        <v/>
      </c>
      <c r="L467" s="26">
        <f>IF(H467="","",SUMIFS(VENDAS!$F$5:$F$1004,VENDAS!$A$5:$A$1004,H467))</f>
        <v/>
      </c>
      <c r="M467" s="26">
        <f>IF(H467="","",SUMIFS(VENDAS!$F$5:$F$1004,VENDAS!$A$5:$A$1004,H467,VENDAS!$D$5:$D$1004,M$4))</f>
        <v/>
      </c>
      <c r="N467" s="26">
        <f>IF(H467="","",SUMIFS(VENDAS!$F$5:$F$1004,VENDAS!$A$5:$A$1004,H467,VENDAS!$D$5:$D$1004,N$4))</f>
        <v/>
      </c>
      <c r="O467" s="26">
        <f>IF(H467="","",SUMIFS(VENDAS!$F$5:$F$1004,VENDAS!$A$5:$A$1004,H467,VENDAS!$D$5:$D$1004,O$4))</f>
        <v/>
      </c>
      <c r="P467" s="26">
        <f>IF(H467="","",SUMIFS(VENDAS!$F$5:$F$1004,VENDAS!$A$5:$A$1004,H467,VENDAS!$D$5:$D$1004,P$4))</f>
        <v/>
      </c>
      <c r="Q467" s="24">
        <f>IF(H467="","",SUMIFS(VENDAS!$H$5:$H$1004,VENDAS!$A$5:$A$1004,H467))</f>
        <v/>
      </c>
      <c r="R467" s="24">
        <f>IF(H467="","",SUMIFS(VENDAS!$K$5:$K$1004,VENDAS!$A$5:$A$1004,H467))</f>
        <v/>
      </c>
      <c r="S467" s="20" t="n"/>
      <c r="T467" s="31" t="n"/>
    </row>
    <row r="468">
      <c r="H468" s="20" t="n"/>
      <c r="I468" s="30">
        <f>IF(H468="","",IFERROR(INDEX(VENDAS!$B$5:$B$1004,MATCH(H468,VENDAS!$A$5:$A$1004,0)),"não lançado"))</f>
        <v/>
      </c>
      <c r="J468" s="22">
        <f>IF(H468="","",IFERROR(INDEX(VENDAS!$M$5:$M$1004,MATCH(H468,VENDAS!$A$5:$A$1004,0))&amp;"",""))</f>
        <v/>
      </c>
      <c r="K468" s="22">
        <f>IF(H468="","",IFERROR(INDEX(VENDAS!$J$5:$J$1004,MATCH(H468,VENDAS!$A$5:$A$1004,0))&amp;"",""))</f>
        <v/>
      </c>
      <c r="L468" s="26">
        <f>IF(H468="","",SUMIFS(VENDAS!$F$5:$F$1004,VENDAS!$A$5:$A$1004,H468))</f>
        <v/>
      </c>
      <c r="M468" s="26">
        <f>IF(H468="","",SUMIFS(VENDAS!$F$5:$F$1004,VENDAS!$A$5:$A$1004,H468,VENDAS!$D$5:$D$1004,M$4))</f>
        <v/>
      </c>
      <c r="N468" s="26">
        <f>IF(H468="","",SUMIFS(VENDAS!$F$5:$F$1004,VENDAS!$A$5:$A$1004,H468,VENDAS!$D$5:$D$1004,N$4))</f>
        <v/>
      </c>
      <c r="O468" s="26">
        <f>IF(H468="","",SUMIFS(VENDAS!$F$5:$F$1004,VENDAS!$A$5:$A$1004,H468,VENDAS!$D$5:$D$1004,O$4))</f>
        <v/>
      </c>
      <c r="P468" s="26">
        <f>IF(H468="","",SUMIFS(VENDAS!$F$5:$F$1004,VENDAS!$A$5:$A$1004,H468,VENDAS!$D$5:$D$1004,P$4))</f>
        <v/>
      </c>
      <c r="Q468" s="24">
        <f>IF(H468="","",SUMIFS(VENDAS!$H$5:$H$1004,VENDAS!$A$5:$A$1004,H468))</f>
        <v/>
      </c>
      <c r="R468" s="24">
        <f>IF(H468="","",SUMIFS(VENDAS!$K$5:$K$1004,VENDAS!$A$5:$A$1004,H468))</f>
        <v/>
      </c>
      <c r="S468" s="20" t="n"/>
      <c r="T468" s="31" t="n"/>
    </row>
    <row r="469">
      <c r="H469" s="20" t="n"/>
      <c r="I469" s="30">
        <f>IF(H469="","",IFERROR(INDEX(VENDAS!$B$5:$B$1004,MATCH(H469,VENDAS!$A$5:$A$1004,0)),"não lançado"))</f>
        <v/>
      </c>
      <c r="J469" s="22">
        <f>IF(H469="","",IFERROR(INDEX(VENDAS!$M$5:$M$1004,MATCH(H469,VENDAS!$A$5:$A$1004,0))&amp;"",""))</f>
        <v/>
      </c>
      <c r="K469" s="22">
        <f>IF(H469="","",IFERROR(INDEX(VENDAS!$J$5:$J$1004,MATCH(H469,VENDAS!$A$5:$A$1004,0))&amp;"",""))</f>
        <v/>
      </c>
      <c r="L469" s="26">
        <f>IF(H469="","",SUMIFS(VENDAS!$F$5:$F$1004,VENDAS!$A$5:$A$1004,H469))</f>
        <v/>
      </c>
      <c r="M469" s="26">
        <f>IF(H469="","",SUMIFS(VENDAS!$F$5:$F$1004,VENDAS!$A$5:$A$1004,H469,VENDAS!$D$5:$D$1004,M$4))</f>
        <v/>
      </c>
      <c r="N469" s="26">
        <f>IF(H469="","",SUMIFS(VENDAS!$F$5:$F$1004,VENDAS!$A$5:$A$1004,H469,VENDAS!$D$5:$D$1004,N$4))</f>
        <v/>
      </c>
      <c r="O469" s="26">
        <f>IF(H469="","",SUMIFS(VENDAS!$F$5:$F$1004,VENDAS!$A$5:$A$1004,H469,VENDAS!$D$5:$D$1004,O$4))</f>
        <v/>
      </c>
      <c r="P469" s="26">
        <f>IF(H469="","",SUMIFS(VENDAS!$F$5:$F$1004,VENDAS!$A$5:$A$1004,H469,VENDAS!$D$5:$D$1004,P$4))</f>
        <v/>
      </c>
      <c r="Q469" s="24">
        <f>IF(H469="","",SUMIFS(VENDAS!$H$5:$H$1004,VENDAS!$A$5:$A$1004,H469))</f>
        <v/>
      </c>
      <c r="R469" s="24">
        <f>IF(H469="","",SUMIFS(VENDAS!$K$5:$K$1004,VENDAS!$A$5:$A$1004,H469))</f>
        <v/>
      </c>
      <c r="S469" s="20" t="n"/>
      <c r="T469" s="31" t="n"/>
    </row>
    <row r="470">
      <c r="H470" s="20" t="n"/>
      <c r="I470" s="30">
        <f>IF(H470="","",IFERROR(INDEX(VENDAS!$B$5:$B$1004,MATCH(H470,VENDAS!$A$5:$A$1004,0)),"não lançado"))</f>
        <v/>
      </c>
      <c r="J470" s="22">
        <f>IF(H470="","",IFERROR(INDEX(VENDAS!$M$5:$M$1004,MATCH(H470,VENDAS!$A$5:$A$1004,0))&amp;"",""))</f>
        <v/>
      </c>
      <c r="K470" s="22">
        <f>IF(H470="","",IFERROR(INDEX(VENDAS!$J$5:$J$1004,MATCH(H470,VENDAS!$A$5:$A$1004,0))&amp;"",""))</f>
        <v/>
      </c>
      <c r="L470" s="26">
        <f>IF(H470="","",SUMIFS(VENDAS!$F$5:$F$1004,VENDAS!$A$5:$A$1004,H470))</f>
        <v/>
      </c>
      <c r="M470" s="26">
        <f>IF(H470="","",SUMIFS(VENDAS!$F$5:$F$1004,VENDAS!$A$5:$A$1004,H470,VENDAS!$D$5:$D$1004,M$4))</f>
        <v/>
      </c>
      <c r="N470" s="26">
        <f>IF(H470="","",SUMIFS(VENDAS!$F$5:$F$1004,VENDAS!$A$5:$A$1004,H470,VENDAS!$D$5:$D$1004,N$4))</f>
        <v/>
      </c>
      <c r="O470" s="26">
        <f>IF(H470="","",SUMIFS(VENDAS!$F$5:$F$1004,VENDAS!$A$5:$A$1004,H470,VENDAS!$D$5:$D$1004,O$4))</f>
        <v/>
      </c>
      <c r="P470" s="26">
        <f>IF(H470="","",SUMIFS(VENDAS!$F$5:$F$1004,VENDAS!$A$5:$A$1004,H470,VENDAS!$D$5:$D$1004,P$4))</f>
        <v/>
      </c>
      <c r="Q470" s="24">
        <f>IF(H470="","",SUMIFS(VENDAS!$H$5:$H$1004,VENDAS!$A$5:$A$1004,H470))</f>
        <v/>
      </c>
      <c r="R470" s="24">
        <f>IF(H470="","",SUMIFS(VENDAS!$K$5:$K$1004,VENDAS!$A$5:$A$1004,H470))</f>
        <v/>
      </c>
      <c r="S470" s="20" t="n"/>
      <c r="T470" s="31" t="n"/>
    </row>
    <row r="471">
      <c r="H471" s="20" t="n"/>
      <c r="I471" s="30">
        <f>IF(H471="","",IFERROR(INDEX(VENDAS!$B$5:$B$1004,MATCH(H471,VENDAS!$A$5:$A$1004,0)),"não lançado"))</f>
        <v/>
      </c>
      <c r="J471" s="22">
        <f>IF(H471="","",IFERROR(INDEX(VENDAS!$M$5:$M$1004,MATCH(H471,VENDAS!$A$5:$A$1004,0))&amp;"",""))</f>
        <v/>
      </c>
      <c r="K471" s="22">
        <f>IF(H471="","",IFERROR(INDEX(VENDAS!$J$5:$J$1004,MATCH(H471,VENDAS!$A$5:$A$1004,0))&amp;"",""))</f>
        <v/>
      </c>
      <c r="L471" s="26">
        <f>IF(H471="","",SUMIFS(VENDAS!$F$5:$F$1004,VENDAS!$A$5:$A$1004,H471))</f>
        <v/>
      </c>
      <c r="M471" s="26">
        <f>IF(H471="","",SUMIFS(VENDAS!$F$5:$F$1004,VENDAS!$A$5:$A$1004,H471,VENDAS!$D$5:$D$1004,M$4))</f>
        <v/>
      </c>
      <c r="N471" s="26">
        <f>IF(H471="","",SUMIFS(VENDAS!$F$5:$F$1004,VENDAS!$A$5:$A$1004,H471,VENDAS!$D$5:$D$1004,N$4))</f>
        <v/>
      </c>
      <c r="O471" s="26">
        <f>IF(H471="","",SUMIFS(VENDAS!$F$5:$F$1004,VENDAS!$A$5:$A$1004,H471,VENDAS!$D$5:$D$1004,O$4))</f>
        <v/>
      </c>
      <c r="P471" s="26">
        <f>IF(H471="","",SUMIFS(VENDAS!$F$5:$F$1004,VENDAS!$A$5:$A$1004,H471,VENDAS!$D$5:$D$1004,P$4))</f>
        <v/>
      </c>
      <c r="Q471" s="24">
        <f>IF(H471="","",SUMIFS(VENDAS!$H$5:$H$1004,VENDAS!$A$5:$A$1004,H471))</f>
        <v/>
      </c>
      <c r="R471" s="24">
        <f>IF(H471="","",SUMIFS(VENDAS!$K$5:$K$1004,VENDAS!$A$5:$A$1004,H471))</f>
        <v/>
      </c>
      <c r="S471" s="20" t="n"/>
      <c r="T471" s="31" t="n"/>
    </row>
    <row r="472">
      <c r="H472" s="20" t="n"/>
      <c r="I472" s="30">
        <f>IF(H472="","",IFERROR(INDEX(VENDAS!$B$5:$B$1004,MATCH(H472,VENDAS!$A$5:$A$1004,0)),"não lançado"))</f>
        <v/>
      </c>
      <c r="J472" s="22">
        <f>IF(H472="","",IFERROR(INDEX(VENDAS!$M$5:$M$1004,MATCH(H472,VENDAS!$A$5:$A$1004,0))&amp;"",""))</f>
        <v/>
      </c>
      <c r="K472" s="22">
        <f>IF(H472="","",IFERROR(INDEX(VENDAS!$J$5:$J$1004,MATCH(H472,VENDAS!$A$5:$A$1004,0))&amp;"",""))</f>
        <v/>
      </c>
      <c r="L472" s="26">
        <f>IF(H472="","",SUMIFS(VENDAS!$F$5:$F$1004,VENDAS!$A$5:$A$1004,H472))</f>
        <v/>
      </c>
      <c r="M472" s="26">
        <f>IF(H472="","",SUMIFS(VENDAS!$F$5:$F$1004,VENDAS!$A$5:$A$1004,H472,VENDAS!$D$5:$D$1004,M$4))</f>
        <v/>
      </c>
      <c r="N472" s="26">
        <f>IF(H472="","",SUMIFS(VENDAS!$F$5:$F$1004,VENDAS!$A$5:$A$1004,H472,VENDAS!$D$5:$D$1004,N$4))</f>
        <v/>
      </c>
      <c r="O472" s="26">
        <f>IF(H472="","",SUMIFS(VENDAS!$F$5:$F$1004,VENDAS!$A$5:$A$1004,H472,VENDAS!$D$5:$D$1004,O$4))</f>
        <v/>
      </c>
      <c r="P472" s="26">
        <f>IF(H472="","",SUMIFS(VENDAS!$F$5:$F$1004,VENDAS!$A$5:$A$1004,H472,VENDAS!$D$5:$D$1004,P$4))</f>
        <v/>
      </c>
      <c r="Q472" s="24">
        <f>IF(H472="","",SUMIFS(VENDAS!$H$5:$H$1004,VENDAS!$A$5:$A$1004,H472))</f>
        <v/>
      </c>
      <c r="R472" s="24">
        <f>IF(H472="","",SUMIFS(VENDAS!$K$5:$K$1004,VENDAS!$A$5:$A$1004,H472))</f>
        <v/>
      </c>
      <c r="S472" s="20" t="n"/>
      <c r="T472" s="31" t="n"/>
    </row>
    <row r="473">
      <c r="H473" s="20" t="n"/>
      <c r="I473" s="30">
        <f>IF(H473="","",IFERROR(INDEX(VENDAS!$B$5:$B$1004,MATCH(H473,VENDAS!$A$5:$A$1004,0)),"não lançado"))</f>
        <v/>
      </c>
      <c r="J473" s="22">
        <f>IF(H473="","",IFERROR(INDEX(VENDAS!$M$5:$M$1004,MATCH(H473,VENDAS!$A$5:$A$1004,0))&amp;"",""))</f>
        <v/>
      </c>
      <c r="K473" s="22">
        <f>IF(H473="","",IFERROR(INDEX(VENDAS!$J$5:$J$1004,MATCH(H473,VENDAS!$A$5:$A$1004,0))&amp;"",""))</f>
        <v/>
      </c>
      <c r="L473" s="26">
        <f>IF(H473="","",SUMIFS(VENDAS!$F$5:$F$1004,VENDAS!$A$5:$A$1004,H473))</f>
        <v/>
      </c>
      <c r="M473" s="26">
        <f>IF(H473="","",SUMIFS(VENDAS!$F$5:$F$1004,VENDAS!$A$5:$A$1004,H473,VENDAS!$D$5:$D$1004,M$4))</f>
        <v/>
      </c>
      <c r="N473" s="26">
        <f>IF(H473="","",SUMIFS(VENDAS!$F$5:$F$1004,VENDAS!$A$5:$A$1004,H473,VENDAS!$D$5:$D$1004,N$4))</f>
        <v/>
      </c>
      <c r="O473" s="26">
        <f>IF(H473="","",SUMIFS(VENDAS!$F$5:$F$1004,VENDAS!$A$5:$A$1004,H473,VENDAS!$D$5:$D$1004,O$4))</f>
        <v/>
      </c>
      <c r="P473" s="26">
        <f>IF(H473="","",SUMIFS(VENDAS!$F$5:$F$1004,VENDAS!$A$5:$A$1004,H473,VENDAS!$D$5:$D$1004,P$4))</f>
        <v/>
      </c>
      <c r="Q473" s="24">
        <f>IF(H473="","",SUMIFS(VENDAS!$H$5:$H$1004,VENDAS!$A$5:$A$1004,H473))</f>
        <v/>
      </c>
      <c r="R473" s="24">
        <f>IF(H473="","",SUMIFS(VENDAS!$K$5:$K$1004,VENDAS!$A$5:$A$1004,H473))</f>
        <v/>
      </c>
      <c r="S473" s="20" t="n"/>
      <c r="T473" s="31" t="n"/>
    </row>
    <row r="474">
      <c r="H474" s="20" t="n"/>
      <c r="I474" s="30">
        <f>IF(H474="","",IFERROR(INDEX(VENDAS!$B$5:$B$1004,MATCH(H474,VENDAS!$A$5:$A$1004,0)),"não lançado"))</f>
        <v/>
      </c>
      <c r="J474" s="22">
        <f>IF(H474="","",IFERROR(INDEX(VENDAS!$M$5:$M$1004,MATCH(H474,VENDAS!$A$5:$A$1004,0))&amp;"",""))</f>
        <v/>
      </c>
      <c r="K474" s="22">
        <f>IF(H474="","",IFERROR(INDEX(VENDAS!$J$5:$J$1004,MATCH(H474,VENDAS!$A$5:$A$1004,0))&amp;"",""))</f>
        <v/>
      </c>
      <c r="L474" s="26">
        <f>IF(H474="","",SUMIFS(VENDAS!$F$5:$F$1004,VENDAS!$A$5:$A$1004,H474))</f>
        <v/>
      </c>
      <c r="M474" s="26">
        <f>IF(H474="","",SUMIFS(VENDAS!$F$5:$F$1004,VENDAS!$A$5:$A$1004,H474,VENDAS!$D$5:$D$1004,M$4))</f>
        <v/>
      </c>
      <c r="N474" s="26">
        <f>IF(H474="","",SUMIFS(VENDAS!$F$5:$F$1004,VENDAS!$A$5:$A$1004,H474,VENDAS!$D$5:$D$1004,N$4))</f>
        <v/>
      </c>
      <c r="O474" s="26">
        <f>IF(H474="","",SUMIFS(VENDAS!$F$5:$F$1004,VENDAS!$A$5:$A$1004,H474,VENDAS!$D$5:$D$1004,O$4))</f>
        <v/>
      </c>
      <c r="P474" s="26">
        <f>IF(H474="","",SUMIFS(VENDAS!$F$5:$F$1004,VENDAS!$A$5:$A$1004,H474,VENDAS!$D$5:$D$1004,P$4))</f>
        <v/>
      </c>
      <c r="Q474" s="24">
        <f>IF(H474="","",SUMIFS(VENDAS!$H$5:$H$1004,VENDAS!$A$5:$A$1004,H474))</f>
        <v/>
      </c>
      <c r="R474" s="24">
        <f>IF(H474="","",SUMIFS(VENDAS!$K$5:$K$1004,VENDAS!$A$5:$A$1004,H474))</f>
        <v/>
      </c>
      <c r="S474" s="20" t="n"/>
      <c r="T474" s="31" t="n"/>
    </row>
    <row r="475">
      <c r="H475" s="20" t="n"/>
      <c r="I475" s="30">
        <f>IF(H475="","",IFERROR(INDEX(VENDAS!$B$5:$B$1004,MATCH(H475,VENDAS!$A$5:$A$1004,0)),"não lançado"))</f>
        <v/>
      </c>
      <c r="J475" s="22">
        <f>IF(H475="","",IFERROR(INDEX(VENDAS!$M$5:$M$1004,MATCH(H475,VENDAS!$A$5:$A$1004,0))&amp;"",""))</f>
        <v/>
      </c>
      <c r="K475" s="22">
        <f>IF(H475="","",IFERROR(INDEX(VENDAS!$J$5:$J$1004,MATCH(H475,VENDAS!$A$5:$A$1004,0))&amp;"",""))</f>
        <v/>
      </c>
      <c r="L475" s="26">
        <f>IF(H475="","",SUMIFS(VENDAS!$F$5:$F$1004,VENDAS!$A$5:$A$1004,H475))</f>
        <v/>
      </c>
      <c r="M475" s="26">
        <f>IF(H475="","",SUMIFS(VENDAS!$F$5:$F$1004,VENDAS!$A$5:$A$1004,H475,VENDAS!$D$5:$D$1004,M$4))</f>
        <v/>
      </c>
      <c r="N475" s="26">
        <f>IF(H475="","",SUMIFS(VENDAS!$F$5:$F$1004,VENDAS!$A$5:$A$1004,H475,VENDAS!$D$5:$D$1004,N$4))</f>
        <v/>
      </c>
      <c r="O475" s="26">
        <f>IF(H475="","",SUMIFS(VENDAS!$F$5:$F$1004,VENDAS!$A$5:$A$1004,H475,VENDAS!$D$5:$D$1004,O$4))</f>
        <v/>
      </c>
      <c r="P475" s="26">
        <f>IF(H475="","",SUMIFS(VENDAS!$F$5:$F$1004,VENDAS!$A$5:$A$1004,H475,VENDAS!$D$5:$D$1004,P$4))</f>
        <v/>
      </c>
      <c r="Q475" s="24">
        <f>IF(H475="","",SUMIFS(VENDAS!$H$5:$H$1004,VENDAS!$A$5:$A$1004,H475))</f>
        <v/>
      </c>
      <c r="R475" s="24">
        <f>IF(H475="","",SUMIFS(VENDAS!$K$5:$K$1004,VENDAS!$A$5:$A$1004,H475))</f>
        <v/>
      </c>
      <c r="S475" s="20" t="n"/>
      <c r="T475" s="31" t="n"/>
    </row>
    <row r="476">
      <c r="H476" s="20" t="n"/>
      <c r="I476" s="30">
        <f>IF(H476="","",IFERROR(INDEX(VENDAS!$B$5:$B$1004,MATCH(H476,VENDAS!$A$5:$A$1004,0)),"não lançado"))</f>
        <v/>
      </c>
      <c r="J476" s="22">
        <f>IF(H476="","",IFERROR(INDEX(VENDAS!$M$5:$M$1004,MATCH(H476,VENDAS!$A$5:$A$1004,0))&amp;"",""))</f>
        <v/>
      </c>
      <c r="K476" s="22">
        <f>IF(H476="","",IFERROR(INDEX(VENDAS!$J$5:$J$1004,MATCH(H476,VENDAS!$A$5:$A$1004,0))&amp;"",""))</f>
        <v/>
      </c>
      <c r="L476" s="26">
        <f>IF(H476="","",SUMIFS(VENDAS!$F$5:$F$1004,VENDAS!$A$5:$A$1004,H476))</f>
        <v/>
      </c>
      <c r="M476" s="26">
        <f>IF(H476="","",SUMIFS(VENDAS!$F$5:$F$1004,VENDAS!$A$5:$A$1004,H476,VENDAS!$D$5:$D$1004,M$4))</f>
        <v/>
      </c>
      <c r="N476" s="26">
        <f>IF(H476="","",SUMIFS(VENDAS!$F$5:$F$1004,VENDAS!$A$5:$A$1004,H476,VENDAS!$D$5:$D$1004,N$4))</f>
        <v/>
      </c>
      <c r="O476" s="26">
        <f>IF(H476="","",SUMIFS(VENDAS!$F$5:$F$1004,VENDAS!$A$5:$A$1004,H476,VENDAS!$D$5:$D$1004,O$4))</f>
        <v/>
      </c>
      <c r="P476" s="26">
        <f>IF(H476="","",SUMIFS(VENDAS!$F$5:$F$1004,VENDAS!$A$5:$A$1004,H476,VENDAS!$D$5:$D$1004,P$4))</f>
        <v/>
      </c>
      <c r="Q476" s="24">
        <f>IF(H476="","",SUMIFS(VENDAS!$H$5:$H$1004,VENDAS!$A$5:$A$1004,H476))</f>
        <v/>
      </c>
      <c r="R476" s="24">
        <f>IF(H476="","",SUMIFS(VENDAS!$K$5:$K$1004,VENDAS!$A$5:$A$1004,H476))</f>
        <v/>
      </c>
      <c r="S476" s="20" t="n"/>
      <c r="T476" s="31" t="n"/>
    </row>
    <row r="477">
      <c r="H477" s="20" t="n"/>
      <c r="I477" s="30">
        <f>IF(H477="","",IFERROR(INDEX(VENDAS!$B$5:$B$1004,MATCH(H477,VENDAS!$A$5:$A$1004,0)),"não lançado"))</f>
        <v/>
      </c>
      <c r="J477" s="22">
        <f>IF(H477="","",IFERROR(INDEX(VENDAS!$M$5:$M$1004,MATCH(H477,VENDAS!$A$5:$A$1004,0))&amp;"",""))</f>
        <v/>
      </c>
      <c r="K477" s="22">
        <f>IF(H477="","",IFERROR(INDEX(VENDAS!$J$5:$J$1004,MATCH(H477,VENDAS!$A$5:$A$1004,0))&amp;"",""))</f>
        <v/>
      </c>
      <c r="L477" s="26">
        <f>IF(H477="","",SUMIFS(VENDAS!$F$5:$F$1004,VENDAS!$A$5:$A$1004,H477))</f>
        <v/>
      </c>
      <c r="M477" s="26">
        <f>IF(H477="","",SUMIFS(VENDAS!$F$5:$F$1004,VENDAS!$A$5:$A$1004,H477,VENDAS!$D$5:$D$1004,M$4))</f>
        <v/>
      </c>
      <c r="N477" s="26">
        <f>IF(H477="","",SUMIFS(VENDAS!$F$5:$F$1004,VENDAS!$A$5:$A$1004,H477,VENDAS!$D$5:$D$1004,N$4))</f>
        <v/>
      </c>
      <c r="O477" s="26">
        <f>IF(H477="","",SUMIFS(VENDAS!$F$5:$F$1004,VENDAS!$A$5:$A$1004,H477,VENDAS!$D$5:$D$1004,O$4))</f>
        <v/>
      </c>
      <c r="P477" s="26">
        <f>IF(H477="","",SUMIFS(VENDAS!$F$5:$F$1004,VENDAS!$A$5:$A$1004,H477,VENDAS!$D$5:$D$1004,P$4))</f>
        <v/>
      </c>
      <c r="Q477" s="24">
        <f>IF(H477="","",SUMIFS(VENDAS!$H$5:$H$1004,VENDAS!$A$5:$A$1004,H477))</f>
        <v/>
      </c>
      <c r="R477" s="24">
        <f>IF(H477="","",SUMIFS(VENDAS!$K$5:$K$1004,VENDAS!$A$5:$A$1004,H477))</f>
        <v/>
      </c>
      <c r="S477" s="20" t="n"/>
      <c r="T477" s="31" t="n"/>
    </row>
    <row r="478">
      <c r="H478" s="20" t="n"/>
      <c r="I478" s="30">
        <f>IF(H478="","",IFERROR(INDEX(VENDAS!$B$5:$B$1004,MATCH(H478,VENDAS!$A$5:$A$1004,0)),"não lançado"))</f>
        <v/>
      </c>
      <c r="J478" s="22">
        <f>IF(H478="","",IFERROR(INDEX(VENDAS!$M$5:$M$1004,MATCH(H478,VENDAS!$A$5:$A$1004,0))&amp;"",""))</f>
        <v/>
      </c>
      <c r="K478" s="22">
        <f>IF(H478="","",IFERROR(INDEX(VENDAS!$J$5:$J$1004,MATCH(H478,VENDAS!$A$5:$A$1004,0))&amp;"",""))</f>
        <v/>
      </c>
      <c r="L478" s="26">
        <f>IF(H478="","",SUMIFS(VENDAS!$F$5:$F$1004,VENDAS!$A$5:$A$1004,H478))</f>
        <v/>
      </c>
      <c r="M478" s="26">
        <f>IF(H478="","",SUMIFS(VENDAS!$F$5:$F$1004,VENDAS!$A$5:$A$1004,H478,VENDAS!$D$5:$D$1004,M$4))</f>
        <v/>
      </c>
      <c r="N478" s="26">
        <f>IF(H478="","",SUMIFS(VENDAS!$F$5:$F$1004,VENDAS!$A$5:$A$1004,H478,VENDAS!$D$5:$D$1004,N$4))</f>
        <v/>
      </c>
      <c r="O478" s="26">
        <f>IF(H478="","",SUMIFS(VENDAS!$F$5:$F$1004,VENDAS!$A$5:$A$1004,H478,VENDAS!$D$5:$D$1004,O$4))</f>
        <v/>
      </c>
      <c r="P478" s="26">
        <f>IF(H478="","",SUMIFS(VENDAS!$F$5:$F$1004,VENDAS!$A$5:$A$1004,H478,VENDAS!$D$5:$D$1004,P$4))</f>
        <v/>
      </c>
      <c r="Q478" s="24">
        <f>IF(H478="","",SUMIFS(VENDAS!$H$5:$H$1004,VENDAS!$A$5:$A$1004,H478))</f>
        <v/>
      </c>
      <c r="R478" s="24">
        <f>IF(H478="","",SUMIFS(VENDAS!$K$5:$K$1004,VENDAS!$A$5:$A$1004,H478))</f>
        <v/>
      </c>
      <c r="S478" s="20" t="n"/>
      <c r="T478" s="31" t="n"/>
    </row>
    <row r="479">
      <c r="H479" s="20" t="n"/>
      <c r="I479" s="30">
        <f>IF(H479="","",IFERROR(INDEX(VENDAS!$B$5:$B$1004,MATCH(H479,VENDAS!$A$5:$A$1004,0)),"não lançado"))</f>
        <v/>
      </c>
      <c r="J479" s="22">
        <f>IF(H479="","",IFERROR(INDEX(VENDAS!$M$5:$M$1004,MATCH(H479,VENDAS!$A$5:$A$1004,0))&amp;"",""))</f>
        <v/>
      </c>
      <c r="K479" s="22">
        <f>IF(H479="","",IFERROR(INDEX(VENDAS!$J$5:$J$1004,MATCH(H479,VENDAS!$A$5:$A$1004,0))&amp;"",""))</f>
        <v/>
      </c>
      <c r="L479" s="26">
        <f>IF(H479="","",SUMIFS(VENDAS!$F$5:$F$1004,VENDAS!$A$5:$A$1004,H479))</f>
        <v/>
      </c>
      <c r="M479" s="26">
        <f>IF(H479="","",SUMIFS(VENDAS!$F$5:$F$1004,VENDAS!$A$5:$A$1004,H479,VENDAS!$D$5:$D$1004,M$4))</f>
        <v/>
      </c>
      <c r="N479" s="26">
        <f>IF(H479="","",SUMIFS(VENDAS!$F$5:$F$1004,VENDAS!$A$5:$A$1004,H479,VENDAS!$D$5:$D$1004,N$4))</f>
        <v/>
      </c>
      <c r="O479" s="26">
        <f>IF(H479="","",SUMIFS(VENDAS!$F$5:$F$1004,VENDAS!$A$5:$A$1004,H479,VENDAS!$D$5:$D$1004,O$4))</f>
        <v/>
      </c>
      <c r="P479" s="26">
        <f>IF(H479="","",SUMIFS(VENDAS!$F$5:$F$1004,VENDAS!$A$5:$A$1004,H479,VENDAS!$D$5:$D$1004,P$4))</f>
        <v/>
      </c>
      <c r="Q479" s="24">
        <f>IF(H479="","",SUMIFS(VENDAS!$H$5:$H$1004,VENDAS!$A$5:$A$1004,H479))</f>
        <v/>
      </c>
      <c r="R479" s="24">
        <f>IF(H479="","",SUMIFS(VENDAS!$K$5:$K$1004,VENDAS!$A$5:$A$1004,H479))</f>
        <v/>
      </c>
      <c r="S479" s="20" t="n"/>
      <c r="T479" s="31" t="n"/>
    </row>
    <row r="480">
      <c r="H480" s="20" t="n"/>
      <c r="I480" s="30">
        <f>IF(H480="","",IFERROR(INDEX(VENDAS!$B$5:$B$1004,MATCH(H480,VENDAS!$A$5:$A$1004,0)),"não lançado"))</f>
        <v/>
      </c>
      <c r="J480" s="22">
        <f>IF(H480="","",IFERROR(INDEX(VENDAS!$M$5:$M$1004,MATCH(H480,VENDAS!$A$5:$A$1004,0))&amp;"",""))</f>
        <v/>
      </c>
      <c r="K480" s="22">
        <f>IF(H480="","",IFERROR(INDEX(VENDAS!$J$5:$J$1004,MATCH(H480,VENDAS!$A$5:$A$1004,0))&amp;"",""))</f>
        <v/>
      </c>
      <c r="L480" s="26">
        <f>IF(H480="","",SUMIFS(VENDAS!$F$5:$F$1004,VENDAS!$A$5:$A$1004,H480))</f>
        <v/>
      </c>
      <c r="M480" s="26">
        <f>IF(H480="","",SUMIFS(VENDAS!$F$5:$F$1004,VENDAS!$A$5:$A$1004,H480,VENDAS!$D$5:$D$1004,M$4))</f>
        <v/>
      </c>
      <c r="N480" s="26">
        <f>IF(H480="","",SUMIFS(VENDAS!$F$5:$F$1004,VENDAS!$A$5:$A$1004,H480,VENDAS!$D$5:$D$1004,N$4))</f>
        <v/>
      </c>
      <c r="O480" s="26">
        <f>IF(H480="","",SUMIFS(VENDAS!$F$5:$F$1004,VENDAS!$A$5:$A$1004,H480,VENDAS!$D$5:$D$1004,O$4))</f>
        <v/>
      </c>
      <c r="P480" s="26">
        <f>IF(H480="","",SUMIFS(VENDAS!$F$5:$F$1004,VENDAS!$A$5:$A$1004,H480,VENDAS!$D$5:$D$1004,P$4))</f>
        <v/>
      </c>
      <c r="Q480" s="24">
        <f>IF(H480="","",SUMIFS(VENDAS!$H$5:$H$1004,VENDAS!$A$5:$A$1004,H480))</f>
        <v/>
      </c>
      <c r="R480" s="24">
        <f>IF(H480="","",SUMIFS(VENDAS!$K$5:$K$1004,VENDAS!$A$5:$A$1004,H480))</f>
        <v/>
      </c>
      <c r="S480" s="20" t="n"/>
      <c r="T480" s="31" t="n"/>
    </row>
    <row r="481">
      <c r="H481" s="20" t="n"/>
      <c r="I481" s="30">
        <f>IF(H481="","",IFERROR(INDEX(VENDAS!$B$5:$B$1004,MATCH(H481,VENDAS!$A$5:$A$1004,0)),"não lançado"))</f>
        <v/>
      </c>
      <c r="J481" s="22">
        <f>IF(H481="","",IFERROR(INDEX(VENDAS!$M$5:$M$1004,MATCH(H481,VENDAS!$A$5:$A$1004,0))&amp;"",""))</f>
        <v/>
      </c>
      <c r="K481" s="22">
        <f>IF(H481="","",IFERROR(INDEX(VENDAS!$J$5:$J$1004,MATCH(H481,VENDAS!$A$5:$A$1004,0))&amp;"",""))</f>
        <v/>
      </c>
      <c r="L481" s="26">
        <f>IF(H481="","",SUMIFS(VENDAS!$F$5:$F$1004,VENDAS!$A$5:$A$1004,H481))</f>
        <v/>
      </c>
      <c r="M481" s="26">
        <f>IF(H481="","",SUMIFS(VENDAS!$F$5:$F$1004,VENDAS!$A$5:$A$1004,H481,VENDAS!$D$5:$D$1004,M$4))</f>
        <v/>
      </c>
      <c r="N481" s="26">
        <f>IF(H481="","",SUMIFS(VENDAS!$F$5:$F$1004,VENDAS!$A$5:$A$1004,H481,VENDAS!$D$5:$D$1004,N$4))</f>
        <v/>
      </c>
      <c r="O481" s="26">
        <f>IF(H481="","",SUMIFS(VENDAS!$F$5:$F$1004,VENDAS!$A$5:$A$1004,H481,VENDAS!$D$5:$D$1004,O$4))</f>
        <v/>
      </c>
      <c r="P481" s="26">
        <f>IF(H481="","",SUMIFS(VENDAS!$F$5:$F$1004,VENDAS!$A$5:$A$1004,H481,VENDAS!$D$5:$D$1004,P$4))</f>
        <v/>
      </c>
      <c r="Q481" s="24">
        <f>IF(H481="","",SUMIFS(VENDAS!$H$5:$H$1004,VENDAS!$A$5:$A$1004,H481))</f>
        <v/>
      </c>
      <c r="R481" s="24">
        <f>IF(H481="","",SUMIFS(VENDAS!$K$5:$K$1004,VENDAS!$A$5:$A$1004,H481))</f>
        <v/>
      </c>
      <c r="S481" s="20" t="n"/>
      <c r="T481" s="31" t="n"/>
    </row>
    <row r="482">
      <c r="H482" s="20" t="n"/>
      <c r="I482" s="30">
        <f>IF(H482="","",IFERROR(INDEX(VENDAS!$B$5:$B$1004,MATCH(H482,VENDAS!$A$5:$A$1004,0)),"não lançado"))</f>
        <v/>
      </c>
      <c r="J482" s="22">
        <f>IF(H482="","",IFERROR(INDEX(VENDAS!$M$5:$M$1004,MATCH(H482,VENDAS!$A$5:$A$1004,0))&amp;"",""))</f>
        <v/>
      </c>
      <c r="K482" s="22">
        <f>IF(H482="","",IFERROR(INDEX(VENDAS!$J$5:$J$1004,MATCH(H482,VENDAS!$A$5:$A$1004,0))&amp;"",""))</f>
        <v/>
      </c>
      <c r="L482" s="26">
        <f>IF(H482="","",SUMIFS(VENDAS!$F$5:$F$1004,VENDAS!$A$5:$A$1004,H482))</f>
        <v/>
      </c>
      <c r="M482" s="26">
        <f>IF(H482="","",SUMIFS(VENDAS!$F$5:$F$1004,VENDAS!$A$5:$A$1004,H482,VENDAS!$D$5:$D$1004,M$4))</f>
        <v/>
      </c>
      <c r="N482" s="26">
        <f>IF(H482="","",SUMIFS(VENDAS!$F$5:$F$1004,VENDAS!$A$5:$A$1004,H482,VENDAS!$D$5:$D$1004,N$4))</f>
        <v/>
      </c>
      <c r="O482" s="26">
        <f>IF(H482="","",SUMIFS(VENDAS!$F$5:$F$1004,VENDAS!$A$5:$A$1004,H482,VENDAS!$D$5:$D$1004,O$4))</f>
        <v/>
      </c>
      <c r="P482" s="26">
        <f>IF(H482="","",SUMIFS(VENDAS!$F$5:$F$1004,VENDAS!$A$5:$A$1004,H482,VENDAS!$D$5:$D$1004,P$4))</f>
        <v/>
      </c>
      <c r="Q482" s="24">
        <f>IF(H482="","",SUMIFS(VENDAS!$H$5:$H$1004,VENDAS!$A$5:$A$1004,H482))</f>
        <v/>
      </c>
      <c r="R482" s="24">
        <f>IF(H482="","",SUMIFS(VENDAS!$K$5:$K$1004,VENDAS!$A$5:$A$1004,H482))</f>
        <v/>
      </c>
      <c r="S482" s="20" t="n"/>
      <c r="T482" s="31" t="n"/>
    </row>
    <row r="483">
      <c r="H483" s="20" t="n"/>
      <c r="I483" s="30">
        <f>IF(H483="","",IFERROR(INDEX(VENDAS!$B$5:$B$1004,MATCH(H483,VENDAS!$A$5:$A$1004,0)),"não lançado"))</f>
        <v/>
      </c>
      <c r="J483" s="22">
        <f>IF(H483="","",IFERROR(INDEX(VENDAS!$M$5:$M$1004,MATCH(H483,VENDAS!$A$5:$A$1004,0))&amp;"",""))</f>
        <v/>
      </c>
      <c r="K483" s="22">
        <f>IF(H483="","",IFERROR(INDEX(VENDAS!$J$5:$J$1004,MATCH(H483,VENDAS!$A$5:$A$1004,0))&amp;"",""))</f>
        <v/>
      </c>
      <c r="L483" s="26">
        <f>IF(H483="","",SUMIFS(VENDAS!$F$5:$F$1004,VENDAS!$A$5:$A$1004,H483))</f>
        <v/>
      </c>
      <c r="M483" s="26">
        <f>IF(H483="","",SUMIFS(VENDAS!$F$5:$F$1004,VENDAS!$A$5:$A$1004,H483,VENDAS!$D$5:$D$1004,M$4))</f>
        <v/>
      </c>
      <c r="N483" s="26">
        <f>IF(H483="","",SUMIFS(VENDAS!$F$5:$F$1004,VENDAS!$A$5:$A$1004,H483,VENDAS!$D$5:$D$1004,N$4))</f>
        <v/>
      </c>
      <c r="O483" s="26">
        <f>IF(H483="","",SUMIFS(VENDAS!$F$5:$F$1004,VENDAS!$A$5:$A$1004,H483,VENDAS!$D$5:$D$1004,O$4))</f>
        <v/>
      </c>
      <c r="P483" s="26">
        <f>IF(H483="","",SUMIFS(VENDAS!$F$5:$F$1004,VENDAS!$A$5:$A$1004,H483,VENDAS!$D$5:$D$1004,P$4))</f>
        <v/>
      </c>
      <c r="Q483" s="24">
        <f>IF(H483="","",SUMIFS(VENDAS!$H$5:$H$1004,VENDAS!$A$5:$A$1004,H483))</f>
        <v/>
      </c>
      <c r="R483" s="24">
        <f>IF(H483="","",SUMIFS(VENDAS!$K$5:$K$1004,VENDAS!$A$5:$A$1004,H483))</f>
        <v/>
      </c>
      <c r="S483" s="20" t="n"/>
      <c r="T483" s="31" t="n"/>
    </row>
    <row r="484">
      <c r="H484" s="20" t="n"/>
      <c r="I484" s="30">
        <f>IF(H484="","",IFERROR(INDEX(VENDAS!$B$5:$B$1004,MATCH(H484,VENDAS!$A$5:$A$1004,0)),"não lançado"))</f>
        <v/>
      </c>
      <c r="J484" s="22">
        <f>IF(H484="","",IFERROR(INDEX(VENDAS!$M$5:$M$1004,MATCH(H484,VENDAS!$A$5:$A$1004,0))&amp;"",""))</f>
        <v/>
      </c>
      <c r="K484" s="22">
        <f>IF(H484="","",IFERROR(INDEX(VENDAS!$J$5:$J$1004,MATCH(H484,VENDAS!$A$5:$A$1004,0))&amp;"",""))</f>
        <v/>
      </c>
      <c r="L484" s="26">
        <f>IF(H484="","",SUMIFS(VENDAS!$F$5:$F$1004,VENDAS!$A$5:$A$1004,H484))</f>
        <v/>
      </c>
      <c r="M484" s="26">
        <f>IF(H484="","",SUMIFS(VENDAS!$F$5:$F$1004,VENDAS!$A$5:$A$1004,H484,VENDAS!$D$5:$D$1004,M$4))</f>
        <v/>
      </c>
      <c r="N484" s="26">
        <f>IF(H484="","",SUMIFS(VENDAS!$F$5:$F$1004,VENDAS!$A$5:$A$1004,H484,VENDAS!$D$5:$D$1004,N$4))</f>
        <v/>
      </c>
      <c r="O484" s="26">
        <f>IF(H484="","",SUMIFS(VENDAS!$F$5:$F$1004,VENDAS!$A$5:$A$1004,H484,VENDAS!$D$5:$D$1004,O$4))</f>
        <v/>
      </c>
      <c r="P484" s="26">
        <f>IF(H484="","",SUMIFS(VENDAS!$F$5:$F$1004,VENDAS!$A$5:$A$1004,H484,VENDAS!$D$5:$D$1004,P$4))</f>
        <v/>
      </c>
      <c r="Q484" s="24">
        <f>IF(H484="","",SUMIFS(VENDAS!$H$5:$H$1004,VENDAS!$A$5:$A$1004,H484))</f>
        <v/>
      </c>
      <c r="R484" s="24">
        <f>IF(H484="","",SUMIFS(VENDAS!$K$5:$K$1004,VENDAS!$A$5:$A$1004,H484))</f>
        <v/>
      </c>
      <c r="S484" s="20" t="n"/>
      <c r="T484" s="31" t="n"/>
    </row>
    <row r="485">
      <c r="H485" s="20" t="n"/>
      <c r="I485" s="30">
        <f>IF(H485="","",IFERROR(INDEX(VENDAS!$B$5:$B$1004,MATCH(H485,VENDAS!$A$5:$A$1004,0)),"não lançado"))</f>
        <v/>
      </c>
      <c r="J485" s="22">
        <f>IF(H485="","",IFERROR(INDEX(VENDAS!$M$5:$M$1004,MATCH(H485,VENDAS!$A$5:$A$1004,0))&amp;"",""))</f>
        <v/>
      </c>
      <c r="K485" s="22">
        <f>IF(H485="","",IFERROR(INDEX(VENDAS!$J$5:$J$1004,MATCH(H485,VENDAS!$A$5:$A$1004,0))&amp;"",""))</f>
        <v/>
      </c>
      <c r="L485" s="26">
        <f>IF(H485="","",SUMIFS(VENDAS!$F$5:$F$1004,VENDAS!$A$5:$A$1004,H485))</f>
        <v/>
      </c>
      <c r="M485" s="26">
        <f>IF(H485="","",SUMIFS(VENDAS!$F$5:$F$1004,VENDAS!$A$5:$A$1004,H485,VENDAS!$D$5:$D$1004,M$4))</f>
        <v/>
      </c>
      <c r="N485" s="26">
        <f>IF(H485="","",SUMIFS(VENDAS!$F$5:$F$1004,VENDAS!$A$5:$A$1004,H485,VENDAS!$D$5:$D$1004,N$4))</f>
        <v/>
      </c>
      <c r="O485" s="26">
        <f>IF(H485="","",SUMIFS(VENDAS!$F$5:$F$1004,VENDAS!$A$5:$A$1004,H485,VENDAS!$D$5:$D$1004,O$4))</f>
        <v/>
      </c>
      <c r="P485" s="26">
        <f>IF(H485="","",SUMIFS(VENDAS!$F$5:$F$1004,VENDAS!$A$5:$A$1004,H485,VENDAS!$D$5:$D$1004,P$4))</f>
        <v/>
      </c>
      <c r="Q485" s="24">
        <f>IF(H485="","",SUMIFS(VENDAS!$H$5:$H$1004,VENDAS!$A$5:$A$1004,H485))</f>
        <v/>
      </c>
      <c r="R485" s="24">
        <f>IF(H485="","",SUMIFS(VENDAS!$K$5:$K$1004,VENDAS!$A$5:$A$1004,H485))</f>
        <v/>
      </c>
      <c r="S485" s="20" t="n"/>
      <c r="T485" s="31" t="n"/>
    </row>
    <row r="486">
      <c r="H486" s="20" t="n"/>
      <c r="I486" s="30">
        <f>IF(H486="","",IFERROR(INDEX(VENDAS!$B$5:$B$1004,MATCH(H486,VENDAS!$A$5:$A$1004,0)),"não lançado"))</f>
        <v/>
      </c>
      <c r="J486" s="22">
        <f>IF(H486="","",IFERROR(INDEX(VENDAS!$M$5:$M$1004,MATCH(H486,VENDAS!$A$5:$A$1004,0))&amp;"",""))</f>
        <v/>
      </c>
      <c r="K486" s="22">
        <f>IF(H486="","",IFERROR(INDEX(VENDAS!$J$5:$J$1004,MATCH(H486,VENDAS!$A$5:$A$1004,0))&amp;"",""))</f>
        <v/>
      </c>
      <c r="L486" s="26">
        <f>IF(H486="","",SUMIFS(VENDAS!$F$5:$F$1004,VENDAS!$A$5:$A$1004,H486))</f>
        <v/>
      </c>
      <c r="M486" s="26">
        <f>IF(H486="","",SUMIFS(VENDAS!$F$5:$F$1004,VENDAS!$A$5:$A$1004,H486,VENDAS!$D$5:$D$1004,M$4))</f>
        <v/>
      </c>
      <c r="N486" s="26">
        <f>IF(H486="","",SUMIFS(VENDAS!$F$5:$F$1004,VENDAS!$A$5:$A$1004,H486,VENDAS!$D$5:$D$1004,N$4))</f>
        <v/>
      </c>
      <c r="O486" s="26">
        <f>IF(H486="","",SUMIFS(VENDAS!$F$5:$F$1004,VENDAS!$A$5:$A$1004,H486,VENDAS!$D$5:$D$1004,O$4))</f>
        <v/>
      </c>
      <c r="P486" s="26">
        <f>IF(H486="","",SUMIFS(VENDAS!$F$5:$F$1004,VENDAS!$A$5:$A$1004,H486,VENDAS!$D$5:$D$1004,P$4))</f>
        <v/>
      </c>
      <c r="Q486" s="24">
        <f>IF(H486="","",SUMIFS(VENDAS!$H$5:$H$1004,VENDAS!$A$5:$A$1004,H486))</f>
        <v/>
      </c>
      <c r="R486" s="24">
        <f>IF(H486="","",SUMIFS(VENDAS!$K$5:$K$1004,VENDAS!$A$5:$A$1004,H486))</f>
        <v/>
      </c>
      <c r="S486" s="20" t="n"/>
      <c r="T486" s="31" t="n"/>
    </row>
    <row r="487">
      <c r="H487" s="20" t="n"/>
      <c r="I487" s="30">
        <f>IF(H487="","",IFERROR(INDEX(VENDAS!$B$5:$B$1004,MATCH(H487,VENDAS!$A$5:$A$1004,0)),"não lançado"))</f>
        <v/>
      </c>
      <c r="J487" s="22">
        <f>IF(H487="","",IFERROR(INDEX(VENDAS!$M$5:$M$1004,MATCH(H487,VENDAS!$A$5:$A$1004,0))&amp;"",""))</f>
        <v/>
      </c>
      <c r="K487" s="22">
        <f>IF(H487="","",IFERROR(INDEX(VENDAS!$J$5:$J$1004,MATCH(H487,VENDAS!$A$5:$A$1004,0))&amp;"",""))</f>
        <v/>
      </c>
      <c r="L487" s="26">
        <f>IF(H487="","",SUMIFS(VENDAS!$F$5:$F$1004,VENDAS!$A$5:$A$1004,H487))</f>
        <v/>
      </c>
      <c r="M487" s="26">
        <f>IF(H487="","",SUMIFS(VENDAS!$F$5:$F$1004,VENDAS!$A$5:$A$1004,H487,VENDAS!$D$5:$D$1004,M$4))</f>
        <v/>
      </c>
      <c r="N487" s="26">
        <f>IF(H487="","",SUMIFS(VENDAS!$F$5:$F$1004,VENDAS!$A$5:$A$1004,H487,VENDAS!$D$5:$D$1004,N$4))</f>
        <v/>
      </c>
      <c r="O487" s="26">
        <f>IF(H487="","",SUMIFS(VENDAS!$F$5:$F$1004,VENDAS!$A$5:$A$1004,H487,VENDAS!$D$5:$D$1004,O$4))</f>
        <v/>
      </c>
      <c r="P487" s="26">
        <f>IF(H487="","",SUMIFS(VENDAS!$F$5:$F$1004,VENDAS!$A$5:$A$1004,H487,VENDAS!$D$5:$D$1004,P$4))</f>
        <v/>
      </c>
      <c r="Q487" s="24">
        <f>IF(H487="","",SUMIFS(VENDAS!$H$5:$H$1004,VENDAS!$A$5:$A$1004,H487))</f>
        <v/>
      </c>
      <c r="R487" s="24">
        <f>IF(H487="","",SUMIFS(VENDAS!$K$5:$K$1004,VENDAS!$A$5:$A$1004,H487))</f>
        <v/>
      </c>
      <c r="S487" s="20" t="n"/>
      <c r="T487" s="31" t="n"/>
    </row>
    <row r="488">
      <c r="H488" s="20" t="n"/>
      <c r="I488" s="30">
        <f>IF(H488="","",IFERROR(INDEX(VENDAS!$B$5:$B$1004,MATCH(H488,VENDAS!$A$5:$A$1004,0)),"não lançado"))</f>
        <v/>
      </c>
      <c r="J488" s="22">
        <f>IF(H488="","",IFERROR(INDEX(VENDAS!$M$5:$M$1004,MATCH(H488,VENDAS!$A$5:$A$1004,0))&amp;"",""))</f>
        <v/>
      </c>
      <c r="K488" s="22">
        <f>IF(H488="","",IFERROR(INDEX(VENDAS!$J$5:$J$1004,MATCH(H488,VENDAS!$A$5:$A$1004,0))&amp;"",""))</f>
        <v/>
      </c>
      <c r="L488" s="26">
        <f>IF(H488="","",SUMIFS(VENDAS!$F$5:$F$1004,VENDAS!$A$5:$A$1004,H488))</f>
        <v/>
      </c>
      <c r="M488" s="26">
        <f>IF(H488="","",SUMIFS(VENDAS!$F$5:$F$1004,VENDAS!$A$5:$A$1004,H488,VENDAS!$D$5:$D$1004,M$4))</f>
        <v/>
      </c>
      <c r="N488" s="26">
        <f>IF(H488="","",SUMIFS(VENDAS!$F$5:$F$1004,VENDAS!$A$5:$A$1004,H488,VENDAS!$D$5:$D$1004,N$4))</f>
        <v/>
      </c>
      <c r="O488" s="26">
        <f>IF(H488="","",SUMIFS(VENDAS!$F$5:$F$1004,VENDAS!$A$5:$A$1004,H488,VENDAS!$D$5:$D$1004,O$4))</f>
        <v/>
      </c>
      <c r="P488" s="26">
        <f>IF(H488="","",SUMIFS(VENDAS!$F$5:$F$1004,VENDAS!$A$5:$A$1004,H488,VENDAS!$D$5:$D$1004,P$4))</f>
        <v/>
      </c>
      <c r="Q488" s="24">
        <f>IF(H488="","",SUMIFS(VENDAS!$H$5:$H$1004,VENDAS!$A$5:$A$1004,H488))</f>
        <v/>
      </c>
      <c r="R488" s="24">
        <f>IF(H488="","",SUMIFS(VENDAS!$K$5:$K$1004,VENDAS!$A$5:$A$1004,H488))</f>
        <v/>
      </c>
      <c r="S488" s="20" t="n"/>
      <c r="T488" s="31" t="n"/>
    </row>
    <row r="489">
      <c r="H489" s="20" t="n"/>
      <c r="I489" s="30">
        <f>IF(H489="","",IFERROR(INDEX(VENDAS!$B$5:$B$1004,MATCH(H489,VENDAS!$A$5:$A$1004,0)),"não lançado"))</f>
        <v/>
      </c>
      <c r="J489" s="22">
        <f>IF(H489="","",IFERROR(INDEX(VENDAS!$M$5:$M$1004,MATCH(H489,VENDAS!$A$5:$A$1004,0))&amp;"",""))</f>
        <v/>
      </c>
      <c r="K489" s="22">
        <f>IF(H489="","",IFERROR(INDEX(VENDAS!$J$5:$J$1004,MATCH(H489,VENDAS!$A$5:$A$1004,0))&amp;"",""))</f>
        <v/>
      </c>
      <c r="L489" s="26">
        <f>IF(H489="","",SUMIFS(VENDAS!$F$5:$F$1004,VENDAS!$A$5:$A$1004,H489))</f>
        <v/>
      </c>
      <c r="M489" s="26">
        <f>IF(H489="","",SUMIFS(VENDAS!$F$5:$F$1004,VENDAS!$A$5:$A$1004,H489,VENDAS!$D$5:$D$1004,M$4))</f>
        <v/>
      </c>
      <c r="N489" s="26">
        <f>IF(H489="","",SUMIFS(VENDAS!$F$5:$F$1004,VENDAS!$A$5:$A$1004,H489,VENDAS!$D$5:$D$1004,N$4))</f>
        <v/>
      </c>
      <c r="O489" s="26">
        <f>IF(H489="","",SUMIFS(VENDAS!$F$5:$F$1004,VENDAS!$A$5:$A$1004,H489,VENDAS!$D$5:$D$1004,O$4))</f>
        <v/>
      </c>
      <c r="P489" s="26">
        <f>IF(H489="","",SUMIFS(VENDAS!$F$5:$F$1004,VENDAS!$A$5:$A$1004,H489,VENDAS!$D$5:$D$1004,P$4))</f>
        <v/>
      </c>
      <c r="Q489" s="24">
        <f>IF(H489="","",SUMIFS(VENDAS!$H$5:$H$1004,VENDAS!$A$5:$A$1004,H489))</f>
        <v/>
      </c>
      <c r="R489" s="24">
        <f>IF(H489="","",SUMIFS(VENDAS!$K$5:$K$1004,VENDAS!$A$5:$A$1004,H489))</f>
        <v/>
      </c>
      <c r="S489" s="20" t="n"/>
      <c r="T489" s="31" t="n"/>
    </row>
    <row r="490">
      <c r="H490" s="20" t="n"/>
      <c r="I490" s="30">
        <f>IF(H490="","",IFERROR(INDEX(VENDAS!$B$5:$B$1004,MATCH(H490,VENDAS!$A$5:$A$1004,0)),"não lançado"))</f>
        <v/>
      </c>
      <c r="J490" s="22">
        <f>IF(H490="","",IFERROR(INDEX(VENDAS!$M$5:$M$1004,MATCH(H490,VENDAS!$A$5:$A$1004,0))&amp;"",""))</f>
        <v/>
      </c>
      <c r="K490" s="22">
        <f>IF(H490="","",IFERROR(INDEX(VENDAS!$J$5:$J$1004,MATCH(H490,VENDAS!$A$5:$A$1004,0))&amp;"",""))</f>
        <v/>
      </c>
      <c r="L490" s="26">
        <f>IF(H490="","",SUMIFS(VENDAS!$F$5:$F$1004,VENDAS!$A$5:$A$1004,H490))</f>
        <v/>
      </c>
      <c r="M490" s="26">
        <f>IF(H490="","",SUMIFS(VENDAS!$F$5:$F$1004,VENDAS!$A$5:$A$1004,H490,VENDAS!$D$5:$D$1004,M$4))</f>
        <v/>
      </c>
      <c r="N490" s="26">
        <f>IF(H490="","",SUMIFS(VENDAS!$F$5:$F$1004,VENDAS!$A$5:$A$1004,H490,VENDAS!$D$5:$D$1004,N$4))</f>
        <v/>
      </c>
      <c r="O490" s="26">
        <f>IF(H490="","",SUMIFS(VENDAS!$F$5:$F$1004,VENDAS!$A$5:$A$1004,H490,VENDAS!$D$5:$D$1004,O$4))</f>
        <v/>
      </c>
      <c r="P490" s="26">
        <f>IF(H490="","",SUMIFS(VENDAS!$F$5:$F$1004,VENDAS!$A$5:$A$1004,H490,VENDAS!$D$5:$D$1004,P$4))</f>
        <v/>
      </c>
      <c r="Q490" s="24">
        <f>IF(H490="","",SUMIFS(VENDAS!$H$5:$H$1004,VENDAS!$A$5:$A$1004,H490))</f>
        <v/>
      </c>
      <c r="R490" s="24">
        <f>IF(H490="","",SUMIFS(VENDAS!$K$5:$K$1004,VENDAS!$A$5:$A$1004,H490))</f>
        <v/>
      </c>
      <c r="S490" s="20" t="n"/>
      <c r="T490" s="31" t="n"/>
    </row>
    <row r="491">
      <c r="H491" s="20" t="n"/>
      <c r="I491" s="30">
        <f>IF(H491="","",IFERROR(INDEX(VENDAS!$B$5:$B$1004,MATCH(H491,VENDAS!$A$5:$A$1004,0)),"não lançado"))</f>
        <v/>
      </c>
      <c r="J491" s="22">
        <f>IF(H491="","",IFERROR(INDEX(VENDAS!$M$5:$M$1004,MATCH(H491,VENDAS!$A$5:$A$1004,0))&amp;"",""))</f>
        <v/>
      </c>
      <c r="K491" s="22">
        <f>IF(H491="","",IFERROR(INDEX(VENDAS!$J$5:$J$1004,MATCH(H491,VENDAS!$A$5:$A$1004,0))&amp;"",""))</f>
        <v/>
      </c>
      <c r="L491" s="26">
        <f>IF(H491="","",SUMIFS(VENDAS!$F$5:$F$1004,VENDAS!$A$5:$A$1004,H491))</f>
        <v/>
      </c>
      <c r="M491" s="26">
        <f>IF(H491="","",SUMIFS(VENDAS!$F$5:$F$1004,VENDAS!$A$5:$A$1004,H491,VENDAS!$D$5:$D$1004,M$4))</f>
        <v/>
      </c>
      <c r="N491" s="26">
        <f>IF(H491="","",SUMIFS(VENDAS!$F$5:$F$1004,VENDAS!$A$5:$A$1004,H491,VENDAS!$D$5:$D$1004,N$4))</f>
        <v/>
      </c>
      <c r="O491" s="26">
        <f>IF(H491="","",SUMIFS(VENDAS!$F$5:$F$1004,VENDAS!$A$5:$A$1004,H491,VENDAS!$D$5:$D$1004,O$4))</f>
        <v/>
      </c>
      <c r="P491" s="26">
        <f>IF(H491="","",SUMIFS(VENDAS!$F$5:$F$1004,VENDAS!$A$5:$A$1004,H491,VENDAS!$D$5:$D$1004,P$4))</f>
        <v/>
      </c>
      <c r="Q491" s="24">
        <f>IF(H491="","",SUMIFS(VENDAS!$H$5:$H$1004,VENDAS!$A$5:$A$1004,H491))</f>
        <v/>
      </c>
      <c r="R491" s="24">
        <f>IF(H491="","",SUMIFS(VENDAS!$K$5:$K$1004,VENDAS!$A$5:$A$1004,H491))</f>
        <v/>
      </c>
      <c r="S491" s="20" t="n"/>
      <c r="T491" s="31" t="n"/>
    </row>
    <row r="492">
      <c r="H492" s="20" t="n"/>
      <c r="I492" s="30">
        <f>IF(H492="","",IFERROR(INDEX(VENDAS!$B$5:$B$1004,MATCH(H492,VENDAS!$A$5:$A$1004,0)),"não lançado"))</f>
        <v/>
      </c>
      <c r="J492" s="22">
        <f>IF(H492="","",IFERROR(INDEX(VENDAS!$M$5:$M$1004,MATCH(H492,VENDAS!$A$5:$A$1004,0))&amp;"",""))</f>
        <v/>
      </c>
      <c r="K492" s="22">
        <f>IF(H492="","",IFERROR(INDEX(VENDAS!$J$5:$J$1004,MATCH(H492,VENDAS!$A$5:$A$1004,0))&amp;"",""))</f>
        <v/>
      </c>
      <c r="L492" s="26">
        <f>IF(H492="","",SUMIFS(VENDAS!$F$5:$F$1004,VENDAS!$A$5:$A$1004,H492))</f>
        <v/>
      </c>
      <c r="M492" s="26">
        <f>IF(H492="","",SUMIFS(VENDAS!$F$5:$F$1004,VENDAS!$A$5:$A$1004,H492,VENDAS!$D$5:$D$1004,M$4))</f>
        <v/>
      </c>
      <c r="N492" s="26">
        <f>IF(H492="","",SUMIFS(VENDAS!$F$5:$F$1004,VENDAS!$A$5:$A$1004,H492,VENDAS!$D$5:$D$1004,N$4))</f>
        <v/>
      </c>
      <c r="O492" s="26">
        <f>IF(H492="","",SUMIFS(VENDAS!$F$5:$F$1004,VENDAS!$A$5:$A$1004,H492,VENDAS!$D$5:$D$1004,O$4))</f>
        <v/>
      </c>
      <c r="P492" s="26">
        <f>IF(H492="","",SUMIFS(VENDAS!$F$5:$F$1004,VENDAS!$A$5:$A$1004,H492,VENDAS!$D$5:$D$1004,P$4))</f>
        <v/>
      </c>
      <c r="Q492" s="24">
        <f>IF(H492="","",SUMIFS(VENDAS!$H$5:$H$1004,VENDAS!$A$5:$A$1004,H492))</f>
        <v/>
      </c>
      <c r="R492" s="24">
        <f>IF(H492="","",SUMIFS(VENDAS!$K$5:$K$1004,VENDAS!$A$5:$A$1004,H492))</f>
        <v/>
      </c>
      <c r="S492" s="20" t="n"/>
      <c r="T492" s="31" t="n"/>
    </row>
    <row r="493">
      <c r="H493" s="20" t="n"/>
      <c r="I493" s="30">
        <f>IF(H493="","",IFERROR(INDEX(VENDAS!$B$5:$B$1004,MATCH(H493,VENDAS!$A$5:$A$1004,0)),"não lançado"))</f>
        <v/>
      </c>
      <c r="J493" s="22">
        <f>IF(H493="","",IFERROR(INDEX(VENDAS!$M$5:$M$1004,MATCH(H493,VENDAS!$A$5:$A$1004,0))&amp;"",""))</f>
        <v/>
      </c>
      <c r="K493" s="22">
        <f>IF(H493="","",IFERROR(INDEX(VENDAS!$J$5:$J$1004,MATCH(H493,VENDAS!$A$5:$A$1004,0))&amp;"",""))</f>
        <v/>
      </c>
      <c r="L493" s="26">
        <f>IF(H493="","",SUMIFS(VENDAS!$F$5:$F$1004,VENDAS!$A$5:$A$1004,H493))</f>
        <v/>
      </c>
      <c r="M493" s="26">
        <f>IF(H493="","",SUMIFS(VENDAS!$F$5:$F$1004,VENDAS!$A$5:$A$1004,H493,VENDAS!$D$5:$D$1004,M$4))</f>
        <v/>
      </c>
      <c r="N493" s="26">
        <f>IF(H493="","",SUMIFS(VENDAS!$F$5:$F$1004,VENDAS!$A$5:$A$1004,H493,VENDAS!$D$5:$D$1004,N$4))</f>
        <v/>
      </c>
      <c r="O493" s="26">
        <f>IF(H493="","",SUMIFS(VENDAS!$F$5:$F$1004,VENDAS!$A$5:$A$1004,H493,VENDAS!$D$5:$D$1004,O$4))</f>
        <v/>
      </c>
      <c r="P493" s="26">
        <f>IF(H493="","",SUMIFS(VENDAS!$F$5:$F$1004,VENDAS!$A$5:$A$1004,H493,VENDAS!$D$5:$D$1004,P$4))</f>
        <v/>
      </c>
      <c r="Q493" s="24">
        <f>IF(H493="","",SUMIFS(VENDAS!$H$5:$H$1004,VENDAS!$A$5:$A$1004,H493))</f>
        <v/>
      </c>
      <c r="R493" s="24">
        <f>IF(H493="","",SUMIFS(VENDAS!$K$5:$K$1004,VENDAS!$A$5:$A$1004,H493))</f>
        <v/>
      </c>
      <c r="S493" s="20" t="n"/>
      <c r="T493" s="31" t="n"/>
    </row>
    <row r="494">
      <c r="H494" s="20" t="n"/>
      <c r="I494" s="30">
        <f>IF(H494="","",IFERROR(INDEX(VENDAS!$B$5:$B$1004,MATCH(H494,VENDAS!$A$5:$A$1004,0)),"não lançado"))</f>
        <v/>
      </c>
      <c r="J494" s="22">
        <f>IF(H494="","",IFERROR(INDEX(VENDAS!$M$5:$M$1004,MATCH(H494,VENDAS!$A$5:$A$1004,0))&amp;"",""))</f>
        <v/>
      </c>
      <c r="K494" s="22">
        <f>IF(H494="","",IFERROR(INDEX(VENDAS!$J$5:$J$1004,MATCH(H494,VENDAS!$A$5:$A$1004,0))&amp;"",""))</f>
        <v/>
      </c>
      <c r="L494" s="26">
        <f>IF(H494="","",SUMIFS(VENDAS!$F$5:$F$1004,VENDAS!$A$5:$A$1004,H494))</f>
        <v/>
      </c>
      <c r="M494" s="26">
        <f>IF(H494="","",SUMIFS(VENDAS!$F$5:$F$1004,VENDAS!$A$5:$A$1004,H494,VENDAS!$D$5:$D$1004,M$4))</f>
        <v/>
      </c>
      <c r="N494" s="26">
        <f>IF(H494="","",SUMIFS(VENDAS!$F$5:$F$1004,VENDAS!$A$5:$A$1004,H494,VENDAS!$D$5:$D$1004,N$4))</f>
        <v/>
      </c>
      <c r="O494" s="26">
        <f>IF(H494="","",SUMIFS(VENDAS!$F$5:$F$1004,VENDAS!$A$5:$A$1004,H494,VENDAS!$D$5:$D$1004,O$4))</f>
        <v/>
      </c>
      <c r="P494" s="26">
        <f>IF(H494="","",SUMIFS(VENDAS!$F$5:$F$1004,VENDAS!$A$5:$A$1004,H494,VENDAS!$D$5:$D$1004,P$4))</f>
        <v/>
      </c>
      <c r="Q494" s="24">
        <f>IF(H494="","",SUMIFS(VENDAS!$H$5:$H$1004,VENDAS!$A$5:$A$1004,H494))</f>
        <v/>
      </c>
      <c r="R494" s="24">
        <f>IF(H494="","",SUMIFS(VENDAS!$K$5:$K$1004,VENDAS!$A$5:$A$1004,H494))</f>
        <v/>
      </c>
      <c r="S494" s="20" t="n"/>
      <c r="T494" s="31" t="n"/>
    </row>
    <row r="495">
      <c r="H495" s="20" t="n"/>
      <c r="I495" s="30">
        <f>IF(H495="","",IFERROR(INDEX(VENDAS!$B$5:$B$1004,MATCH(H495,VENDAS!$A$5:$A$1004,0)),"não lançado"))</f>
        <v/>
      </c>
      <c r="J495" s="22">
        <f>IF(H495="","",IFERROR(INDEX(VENDAS!$M$5:$M$1004,MATCH(H495,VENDAS!$A$5:$A$1004,0))&amp;"",""))</f>
        <v/>
      </c>
      <c r="K495" s="22">
        <f>IF(H495="","",IFERROR(INDEX(VENDAS!$J$5:$J$1004,MATCH(H495,VENDAS!$A$5:$A$1004,0))&amp;"",""))</f>
        <v/>
      </c>
      <c r="L495" s="26">
        <f>IF(H495="","",SUMIFS(VENDAS!$F$5:$F$1004,VENDAS!$A$5:$A$1004,H495))</f>
        <v/>
      </c>
      <c r="M495" s="26">
        <f>IF(H495="","",SUMIFS(VENDAS!$F$5:$F$1004,VENDAS!$A$5:$A$1004,H495,VENDAS!$D$5:$D$1004,M$4))</f>
        <v/>
      </c>
      <c r="N495" s="26">
        <f>IF(H495="","",SUMIFS(VENDAS!$F$5:$F$1004,VENDAS!$A$5:$A$1004,H495,VENDAS!$D$5:$D$1004,N$4))</f>
        <v/>
      </c>
      <c r="O495" s="26">
        <f>IF(H495="","",SUMIFS(VENDAS!$F$5:$F$1004,VENDAS!$A$5:$A$1004,H495,VENDAS!$D$5:$D$1004,O$4))</f>
        <v/>
      </c>
      <c r="P495" s="26">
        <f>IF(H495="","",SUMIFS(VENDAS!$F$5:$F$1004,VENDAS!$A$5:$A$1004,H495,VENDAS!$D$5:$D$1004,P$4))</f>
        <v/>
      </c>
      <c r="Q495" s="24">
        <f>IF(H495="","",SUMIFS(VENDAS!$H$5:$H$1004,VENDAS!$A$5:$A$1004,H495))</f>
        <v/>
      </c>
      <c r="R495" s="24">
        <f>IF(H495="","",SUMIFS(VENDAS!$K$5:$K$1004,VENDAS!$A$5:$A$1004,H495))</f>
        <v/>
      </c>
      <c r="S495" s="20" t="n"/>
      <c r="T495" s="31" t="n"/>
    </row>
    <row r="496">
      <c r="H496" s="20" t="n"/>
      <c r="I496" s="30">
        <f>IF(H496="","",IFERROR(INDEX(VENDAS!$B$5:$B$1004,MATCH(H496,VENDAS!$A$5:$A$1004,0)),"não lançado"))</f>
        <v/>
      </c>
      <c r="J496" s="22">
        <f>IF(H496="","",IFERROR(INDEX(VENDAS!$M$5:$M$1004,MATCH(H496,VENDAS!$A$5:$A$1004,0))&amp;"",""))</f>
        <v/>
      </c>
      <c r="K496" s="22">
        <f>IF(H496="","",IFERROR(INDEX(VENDAS!$J$5:$J$1004,MATCH(H496,VENDAS!$A$5:$A$1004,0))&amp;"",""))</f>
        <v/>
      </c>
      <c r="L496" s="26">
        <f>IF(H496="","",SUMIFS(VENDAS!$F$5:$F$1004,VENDAS!$A$5:$A$1004,H496))</f>
        <v/>
      </c>
      <c r="M496" s="26">
        <f>IF(H496="","",SUMIFS(VENDAS!$F$5:$F$1004,VENDAS!$A$5:$A$1004,H496,VENDAS!$D$5:$D$1004,M$4))</f>
        <v/>
      </c>
      <c r="N496" s="26">
        <f>IF(H496="","",SUMIFS(VENDAS!$F$5:$F$1004,VENDAS!$A$5:$A$1004,H496,VENDAS!$D$5:$D$1004,N$4))</f>
        <v/>
      </c>
      <c r="O496" s="26">
        <f>IF(H496="","",SUMIFS(VENDAS!$F$5:$F$1004,VENDAS!$A$5:$A$1004,H496,VENDAS!$D$5:$D$1004,O$4))</f>
        <v/>
      </c>
      <c r="P496" s="26">
        <f>IF(H496="","",SUMIFS(VENDAS!$F$5:$F$1004,VENDAS!$A$5:$A$1004,H496,VENDAS!$D$5:$D$1004,P$4))</f>
        <v/>
      </c>
      <c r="Q496" s="24">
        <f>IF(H496="","",SUMIFS(VENDAS!$H$5:$H$1004,VENDAS!$A$5:$A$1004,H496))</f>
        <v/>
      </c>
      <c r="R496" s="24">
        <f>IF(H496="","",SUMIFS(VENDAS!$K$5:$K$1004,VENDAS!$A$5:$A$1004,H496))</f>
        <v/>
      </c>
      <c r="S496" s="20" t="n"/>
      <c r="T496" s="31" t="n"/>
    </row>
    <row r="497">
      <c r="H497" s="20" t="n"/>
      <c r="I497" s="30">
        <f>IF(H497="","",IFERROR(INDEX(VENDAS!$B$5:$B$1004,MATCH(H497,VENDAS!$A$5:$A$1004,0)),"não lançado"))</f>
        <v/>
      </c>
      <c r="J497" s="22">
        <f>IF(H497="","",IFERROR(INDEX(VENDAS!$M$5:$M$1004,MATCH(H497,VENDAS!$A$5:$A$1004,0))&amp;"",""))</f>
        <v/>
      </c>
      <c r="K497" s="22">
        <f>IF(H497="","",IFERROR(INDEX(VENDAS!$J$5:$J$1004,MATCH(H497,VENDAS!$A$5:$A$1004,0))&amp;"",""))</f>
        <v/>
      </c>
      <c r="L497" s="26">
        <f>IF(H497="","",SUMIFS(VENDAS!$F$5:$F$1004,VENDAS!$A$5:$A$1004,H497))</f>
        <v/>
      </c>
      <c r="M497" s="26">
        <f>IF(H497="","",SUMIFS(VENDAS!$F$5:$F$1004,VENDAS!$A$5:$A$1004,H497,VENDAS!$D$5:$D$1004,M$4))</f>
        <v/>
      </c>
      <c r="N497" s="26">
        <f>IF(H497="","",SUMIFS(VENDAS!$F$5:$F$1004,VENDAS!$A$5:$A$1004,H497,VENDAS!$D$5:$D$1004,N$4))</f>
        <v/>
      </c>
      <c r="O497" s="26">
        <f>IF(H497="","",SUMIFS(VENDAS!$F$5:$F$1004,VENDAS!$A$5:$A$1004,H497,VENDAS!$D$5:$D$1004,O$4))</f>
        <v/>
      </c>
      <c r="P497" s="26">
        <f>IF(H497="","",SUMIFS(VENDAS!$F$5:$F$1004,VENDAS!$A$5:$A$1004,H497,VENDAS!$D$5:$D$1004,P$4))</f>
        <v/>
      </c>
      <c r="Q497" s="24">
        <f>IF(H497="","",SUMIFS(VENDAS!$H$5:$H$1004,VENDAS!$A$5:$A$1004,H497))</f>
        <v/>
      </c>
      <c r="R497" s="24">
        <f>IF(H497="","",SUMIFS(VENDAS!$K$5:$K$1004,VENDAS!$A$5:$A$1004,H497))</f>
        <v/>
      </c>
      <c r="S497" s="20" t="n"/>
      <c r="T497" s="31" t="n"/>
    </row>
    <row r="498">
      <c r="H498" s="20" t="n"/>
      <c r="I498" s="30">
        <f>IF(H498="","",IFERROR(INDEX(VENDAS!$B$5:$B$1004,MATCH(H498,VENDAS!$A$5:$A$1004,0)),"não lançado"))</f>
        <v/>
      </c>
      <c r="J498" s="22">
        <f>IF(H498="","",IFERROR(INDEX(VENDAS!$M$5:$M$1004,MATCH(H498,VENDAS!$A$5:$A$1004,0))&amp;"",""))</f>
        <v/>
      </c>
      <c r="K498" s="22">
        <f>IF(H498="","",IFERROR(INDEX(VENDAS!$J$5:$J$1004,MATCH(H498,VENDAS!$A$5:$A$1004,0))&amp;"",""))</f>
        <v/>
      </c>
      <c r="L498" s="26">
        <f>IF(H498="","",SUMIFS(VENDAS!$F$5:$F$1004,VENDAS!$A$5:$A$1004,H498))</f>
        <v/>
      </c>
      <c r="M498" s="26">
        <f>IF(H498="","",SUMIFS(VENDAS!$F$5:$F$1004,VENDAS!$A$5:$A$1004,H498,VENDAS!$D$5:$D$1004,M$4))</f>
        <v/>
      </c>
      <c r="N498" s="26">
        <f>IF(H498="","",SUMIFS(VENDAS!$F$5:$F$1004,VENDAS!$A$5:$A$1004,H498,VENDAS!$D$5:$D$1004,N$4))</f>
        <v/>
      </c>
      <c r="O498" s="26">
        <f>IF(H498="","",SUMIFS(VENDAS!$F$5:$F$1004,VENDAS!$A$5:$A$1004,H498,VENDAS!$D$5:$D$1004,O$4))</f>
        <v/>
      </c>
      <c r="P498" s="26">
        <f>IF(H498="","",SUMIFS(VENDAS!$F$5:$F$1004,VENDAS!$A$5:$A$1004,H498,VENDAS!$D$5:$D$1004,P$4))</f>
        <v/>
      </c>
      <c r="Q498" s="24">
        <f>IF(H498="","",SUMIFS(VENDAS!$H$5:$H$1004,VENDAS!$A$5:$A$1004,H498))</f>
        <v/>
      </c>
      <c r="R498" s="24">
        <f>IF(H498="","",SUMIFS(VENDAS!$K$5:$K$1004,VENDAS!$A$5:$A$1004,H498))</f>
        <v/>
      </c>
      <c r="S498" s="20" t="n"/>
      <c r="T498" s="31" t="n"/>
    </row>
    <row r="499">
      <c r="H499" s="20" t="n"/>
      <c r="I499" s="30">
        <f>IF(H499="","",IFERROR(INDEX(VENDAS!$B$5:$B$1004,MATCH(H499,VENDAS!$A$5:$A$1004,0)),"não lançado"))</f>
        <v/>
      </c>
      <c r="J499" s="22">
        <f>IF(H499="","",IFERROR(INDEX(VENDAS!$M$5:$M$1004,MATCH(H499,VENDAS!$A$5:$A$1004,0))&amp;"",""))</f>
        <v/>
      </c>
      <c r="K499" s="22">
        <f>IF(H499="","",IFERROR(INDEX(VENDAS!$J$5:$J$1004,MATCH(H499,VENDAS!$A$5:$A$1004,0))&amp;"",""))</f>
        <v/>
      </c>
      <c r="L499" s="26">
        <f>IF(H499="","",SUMIFS(VENDAS!$F$5:$F$1004,VENDAS!$A$5:$A$1004,H499))</f>
        <v/>
      </c>
      <c r="M499" s="26">
        <f>IF(H499="","",SUMIFS(VENDAS!$F$5:$F$1004,VENDAS!$A$5:$A$1004,H499,VENDAS!$D$5:$D$1004,M$4))</f>
        <v/>
      </c>
      <c r="N499" s="26">
        <f>IF(H499="","",SUMIFS(VENDAS!$F$5:$F$1004,VENDAS!$A$5:$A$1004,H499,VENDAS!$D$5:$D$1004,N$4))</f>
        <v/>
      </c>
      <c r="O499" s="26">
        <f>IF(H499="","",SUMIFS(VENDAS!$F$5:$F$1004,VENDAS!$A$5:$A$1004,H499,VENDAS!$D$5:$D$1004,O$4))</f>
        <v/>
      </c>
      <c r="P499" s="26">
        <f>IF(H499="","",SUMIFS(VENDAS!$F$5:$F$1004,VENDAS!$A$5:$A$1004,H499,VENDAS!$D$5:$D$1004,P$4))</f>
        <v/>
      </c>
      <c r="Q499" s="24">
        <f>IF(H499="","",SUMIFS(VENDAS!$H$5:$H$1004,VENDAS!$A$5:$A$1004,H499))</f>
        <v/>
      </c>
      <c r="R499" s="24">
        <f>IF(H499="","",SUMIFS(VENDAS!$K$5:$K$1004,VENDAS!$A$5:$A$1004,H499))</f>
        <v/>
      </c>
      <c r="S499" s="20" t="n"/>
      <c r="T499" s="31" t="n"/>
    </row>
    <row r="500">
      <c r="H500" s="20" t="n"/>
      <c r="I500" s="30">
        <f>IF(H500="","",IFERROR(INDEX(VENDAS!$B$5:$B$1004,MATCH(H500,VENDAS!$A$5:$A$1004,0)),"não lançado"))</f>
        <v/>
      </c>
      <c r="J500" s="22">
        <f>IF(H500="","",IFERROR(INDEX(VENDAS!$M$5:$M$1004,MATCH(H500,VENDAS!$A$5:$A$1004,0))&amp;"",""))</f>
        <v/>
      </c>
      <c r="K500" s="22">
        <f>IF(H500="","",IFERROR(INDEX(VENDAS!$J$5:$J$1004,MATCH(H500,VENDAS!$A$5:$A$1004,0))&amp;"",""))</f>
        <v/>
      </c>
      <c r="L500" s="26">
        <f>IF(H500="","",SUMIFS(VENDAS!$F$5:$F$1004,VENDAS!$A$5:$A$1004,H500))</f>
        <v/>
      </c>
      <c r="M500" s="26">
        <f>IF(H500="","",SUMIFS(VENDAS!$F$5:$F$1004,VENDAS!$A$5:$A$1004,H500,VENDAS!$D$5:$D$1004,M$4))</f>
        <v/>
      </c>
      <c r="N500" s="26">
        <f>IF(H500="","",SUMIFS(VENDAS!$F$5:$F$1004,VENDAS!$A$5:$A$1004,H500,VENDAS!$D$5:$D$1004,N$4))</f>
        <v/>
      </c>
      <c r="O500" s="26">
        <f>IF(H500="","",SUMIFS(VENDAS!$F$5:$F$1004,VENDAS!$A$5:$A$1004,H500,VENDAS!$D$5:$D$1004,O$4))</f>
        <v/>
      </c>
      <c r="P500" s="26">
        <f>IF(H500="","",SUMIFS(VENDAS!$F$5:$F$1004,VENDAS!$A$5:$A$1004,H500,VENDAS!$D$5:$D$1004,P$4))</f>
        <v/>
      </c>
      <c r="Q500" s="24">
        <f>IF(H500="","",SUMIFS(VENDAS!$H$5:$H$1004,VENDAS!$A$5:$A$1004,H500))</f>
        <v/>
      </c>
      <c r="R500" s="24">
        <f>IF(H500="","",SUMIFS(VENDAS!$K$5:$K$1004,VENDAS!$A$5:$A$1004,H500))</f>
        <v/>
      </c>
      <c r="S500" s="20" t="n"/>
      <c r="T500" s="31" t="n"/>
    </row>
    <row r="501">
      <c r="H501" s="20" t="n"/>
      <c r="I501" s="30">
        <f>IF(H501="","",IFERROR(INDEX(VENDAS!$B$5:$B$1004,MATCH(H501,VENDAS!$A$5:$A$1004,0)),"não lançado"))</f>
        <v/>
      </c>
      <c r="J501" s="22">
        <f>IF(H501="","",IFERROR(INDEX(VENDAS!$M$5:$M$1004,MATCH(H501,VENDAS!$A$5:$A$1004,0))&amp;"",""))</f>
        <v/>
      </c>
      <c r="K501" s="22">
        <f>IF(H501="","",IFERROR(INDEX(VENDAS!$J$5:$J$1004,MATCH(H501,VENDAS!$A$5:$A$1004,0))&amp;"",""))</f>
        <v/>
      </c>
      <c r="L501" s="26">
        <f>IF(H501="","",SUMIFS(VENDAS!$F$5:$F$1004,VENDAS!$A$5:$A$1004,H501))</f>
        <v/>
      </c>
      <c r="M501" s="26">
        <f>IF(H501="","",SUMIFS(VENDAS!$F$5:$F$1004,VENDAS!$A$5:$A$1004,H501,VENDAS!$D$5:$D$1004,M$4))</f>
        <v/>
      </c>
      <c r="N501" s="26">
        <f>IF(H501="","",SUMIFS(VENDAS!$F$5:$F$1004,VENDAS!$A$5:$A$1004,H501,VENDAS!$D$5:$D$1004,N$4))</f>
        <v/>
      </c>
      <c r="O501" s="26">
        <f>IF(H501="","",SUMIFS(VENDAS!$F$5:$F$1004,VENDAS!$A$5:$A$1004,H501,VENDAS!$D$5:$D$1004,O$4))</f>
        <v/>
      </c>
      <c r="P501" s="26">
        <f>IF(H501="","",SUMIFS(VENDAS!$F$5:$F$1004,VENDAS!$A$5:$A$1004,H501,VENDAS!$D$5:$D$1004,P$4))</f>
        <v/>
      </c>
      <c r="Q501" s="24">
        <f>IF(H501="","",SUMIFS(VENDAS!$H$5:$H$1004,VENDAS!$A$5:$A$1004,H501))</f>
        <v/>
      </c>
      <c r="R501" s="24">
        <f>IF(H501="","",SUMIFS(VENDAS!$K$5:$K$1004,VENDAS!$A$5:$A$1004,H501))</f>
        <v/>
      </c>
      <c r="S501" s="20" t="n"/>
      <c r="T501" s="31" t="n"/>
    </row>
    <row r="502">
      <c r="H502" s="20" t="n"/>
      <c r="I502" s="30">
        <f>IF(H502="","",IFERROR(INDEX(VENDAS!$B$5:$B$1004,MATCH(H502,VENDAS!$A$5:$A$1004,0)),"não lançado"))</f>
        <v/>
      </c>
      <c r="J502" s="22">
        <f>IF(H502="","",IFERROR(INDEX(VENDAS!$M$5:$M$1004,MATCH(H502,VENDAS!$A$5:$A$1004,0))&amp;"",""))</f>
        <v/>
      </c>
      <c r="K502" s="22">
        <f>IF(H502="","",IFERROR(INDEX(VENDAS!$J$5:$J$1004,MATCH(H502,VENDAS!$A$5:$A$1004,0))&amp;"",""))</f>
        <v/>
      </c>
      <c r="L502" s="26">
        <f>IF(H502="","",SUMIFS(VENDAS!$F$5:$F$1004,VENDAS!$A$5:$A$1004,H502))</f>
        <v/>
      </c>
      <c r="M502" s="26">
        <f>IF(H502="","",SUMIFS(VENDAS!$F$5:$F$1004,VENDAS!$A$5:$A$1004,H502,VENDAS!$D$5:$D$1004,M$4))</f>
        <v/>
      </c>
      <c r="N502" s="26">
        <f>IF(H502="","",SUMIFS(VENDAS!$F$5:$F$1004,VENDAS!$A$5:$A$1004,H502,VENDAS!$D$5:$D$1004,N$4))</f>
        <v/>
      </c>
      <c r="O502" s="26">
        <f>IF(H502="","",SUMIFS(VENDAS!$F$5:$F$1004,VENDAS!$A$5:$A$1004,H502,VENDAS!$D$5:$D$1004,O$4))</f>
        <v/>
      </c>
      <c r="P502" s="26">
        <f>IF(H502="","",SUMIFS(VENDAS!$F$5:$F$1004,VENDAS!$A$5:$A$1004,H502,VENDAS!$D$5:$D$1004,P$4))</f>
        <v/>
      </c>
      <c r="Q502" s="24">
        <f>IF(H502="","",SUMIFS(VENDAS!$H$5:$H$1004,VENDAS!$A$5:$A$1004,H502))</f>
        <v/>
      </c>
      <c r="R502" s="24">
        <f>IF(H502="","",SUMIFS(VENDAS!$K$5:$K$1004,VENDAS!$A$5:$A$1004,H502))</f>
        <v/>
      </c>
      <c r="S502" s="20" t="n"/>
      <c r="T502" s="31" t="n"/>
    </row>
    <row r="503">
      <c r="H503" s="20" t="n"/>
      <c r="I503" s="30">
        <f>IF(H503="","",IFERROR(INDEX(VENDAS!$B$5:$B$1004,MATCH(H503,VENDAS!$A$5:$A$1004,0)),"não lançado"))</f>
        <v/>
      </c>
      <c r="J503" s="22">
        <f>IF(H503="","",IFERROR(INDEX(VENDAS!$M$5:$M$1004,MATCH(H503,VENDAS!$A$5:$A$1004,0))&amp;"",""))</f>
        <v/>
      </c>
      <c r="K503" s="22">
        <f>IF(H503="","",IFERROR(INDEX(VENDAS!$J$5:$J$1004,MATCH(H503,VENDAS!$A$5:$A$1004,0))&amp;"",""))</f>
        <v/>
      </c>
      <c r="L503" s="26">
        <f>IF(H503="","",SUMIFS(VENDAS!$F$5:$F$1004,VENDAS!$A$5:$A$1004,H503))</f>
        <v/>
      </c>
      <c r="M503" s="26">
        <f>IF(H503="","",SUMIFS(VENDAS!$F$5:$F$1004,VENDAS!$A$5:$A$1004,H503,VENDAS!$D$5:$D$1004,M$4))</f>
        <v/>
      </c>
      <c r="N503" s="26">
        <f>IF(H503="","",SUMIFS(VENDAS!$F$5:$F$1004,VENDAS!$A$5:$A$1004,H503,VENDAS!$D$5:$D$1004,N$4))</f>
        <v/>
      </c>
      <c r="O503" s="26">
        <f>IF(H503="","",SUMIFS(VENDAS!$F$5:$F$1004,VENDAS!$A$5:$A$1004,H503,VENDAS!$D$5:$D$1004,O$4))</f>
        <v/>
      </c>
      <c r="P503" s="26">
        <f>IF(H503="","",SUMIFS(VENDAS!$F$5:$F$1004,VENDAS!$A$5:$A$1004,H503,VENDAS!$D$5:$D$1004,P$4))</f>
        <v/>
      </c>
      <c r="Q503" s="24">
        <f>IF(H503="","",SUMIFS(VENDAS!$H$5:$H$1004,VENDAS!$A$5:$A$1004,H503))</f>
        <v/>
      </c>
      <c r="R503" s="24">
        <f>IF(H503="","",SUMIFS(VENDAS!$K$5:$K$1004,VENDAS!$A$5:$A$1004,H503))</f>
        <v/>
      </c>
      <c r="S503" s="20" t="n"/>
      <c r="T503" s="31" t="n"/>
    </row>
    <row r="504">
      <c r="H504" s="20" t="n"/>
      <c r="I504" s="30">
        <f>IF(H504="","",IFERROR(INDEX(VENDAS!$B$5:$B$1004,MATCH(H504,VENDAS!$A$5:$A$1004,0)),"não lançado"))</f>
        <v/>
      </c>
      <c r="J504" s="22">
        <f>IF(H504="","",IFERROR(INDEX(VENDAS!$M$5:$M$1004,MATCH(H504,VENDAS!$A$5:$A$1004,0))&amp;"",""))</f>
        <v/>
      </c>
      <c r="K504" s="22">
        <f>IF(H504="","",IFERROR(INDEX(VENDAS!$J$5:$J$1004,MATCH(H504,VENDAS!$A$5:$A$1004,0))&amp;"",""))</f>
        <v/>
      </c>
      <c r="L504" s="26">
        <f>IF(H504="","",SUMIFS(VENDAS!$F$5:$F$1004,VENDAS!$A$5:$A$1004,H504))</f>
        <v/>
      </c>
      <c r="M504" s="26">
        <f>IF(H504="","",SUMIFS(VENDAS!$F$5:$F$1004,VENDAS!$A$5:$A$1004,H504,VENDAS!$D$5:$D$1004,M$4))</f>
        <v/>
      </c>
      <c r="N504" s="26">
        <f>IF(H504="","",SUMIFS(VENDAS!$F$5:$F$1004,VENDAS!$A$5:$A$1004,H504,VENDAS!$D$5:$D$1004,N$4))</f>
        <v/>
      </c>
      <c r="O504" s="26">
        <f>IF(H504="","",SUMIFS(VENDAS!$F$5:$F$1004,VENDAS!$A$5:$A$1004,H504,VENDAS!$D$5:$D$1004,O$4))</f>
        <v/>
      </c>
      <c r="P504" s="26">
        <f>IF(H504="","",SUMIFS(VENDAS!$F$5:$F$1004,VENDAS!$A$5:$A$1004,H504,VENDAS!$D$5:$D$1004,P$4))</f>
        <v/>
      </c>
      <c r="Q504" s="24">
        <f>IF(H504="","",SUMIFS(VENDAS!$H$5:$H$1004,VENDAS!$A$5:$A$1004,H504))</f>
        <v/>
      </c>
      <c r="R504" s="24">
        <f>IF(H504="","",SUMIFS(VENDAS!$K$5:$K$1004,VENDAS!$A$5:$A$1004,H504))</f>
        <v/>
      </c>
      <c r="S504" s="20" t="n"/>
      <c r="T504" s="31" t="n"/>
    </row>
  </sheetData>
  <mergeCells count="2">
    <mergeCell ref="A1:T1"/>
    <mergeCell ref="A2:T2"/>
  </mergeCells>
  <dataValidations count="1">
    <dataValidation sqref="S5:S504" showDropDown="0" showInputMessage="0" showErrorMessage="1" allowBlank="1" errorTitle="Valor inválido" error="Escolha uma opção da lista." promptTitle="Escolha" prompt="Situação da entrega" type="list">
      <formula1>"Entregue,Em rota,Pendente,Cancelado"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A2C30"/>
    <outlinePr summaryBelow="1" summaryRight="1"/>
    <pageSetUpPr/>
  </sheetPr>
  <dimension ref="A1:H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8" customWidth="1" min="3" max="3"/>
    <col width="11" customWidth="1" min="4" max="4"/>
    <col width="11" customWidth="1" min="5" max="5"/>
    <col width="20" customWidth="1" min="6" max="6"/>
    <col width="18" customWidth="1" min="7" max="7"/>
    <col width="13" customWidth="1" min="8" max="8"/>
  </cols>
  <sheetData>
    <row r="1" ht="28" customHeight="1">
      <c r="A1" s="1" t="inlineStr">
        <is>
          <t>MAPA — Entregas em Palmas – TO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Taxa por quadra/bairro e desempenho de cada região</t>
        </is>
      </c>
      <c r="B2" s="2" t="n"/>
      <c r="C2" s="2" t="n"/>
      <c r="D2" s="2" t="n"/>
      <c r="E2" s="2" t="n"/>
      <c r="F2" s="2" t="n"/>
      <c r="G2" s="2" t="n"/>
      <c r="H2" s="2" t="n"/>
    </row>
    <row r="4" ht="30" customHeight="1">
      <c r="A4" s="10" t="inlineStr">
        <is>
          <t>Região de entrega</t>
        </is>
      </c>
      <c r="B4" s="10" t="inlineStr">
        <is>
          <t>Tipo</t>
        </is>
      </c>
      <c r="C4" s="10" t="inlineStr">
        <is>
          <t>Taxa de entrega (R$)</t>
        </is>
      </c>
      <c r="D4" s="10" t="inlineStr">
        <is>
          <t>Pedidos</t>
        </is>
      </c>
      <c r="E4" s="10" t="inlineStr">
        <is>
          <t>Unidades</t>
        </is>
      </c>
      <c r="F4" s="10" t="inlineStr">
        <is>
          <t>Vendas em produtos (R$)</t>
        </is>
      </c>
      <c r="G4" s="10" t="inlineStr">
        <is>
          <t>Taxas recebidas (R$)</t>
        </is>
      </c>
      <c r="H4" s="10" t="inlineStr">
        <is>
          <t>% dos pedidos</t>
        </is>
      </c>
    </row>
    <row r="5">
      <c r="A5" s="13" t="inlineStr">
        <is>
          <t>Quadras 700 Sul a 200 Norte/Sul</t>
        </is>
      </c>
      <c r="B5" s="13" t="inlineStr">
        <is>
          <t>Quadras</t>
        </is>
      </c>
      <c r="C5" s="28" t="n">
        <v>8</v>
      </c>
      <c r="D5" s="26">
        <f>SUMIFS(VENDAS!$O$5:$O$1004,VENDAS!$J$5:$J$1004,A5)</f>
        <v/>
      </c>
      <c r="E5" s="26">
        <f>SUMIFS(VENDAS!$F$5:$F$1004,VENDAS!$J$5:$J$1004,A5)</f>
        <v/>
      </c>
      <c r="F5" s="24">
        <f>SUMIFS(VENDAS!$H$5:$H$1004,VENDAS!$J$5:$J$1004,A5)</f>
        <v/>
      </c>
      <c r="G5" s="24">
        <f>SUMIFS(VENDAS!$K$5:$K$1004,VENDAS!$J$5:$J$1004,A5)</f>
        <v/>
      </c>
      <c r="H5" s="29">
        <f>IF($D$15=0,0,D5/$D$15)</f>
        <v/>
      </c>
    </row>
    <row r="6">
      <c r="A6" s="13" t="inlineStr">
        <is>
          <t>Quadras 300 Norte a 600 Norte</t>
        </is>
      </c>
      <c r="B6" s="13" t="inlineStr">
        <is>
          <t>Quadras</t>
        </is>
      </c>
      <c r="C6" s="28" t="n">
        <v>10</v>
      </c>
      <c r="D6" s="26">
        <f>SUMIFS(VENDAS!$O$5:$O$1004,VENDAS!$J$5:$J$1004,A6)</f>
        <v/>
      </c>
      <c r="E6" s="26">
        <f>SUMIFS(VENDAS!$F$5:$F$1004,VENDAS!$J$5:$J$1004,A6)</f>
        <v/>
      </c>
      <c r="F6" s="24">
        <f>SUMIFS(VENDAS!$H$5:$H$1004,VENDAS!$J$5:$J$1004,A6)</f>
        <v/>
      </c>
      <c r="G6" s="24">
        <f>SUMIFS(VENDAS!$K$5:$K$1004,VENDAS!$J$5:$J$1004,A6)</f>
        <v/>
      </c>
      <c r="H6" s="29">
        <f>IF($D$15=0,0,D6/$D$15)</f>
        <v/>
      </c>
    </row>
    <row r="7">
      <c r="A7" s="13" t="inlineStr">
        <is>
          <t>Quadras 800 a 1200</t>
        </is>
      </c>
      <c r="B7" s="13" t="inlineStr">
        <is>
          <t>Quadras</t>
        </is>
      </c>
      <c r="C7" s="28" t="n">
        <v>10</v>
      </c>
      <c r="D7" s="26">
        <f>SUMIFS(VENDAS!$O$5:$O$1004,VENDAS!$J$5:$J$1004,A7)</f>
        <v/>
      </c>
      <c r="E7" s="26">
        <f>SUMIFS(VENDAS!$F$5:$F$1004,VENDAS!$J$5:$J$1004,A7)</f>
        <v/>
      </c>
      <c r="F7" s="24">
        <f>SUMIFS(VENDAS!$H$5:$H$1004,VENDAS!$J$5:$J$1004,A7)</f>
        <v/>
      </c>
      <c r="G7" s="24">
        <f>SUMIFS(VENDAS!$K$5:$K$1004,VENDAS!$J$5:$J$1004,A7)</f>
        <v/>
      </c>
      <c r="H7" s="29">
        <f>IF($D$15=0,0,D7/$D$15)</f>
        <v/>
      </c>
    </row>
    <row r="8">
      <c r="A8" s="13" t="inlineStr">
        <is>
          <t>Quadras 1300 a 1500 Sul</t>
        </is>
      </c>
      <c r="B8" s="13" t="inlineStr">
        <is>
          <t>Quadras</t>
        </is>
      </c>
      <c r="C8" s="28" t="n">
        <v>15</v>
      </c>
      <c r="D8" s="26">
        <f>SUMIFS(VENDAS!$O$5:$O$1004,VENDAS!$J$5:$J$1004,A8)</f>
        <v/>
      </c>
      <c r="E8" s="26">
        <f>SUMIFS(VENDAS!$F$5:$F$1004,VENDAS!$J$5:$J$1004,A8)</f>
        <v/>
      </c>
      <c r="F8" s="24">
        <f>SUMIFS(VENDAS!$H$5:$H$1004,VENDAS!$J$5:$J$1004,A8)</f>
        <v/>
      </c>
      <c r="G8" s="24">
        <f>SUMIFS(VENDAS!$K$5:$K$1004,VENDAS!$J$5:$J$1004,A8)</f>
        <v/>
      </c>
      <c r="H8" s="29">
        <f>IF($D$15=0,0,D8/$D$15)</f>
        <v/>
      </c>
    </row>
    <row r="9">
      <c r="A9" s="13" t="inlineStr">
        <is>
          <t>Santo Amaro</t>
        </is>
      </c>
      <c r="B9" s="13" t="inlineStr">
        <is>
          <t>Bairro</t>
        </is>
      </c>
      <c r="C9" s="28" t="n">
        <v>15</v>
      </c>
      <c r="D9" s="26">
        <f>SUMIFS(VENDAS!$O$5:$O$1004,VENDAS!$J$5:$J$1004,A9)</f>
        <v/>
      </c>
      <c r="E9" s="26">
        <f>SUMIFS(VENDAS!$F$5:$F$1004,VENDAS!$J$5:$J$1004,A9)</f>
        <v/>
      </c>
      <c r="F9" s="24">
        <f>SUMIFS(VENDAS!$H$5:$H$1004,VENDAS!$J$5:$J$1004,A9)</f>
        <v/>
      </c>
      <c r="G9" s="24">
        <f>SUMIFS(VENDAS!$K$5:$K$1004,VENDAS!$J$5:$J$1004,A9)</f>
        <v/>
      </c>
      <c r="H9" s="29">
        <f>IF($D$15=0,0,D9/$D$15)</f>
        <v/>
      </c>
    </row>
    <row r="10">
      <c r="A10" s="13" t="inlineStr">
        <is>
          <t>Lago Norte</t>
        </is>
      </c>
      <c r="B10" s="13" t="inlineStr">
        <is>
          <t>Bairro</t>
        </is>
      </c>
      <c r="C10" s="28" t="n">
        <v>20</v>
      </c>
      <c r="D10" s="26">
        <f>SUMIFS(VENDAS!$O$5:$O$1004,VENDAS!$J$5:$J$1004,A10)</f>
        <v/>
      </c>
      <c r="E10" s="26">
        <f>SUMIFS(VENDAS!$F$5:$F$1004,VENDAS!$J$5:$J$1004,A10)</f>
        <v/>
      </c>
      <c r="F10" s="24">
        <f>SUMIFS(VENDAS!$H$5:$H$1004,VENDAS!$J$5:$J$1004,A10)</f>
        <v/>
      </c>
      <c r="G10" s="24">
        <f>SUMIFS(VENDAS!$K$5:$K$1004,VENDAS!$J$5:$J$1004,A10)</f>
        <v/>
      </c>
      <c r="H10" s="29">
        <f>IF($D$15=0,0,D10/$D$15)</f>
        <v/>
      </c>
    </row>
    <row r="11">
      <c r="A11" s="13" t="inlineStr">
        <is>
          <t>Bertaville e Aurenys</t>
        </is>
      </c>
      <c r="B11" s="13" t="inlineStr">
        <is>
          <t>Bairro</t>
        </is>
      </c>
      <c r="C11" s="28" t="n">
        <v>30</v>
      </c>
      <c r="D11" s="26">
        <f>SUMIFS(VENDAS!$O$5:$O$1004,VENDAS!$J$5:$J$1004,A11)</f>
        <v/>
      </c>
      <c r="E11" s="26">
        <f>SUMIFS(VENDAS!$F$5:$F$1004,VENDAS!$J$5:$J$1004,A11)</f>
        <v/>
      </c>
      <c r="F11" s="24">
        <f>SUMIFS(VENDAS!$H$5:$H$1004,VENDAS!$J$5:$J$1004,A11)</f>
        <v/>
      </c>
      <c r="G11" s="24">
        <f>SUMIFS(VENDAS!$K$5:$K$1004,VENDAS!$J$5:$J$1004,A11)</f>
        <v/>
      </c>
      <c r="H11" s="29">
        <f>IF($D$15=0,0,D11/$D$15)</f>
        <v/>
      </c>
    </row>
    <row r="12">
      <c r="A12" s="13" t="inlineStr">
        <is>
          <t>Taquaralto e Lago Sul</t>
        </is>
      </c>
      <c r="B12" s="13" t="inlineStr">
        <is>
          <t>Bairro</t>
        </is>
      </c>
      <c r="C12" s="28" t="n">
        <v>35</v>
      </c>
      <c r="D12" s="26">
        <f>SUMIFS(VENDAS!$O$5:$O$1004,VENDAS!$J$5:$J$1004,A12)</f>
        <v/>
      </c>
      <c r="E12" s="26">
        <f>SUMIFS(VENDAS!$F$5:$F$1004,VENDAS!$J$5:$J$1004,A12)</f>
        <v/>
      </c>
      <c r="F12" s="24">
        <f>SUMIFS(VENDAS!$H$5:$H$1004,VENDAS!$J$5:$J$1004,A12)</f>
        <v/>
      </c>
      <c r="G12" s="24">
        <f>SUMIFS(VENDAS!$K$5:$K$1004,VENDAS!$J$5:$J$1004,A12)</f>
        <v/>
      </c>
      <c r="H12" s="29">
        <f>IF($D$15=0,0,D12/$D$15)</f>
        <v/>
      </c>
    </row>
    <row r="13">
      <c r="A13" s="13" t="inlineStr">
        <is>
          <t>Taquari</t>
        </is>
      </c>
      <c r="B13" s="13" t="inlineStr">
        <is>
          <t>Bairro</t>
        </is>
      </c>
      <c r="C13" s="28" t="n">
        <v>35</v>
      </c>
      <c r="D13" s="26">
        <f>SUMIFS(VENDAS!$O$5:$O$1004,VENDAS!$J$5:$J$1004,A13)</f>
        <v/>
      </c>
      <c r="E13" s="26">
        <f>SUMIFS(VENDAS!$F$5:$F$1004,VENDAS!$J$5:$J$1004,A13)</f>
        <v/>
      </c>
      <c r="F13" s="24">
        <f>SUMIFS(VENDAS!$H$5:$H$1004,VENDAS!$J$5:$J$1004,A13)</f>
        <v/>
      </c>
      <c r="G13" s="24">
        <f>SUMIFS(VENDAS!$K$5:$K$1004,VENDAS!$J$5:$J$1004,A13)</f>
        <v/>
      </c>
      <c r="H13" s="29">
        <f>IF($D$15=0,0,D13/$D$15)</f>
        <v/>
      </c>
    </row>
    <row r="14">
      <c r="A14" s="13" t="inlineStr">
        <is>
          <t>Retirada / sem entrega</t>
        </is>
      </c>
      <c r="B14" s="13" t="inlineStr">
        <is>
          <t>Outro</t>
        </is>
      </c>
      <c r="C14" s="28" t="n">
        <v>0</v>
      </c>
      <c r="D14" s="26">
        <f>SUMIFS(VENDAS!$O$5:$O$1004,VENDAS!$J$5:$J$1004,A14)</f>
        <v/>
      </c>
      <c r="E14" s="26">
        <f>SUMIFS(VENDAS!$F$5:$F$1004,VENDAS!$J$5:$J$1004,A14)</f>
        <v/>
      </c>
      <c r="F14" s="24">
        <f>SUMIFS(VENDAS!$H$5:$H$1004,VENDAS!$J$5:$J$1004,A14)</f>
        <v/>
      </c>
      <c r="G14" s="24">
        <f>SUMIFS(VENDAS!$K$5:$K$1004,VENDAS!$J$5:$J$1004,A14)</f>
        <v/>
      </c>
      <c r="H14" s="29">
        <f>IF($D$15=0,0,D14/$D$15)</f>
        <v/>
      </c>
    </row>
    <row r="15">
      <c r="A15" s="17" t="inlineStr">
        <is>
          <t>TOTAL</t>
        </is>
      </c>
      <c r="B15" s="27" t="n"/>
      <c r="C15" s="27" t="n"/>
      <c r="D15" s="12">
        <f>SUM(D5:D14)</f>
        <v/>
      </c>
      <c r="E15" s="12">
        <f>SUM(E5:E14)</f>
        <v/>
      </c>
      <c r="F15" s="16">
        <f>SUM(F5:F14)</f>
        <v/>
      </c>
      <c r="G15" s="16">
        <f>SUM(G5:G14)</f>
        <v/>
      </c>
      <c r="H15" s="32">
        <f>SUM(H5:H14)</f>
        <v/>
      </c>
    </row>
    <row r="17">
      <c r="A17" s="33" t="inlineStr">
        <is>
          <t>Legenda das quadras (Plano Diretor de Palmas):</t>
        </is>
      </c>
    </row>
    <row r="18">
      <c r="A18" s="34" t="inlineStr">
        <is>
          <t>• 700 Sul a 200 Norte/Sul — região central (Praça dos Girassóis e entorno).</t>
        </is>
      </c>
    </row>
    <row r="19">
      <c r="A19" s="34" t="inlineStr">
        <is>
          <t>• 300 a 600 Norte — Plano Diretor Norte.</t>
        </is>
      </c>
    </row>
    <row r="20">
      <c r="A20" s="34" t="inlineStr">
        <is>
          <t>• 800 a 1200 — Plano Diretor Sul intermediário.</t>
        </is>
      </c>
    </row>
    <row r="21">
      <c r="A21" s="34" t="inlineStr">
        <is>
          <t>• 1300 a 1500 Sul — extremo sul do Plano Diretor.</t>
        </is>
      </c>
    </row>
    <row r="22">
      <c r="A22" s="34" t="inlineStr">
        <is>
          <t>• Bairros fora do Plano Diretor: Santo Amaro, Lago Norte, Bertaville, Aurenys, Taquaralto, Lago Sul, Taquari.</t>
        </is>
      </c>
    </row>
    <row r="23">
      <c r="A23" s="34" t="inlineStr">
        <is>
          <t>• Região fora da lista: combinar a taxa no WhatsApp e lançar como 'Retirada / sem entrega' + ajustar a taxa.</t>
        </is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2026-10-01T04:17:33Z</dcterms:created>
  <dcterms:modified xsi:type="dcterms:W3CDTF">2026-10-01T04:17:34Z</dcterms:modified>
</cp:coreProperties>
</file>